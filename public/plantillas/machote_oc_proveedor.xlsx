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\Downloads\"/>
    </mc:Choice>
  </mc:AlternateContent>
  <xr:revisionPtr revIDLastSave="0" documentId="13_ncr:1_{03240052-D70B-4109-B1C6-E633046E2FC9}" xr6:coauthVersionLast="47" xr6:coauthVersionMax="47" xr10:uidLastSave="{00000000-0000-0000-0000-000000000000}"/>
  <bookViews>
    <workbookView xWindow="-108" yWindow="-108" windowWidth="23256" windowHeight="12456" firstSheet="1" activeTab="1" xr2:uid="{81F0ADBA-D23B-4C7E-B0D7-8330EF6F9AFA}"/>
  </bookViews>
  <sheets>
    <sheet name="Hoja1" sheetId="1" state="hidden" r:id="rId1"/>
    <sheet name="OC" sheetId="3" r:id="rId2"/>
    <sheet name="lay out" sheetId="4" r:id="rId3"/>
    <sheet name="MACHOTE" sheetId="2" r:id="rId4"/>
  </sheets>
  <externalReferences>
    <externalReference r:id="rId5"/>
  </externalReferences>
  <definedNames>
    <definedName name="_xlnm.Print_Area" localSheetId="1">OC!$A$1:$N$20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3" l="1"/>
  <c r="D11" i="3" s="1"/>
  <c r="H11" i="3" s="1"/>
  <c r="F11" i="3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" i="4"/>
  <c r="U2" i="4"/>
  <c r="T2" i="4"/>
  <c r="I11" i="3" l="1"/>
  <c r="E19" i="4"/>
  <c r="E22" i="4"/>
  <c r="F10" i="3"/>
  <c r="G10" i="3"/>
  <c r="D10" i="3" s="1"/>
  <c r="H10" i="3" s="1"/>
  <c r="E44" i="4"/>
  <c r="E46" i="4"/>
  <c r="E50" i="4"/>
  <c r="E51" i="4"/>
  <c r="E54" i="4"/>
  <c r="E55" i="4"/>
  <c r="E56" i="4"/>
  <c r="E58" i="4"/>
  <c r="E59" i="4"/>
  <c r="E60" i="4"/>
  <c r="E61" i="4"/>
  <c r="E62" i="4"/>
  <c r="E63" i="4"/>
  <c r="E64" i="4"/>
  <c r="E23" i="4"/>
  <c r="E24" i="4"/>
  <c r="E25" i="4"/>
  <c r="E26" i="4"/>
  <c r="E27" i="4"/>
  <c r="E28" i="4"/>
  <c r="E29" i="4"/>
  <c r="E30" i="4"/>
  <c r="E32" i="4"/>
  <c r="E33" i="4"/>
  <c r="E34" i="4"/>
  <c r="E36" i="4"/>
  <c r="E37" i="4"/>
  <c r="E38" i="4"/>
  <c r="E39" i="4"/>
  <c r="E40" i="4"/>
  <c r="E41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Q225" i="4"/>
  <c r="O225" i="4"/>
  <c r="N225" i="4"/>
  <c r="M225" i="4"/>
  <c r="L225" i="4"/>
  <c r="K225" i="4"/>
  <c r="Q224" i="4"/>
  <c r="O224" i="4"/>
  <c r="N224" i="4"/>
  <c r="M224" i="4"/>
  <c r="L224" i="4"/>
  <c r="K224" i="4"/>
  <c r="Q223" i="4"/>
  <c r="O223" i="4"/>
  <c r="N223" i="4"/>
  <c r="M223" i="4"/>
  <c r="L223" i="4"/>
  <c r="K223" i="4"/>
  <c r="Q222" i="4"/>
  <c r="O222" i="4"/>
  <c r="N222" i="4"/>
  <c r="M222" i="4"/>
  <c r="L222" i="4"/>
  <c r="K222" i="4"/>
  <c r="Q221" i="4"/>
  <c r="O221" i="4"/>
  <c r="N221" i="4"/>
  <c r="M221" i="4"/>
  <c r="L221" i="4"/>
  <c r="K221" i="4"/>
  <c r="Q220" i="4"/>
  <c r="O220" i="4"/>
  <c r="N220" i="4"/>
  <c r="M220" i="4"/>
  <c r="L220" i="4"/>
  <c r="K220" i="4"/>
  <c r="Q219" i="4"/>
  <c r="O219" i="4"/>
  <c r="N219" i="4"/>
  <c r="M219" i="4"/>
  <c r="L219" i="4"/>
  <c r="K219" i="4"/>
  <c r="Q218" i="4"/>
  <c r="O218" i="4"/>
  <c r="N218" i="4"/>
  <c r="M218" i="4"/>
  <c r="L218" i="4"/>
  <c r="K218" i="4"/>
  <c r="Q217" i="4"/>
  <c r="O217" i="4"/>
  <c r="N217" i="4"/>
  <c r="M217" i="4"/>
  <c r="L217" i="4"/>
  <c r="K217" i="4"/>
  <c r="Q216" i="4"/>
  <c r="O216" i="4"/>
  <c r="N216" i="4"/>
  <c r="M216" i="4"/>
  <c r="L216" i="4"/>
  <c r="K216" i="4"/>
  <c r="Q215" i="4"/>
  <c r="O215" i="4"/>
  <c r="N215" i="4"/>
  <c r="M215" i="4"/>
  <c r="L215" i="4"/>
  <c r="K215" i="4"/>
  <c r="Q214" i="4"/>
  <c r="O214" i="4"/>
  <c r="N214" i="4"/>
  <c r="M214" i="4"/>
  <c r="L214" i="4"/>
  <c r="K214" i="4"/>
  <c r="Q213" i="4"/>
  <c r="O213" i="4"/>
  <c r="N213" i="4"/>
  <c r="M213" i="4"/>
  <c r="L213" i="4"/>
  <c r="K213" i="4"/>
  <c r="Q212" i="4"/>
  <c r="O212" i="4"/>
  <c r="N212" i="4"/>
  <c r="M212" i="4"/>
  <c r="L212" i="4"/>
  <c r="K212" i="4"/>
  <c r="Q211" i="4"/>
  <c r="O211" i="4"/>
  <c r="N211" i="4"/>
  <c r="M211" i="4"/>
  <c r="L211" i="4"/>
  <c r="K211" i="4"/>
  <c r="Q210" i="4"/>
  <c r="O210" i="4"/>
  <c r="N210" i="4"/>
  <c r="M210" i="4"/>
  <c r="L210" i="4"/>
  <c r="K210" i="4"/>
  <c r="Q209" i="4"/>
  <c r="O209" i="4"/>
  <c r="N209" i="4"/>
  <c r="M209" i="4"/>
  <c r="L209" i="4"/>
  <c r="K209" i="4"/>
  <c r="Q208" i="4"/>
  <c r="O208" i="4"/>
  <c r="N208" i="4"/>
  <c r="M208" i="4"/>
  <c r="L208" i="4"/>
  <c r="K208" i="4"/>
  <c r="Q207" i="4"/>
  <c r="O207" i="4"/>
  <c r="N207" i="4"/>
  <c r="M207" i="4"/>
  <c r="L207" i="4"/>
  <c r="K207" i="4"/>
  <c r="Q206" i="4"/>
  <c r="O206" i="4"/>
  <c r="N206" i="4"/>
  <c r="M206" i="4"/>
  <c r="L206" i="4"/>
  <c r="K206" i="4"/>
  <c r="Q205" i="4"/>
  <c r="O205" i="4"/>
  <c r="N205" i="4"/>
  <c r="M205" i="4"/>
  <c r="L205" i="4"/>
  <c r="K205" i="4"/>
  <c r="Q204" i="4"/>
  <c r="O204" i="4"/>
  <c r="N204" i="4"/>
  <c r="M204" i="4"/>
  <c r="L204" i="4"/>
  <c r="K204" i="4"/>
  <c r="Q203" i="4"/>
  <c r="O203" i="4"/>
  <c r="N203" i="4"/>
  <c r="M203" i="4"/>
  <c r="L203" i="4"/>
  <c r="K203" i="4"/>
  <c r="Q202" i="4"/>
  <c r="O202" i="4"/>
  <c r="N202" i="4"/>
  <c r="M202" i="4"/>
  <c r="L202" i="4"/>
  <c r="K202" i="4"/>
  <c r="Q201" i="4"/>
  <c r="O201" i="4"/>
  <c r="N201" i="4"/>
  <c r="M201" i="4"/>
  <c r="L201" i="4"/>
  <c r="K201" i="4"/>
  <c r="Q200" i="4"/>
  <c r="O200" i="4"/>
  <c r="N200" i="4"/>
  <c r="M200" i="4"/>
  <c r="L200" i="4"/>
  <c r="K200" i="4"/>
  <c r="Q199" i="4"/>
  <c r="O199" i="4"/>
  <c r="N199" i="4"/>
  <c r="M199" i="4"/>
  <c r="L199" i="4"/>
  <c r="K199" i="4"/>
  <c r="Q198" i="4"/>
  <c r="O198" i="4"/>
  <c r="N198" i="4"/>
  <c r="M198" i="4"/>
  <c r="L198" i="4"/>
  <c r="K198" i="4"/>
  <c r="Q197" i="4"/>
  <c r="O197" i="4"/>
  <c r="N197" i="4"/>
  <c r="M197" i="4"/>
  <c r="L197" i="4"/>
  <c r="K197" i="4"/>
  <c r="Q196" i="4"/>
  <c r="O196" i="4"/>
  <c r="N196" i="4"/>
  <c r="M196" i="4"/>
  <c r="L196" i="4"/>
  <c r="K196" i="4"/>
  <c r="Q195" i="4"/>
  <c r="O195" i="4"/>
  <c r="N195" i="4"/>
  <c r="M195" i="4"/>
  <c r="L195" i="4"/>
  <c r="K195" i="4"/>
  <c r="Q194" i="4"/>
  <c r="O194" i="4"/>
  <c r="N194" i="4"/>
  <c r="M194" i="4"/>
  <c r="L194" i="4"/>
  <c r="K194" i="4"/>
  <c r="Q193" i="4"/>
  <c r="O193" i="4"/>
  <c r="N193" i="4"/>
  <c r="M193" i="4"/>
  <c r="L193" i="4"/>
  <c r="K193" i="4"/>
  <c r="Q192" i="4"/>
  <c r="O192" i="4"/>
  <c r="N192" i="4"/>
  <c r="M192" i="4"/>
  <c r="L192" i="4"/>
  <c r="K192" i="4"/>
  <c r="Q191" i="4"/>
  <c r="O191" i="4"/>
  <c r="N191" i="4"/>
  <c r="M191" i="4"/>
  <c r="L191" i="4"/>
  <c r="K191" i="4"/>
  <c r="Q190" i="4"/>
  <c r="O190" i="4"/>
  <c r="N190" i="4"/>
  <c r="M190" i="4"/>
  <c r="L190" i="4"/>
  <c r="K190" i="4"/>
  <c r="Q189" i="4"/>
  <c r="O189" i="4"/>
  <c r="N189" i="4"/>
  <c r="M189" i="4"/>
  <c r="L189" i="4"/>
  <c r="K189" i="4"/>
  <c r="Q188" i="4"/>
  <c r="O188" i="4"/>
  <c r="N188" i="4"/>
  <c r="M188" i="4"/>
  <c r="L188" i="4"/>
  <c r="K188" i="4"/>
  <c r="Q187" i="4"/>
  <c r="O187" i="4"/>
  <c r="N187" i="4"/>
  <c r="M187" i="4"/>
  <c r="L187" i="4"/>
  <c r="K187" i="4"/>
  <c r="Q186" i="4"/>
  <c r="O186" i="4"/>
  <c r="N186" i="4"/>
  <c r="M186" i="4"/>
  <c r="L186" i="4"/>
  <c r="K186" i="4"/>
  <c r="Q185" i="4"/>
  <c r="O185" i="4"/>
  <c r="N185" i="4"/>
  <c r="M185" i="4"/>
  <c r="L185" i="4"/>
  <c r="K185" i="4"/>
  <c r="Q184" i="4"/>
  <c r="O184" i="4"/>
  <c r="N184" i="4"/>
  <c r="M184" i="4"/>
  <c r="L184" i="4"/>
  <c r="K184" i="4"/>
  <c r="Q183" i="4"/>
  <c r="O183" i="4"/>
  <c r="N183" i="4"/>
  <c r="M183" i="4"/>
  <c r="L183" i="4"/>
  <c r="K183" i="4"/>
  <c r="Q182" i="4"/>
  <c r="O182" i="4"/>
  <c r="N182" i="4"/>
  <c r="M182" i="4"/>
  <c r="L182" i="4"/>
  <c r="K182" i="4"/>
  <c r="Q181" i="4"/>
  <c r="O181" i="4"/>
  <c r="N181" i="4"/>
  <c r="M181" i="4"/>
  <c r="L181" i="4"/>
  <c r="K181" i="4"/>
  <c r="Q180" i="4"/>
  <c r="O180" i="4"/>
  <c r="N180" i="4"/>
  <c r="M180" i="4"/>
  <c r="L180" i="4"/>
  <c r="K180" i="4"/>
  <c r="Q179" i="4"/>
  <c r="O179" i="4"/>
  <c r="N179" i="4"/>
  <c r="M179" i="4"/>
  <c r="L179" i="4"/>
  <c r="K179" i="4"/>
  <c r="Q178" i="4"/>
  <c r="O178" i="4"/>
  <c r="N178" i="4"/>
  <c r="M178" i="4"/>
  <c r="L178" i="4"/>
  <c r="K178" i="4"/>
  <c r="Q177" i="4"/>
  <c r="O177" i="4"/>
  <c r="N177" i="4"/>
  <c r="M177" i="4"/>
  <c r="L177" i="4"/>
  <c r="K177" i="4"/>
  <c r="Q176" i="4"/>
  <c r="O176" i="4"/>
  <c r="N176" i="4"/>
  <c r="M176" i="4"/>
  <c r="L176" i="4"/>
  <c r="K176" i="4"/>
  <c r="Q175" i="4"/>
  <c r="O175" i="4"/>
  <c r="N175" i="4"/>
  <c r="M175" i="4"/>
  <c r="L175" i="4"/>
  <c r="K175" i="4"/>
  <c r="Q174" i="4"/>
  <c r="O174" i="4"/>
  <c r="N174" i="4"/>
  <c r="M174" i="4"/>
  <c r="L174" i="4"/>
  <c r="K174" i="4"/>
  <c r="Q173" i="4"/>
  <c r="O173" i="4"/>
  <c r="N173" i="4"/>
  <c r="M173" i="4"/>
  <c r="L173" i="4"/>
  <c r="K173" i="4"/>
  <c r="Q172" i="4"/>
  <c r="O172" i="4"/>
  <c r="N172" i="4"/>
  <c r="M172" i="4"/>
  <c r="L172" i="4"/>
  <c r="K172" i="4"/>
  <c r="Q171" i="4"/>
  <c r="O171" i="4"/>
  <c r="N171" i="4"/>
  <c r="M171" i="4"/>
  <c r="L171" i="4"/>
  <c r="K171" i="4"/>
  <c r="Q170" i="4"/>
  <c r="O170" i="4"/>
  <c r="N170" i="4"/>
  <c r="M170" i="4"/>
  <c r="L170" i="4"/>
  <c r="K170" i="4"/>
  <c r="Q169" i="4"/>
  <c r="O169" i="4"/>
  <c r="N169" i="4"/>
  <c r="M169" i="4"/>
  <c r="L169" i="4"/>
  <c r="K169" i="4"/>
  <c r="Q168" i="4"/>
  <c r="O168" i="4"/>
  <c r="N168" i="4"/>
  <c r="M168" i="4"/>
  <c r="L168" i="4"/>
  <c r="K168" i="4"/>
  <c r="Q167" i="4"/>
  <c r="O167" i="4"/>
  <c r="N167" i="4"/>
  <c r="M167" i="4"/>
  <c r="L167" i="4"/>
  <c r="K167" i="4"/>
  <c r="Q166" i="4"/>
  <c r="O166" i="4"/>
  <c r="N166" i="4"/>
  <c r="M166" i="4"/>
  <c r="L166" i="4"/>
  <c r="K166" i="4"/>
  <c r="Q165" i="4"/>
  <c r="O165" i="4"/>
  <c r="N165" i="4"/>
  <c r="M165" i="4"/>
  <c r="L165" i="4"/>
  <c r="K165" i="4"/>
  <c r="Q164" i="4"/>
  <c r="O164" i="4"/>
  <c r="N164" i="4"/>
  <c r="M164" i="4"/>
  <c r="L164" i="4"/>
  <c r="K164" i="4"/>
  <c r="Q163" i="4"/>
  <c r="O163" i="4"/>
  <c r="N163" i="4"/>
  <c r="M163" i="4"/>
  <c r="L163" i="4"/>
  <c r="K163" i="4"/>
  <c r="Q162" i="4"/>
  <c r="O162" i="4"/>
  <c r="N162" i="4"/>
  <c r="M162" i="4"/>
  <c r="L162" i="4"/>
  <c r="K162" i="4"/>
  <c r="Q161" i="4"/>
  <c r="O161" i="4"/>
  <c r="N161" i="4"/>
  <c r="M161" i="4"/>
  <c r="L161" i="4"/>
  <c r="K161" i="4"/>
  <c r="Q160" i="4"/>
  <c r="O160" i="4"/>
  <c r="N160" i="4"/>
  <c r="M160" i="4"/>
  <c r="L160" i="4"/>
  <c r="K160" i="4"/>
  <c r="Q159" i="4"/>
  <c r="O159" i="4"/>
  <c r="N159" i="4"/>
  <c r="M159" i="4"/>
  <c r="L159" i="4"/>
  <c r="K159" i="4"/>
  <c r="Q158" i="4"/>
  <c r="O158" i="4"/>
  <c r="N158" i="4"/>
  <c r="M158" i="4"/>
  <c r="L158" i="4"/>
  <c r="K158" i="4"/>
  <c r="Q157" i="4"/>
  <c r="O157" i="4"/>
  <c r="N157" i="4"/>
  <c r="M157" i="4"/>
  <c r="L157" i="4"/>
  <c r="K157" i="4"/>
  <c r="Q156" i="4"/>
  <c r="O156" i="4"/>
  <c r="N156" i="4"/>
  <c r="M156" i="4"/>
  <c r="L156" i="4"/>
  <c r="K156" i="4"/>
  <c r="Q155" i="4"/>
  <c r="O155" i="4"/>
  <c r="N155" i="4"/>
  <c r="M155" i="4"/>
  <c r="L155" i="4"/>
  <c r="K155" i="4"/>
  <c r="Q154" i="4"/>
  <c r="O154" i="4"/>
  <c r="N154" i="4"/>
  <c r="M154" i="4"/>
  <c r="L154" i="4"/>
  <c r="K154" i="4"/>
  <c r="Q153" i="4"/>
  <c r="O153" i="4"/>
  <c r="N153" i="4"/>
  <c r="M153" i="4"/>
  <c r="L153" i="4"/>
  <c r="K153" i="4"/>
  <c r="Q152" i="4"/>
  <c r="O152" i="4"/>
  <c r="N152" i="4"/>
  <c r="M152" i="4"/>
  <c r="L152" i="4"/>
  <c r="K152" i="4"/>
  <c r="Q151" i="4"/>
  <c r="O151" i="4"/>
  <c r="N151" i="4"/>
  <c r="M151" i="4"/>
  <c r="L151" i="4"/>
  <c r="K151" i="4"/>
  <c r="Q150" i="4"/>
  <c r="O150" i="4"/>
  <c r="N150" i="4"/>
  <c r="M150" i="4"/>
  <c r="L150" i="4"/>
  <c r="K150" i="4"/>
  <c r="Q149" i="4"/>
  <c r="O149" i="4"/>
  <c r="N149" i="4"/>
  <c r="M149" i="4"/>
  <c r="L149" i="4"/>
  <c r="K149" i="4"/>
  <c r="Q148" i="4"/>
  <c r="O148" i="4"/>
  <c r="N148" i="4"/>
  <c r="M148" i="4"/>
  <c r="L148" i="4"/>
  <c r="K148" i="4"/>
  <c r="Q147" i="4"/>
  <c r="O147" i="4"/>
  <c r="N147" i="4"/>
  <c r="M147" i="4"/>
  <c r="L147" i="4"/>
  <c r="K147" i="4"/>
  <c r="Q146" i="4"/>
  <c r="O146" i="4"/>
  <c r="N146" i="4"/>
  <c r="M146" i="4"/>
  <c r="L146" i="4"/>
  <c r="K146" i="4"/>
  <c r="Q145" i="4"/>
  <c r="O145" i="4"/>
  <c r="N145" i="4"/>
  <c r="M145" i="4"/>
  <c r="L145" i="4"/>
  <c r="K145" i="4"/>
  <c r="Q144" i="4"/>
  <c r="O144" i="4"/>
  <c r="N144" i="4"/>
  <c r="M144" i="4"/>
  <c r="L144" i="4"/>
  <c r="K144" i="4"/>
  <c r="Q143" i="4"/>
  <c r="O143" i="4"/>
  <c r="N143" i="4"/>
  <c r="M143" i="4"/>
  <c r="L143" i="4"/>
  <c r="K143" i="4"/>
  <c r="Q142" i="4"/>
  <c r="O142" i="4"/>
  <c r="N142" i="4"/>
  <c r="M142" i="4"/>
  <c r="L142" i="4"/>
  <c r="K142" i="4"/>
  <c r="Q141" i="4"/>
  <c r="O141" i="4"/>
  <c r="N141" i="4"/>
  <c r="M141" i="4"/>
  <c r="L141" i="4"/>
  <c r="K141" i="4"/>
  <c r="Q140" i="4"/>
  <c r="O140" i="4"/>
  <c r="N140" i="4"/>
  <c r="M140" i="4"/>
  <c r="L140" i="4"/>
  <c r="K140" i="4"/>
  <c r="Q139" i="4"/>
  <c r="O139" i="4"/>
  <c r="N139" i="4"/>
  <c r="M139" i="4"/>
  <c r="L139" i="4"/>
  <c r="K139" i="4"/>
  <c r="Q138" i="4"/>
  <c r="O138" i="4"/>
  <c r="N138" i="4"/>
  <c r="M138" i="4"/>
  <c r="L138" i="4"/>
  <c r="K138" i="4"/>
  <c r="Q137" i="4"/>
  <c r="O137" i="4"/>
  <c r="N137" i="4"/>
  <c r="M137" i="4"/>
  <c r="L137" i="4"/>
  <c r="K137" i="4"/>
  <c r="Q136" i="4"/>
  <c r="O136" i="4"/>
  <c r="N136" i="4"/>
  <c r="M136" i="4"/>
  <c r="L136" i="4"/>
  <c r="K136" i="4"/>
  <c r="Q135" i="4"/>
  <c r="O135" i="4"/>
  <c r="N135" i="4"/>
  <c r="M135" i="4"/>
  <c r="L135" i="4"/>
  <c r="K135" i="4"/>
  <c r="Q134" i="4"/>
  <c r="O134" i="4"/>
  <c r="N134" i="4"/>
  <c r="M134" i="4"/>
  <c r="L134" i="4"/>
  <c r="K134" i="4"/>
  <c r="Q133" i="4"/>
  <c r="O133" i="4"/>
  <c r="N133" i="4"/>
  <c r="M133" i="4"/>
  <c r="L133" i="4"/>
  <c r="K133" i="4"/>
  <c r="Q132" i="4"/>
  <c r="O132" i="4"/>
  <c r="N132" i="4"/>
  <c r="M132" i="4"/>
  <c r="L132" i="4"/>
  <c r="K132" i="4"/>
  <c r="Q131" i="4"/>
  <c r="O131" i="4"/>
  <c r="N131" i="4"/>
  <c r="M131" i="4"/>
  <c r="L131" i="4"/>
  <c r="K131" i="4"/>
  <c r="Q130" i="4"/>
  <c r="O130" i="4"/>
  <c r="N130" i="4"/>
  <c r="M130" i="4"/>
  <c r="L130" i="4"/>
  <c r="K130" i="4"/>
  <c r="Q129" i="4"/>
  <c r="O129" i="4"/>
  <c r="N129" i="4"/>
  <c r="M129" i="4"/>
  <c r="L129" i="4"/>
  <c r="K129" i="4"/>
  <c r="Q128" i="4"/>
  <c r="O128" i="4"/>
  <c r="N128" i="4"/>
  <c r="M128" i="4"/>
  <c r="L128" i="4"/>
  <c r="K128" i="4"/>
  <c r="Q127" i="4"/>
  <c r="O127" i="4"/>
  <c r="N127" i="4"/>
  <c r="M127" i="4"/>
  <c r="L127" i="4"/>
  <c r="K127" i="4"/>
  <c r="Q126" i="4"/>
  <c r="O126" i="4"/>
  <c r="N126" i="4"/>
  <c r="M126" i="4"/>
  <c r="L126" i="4"/>
  <c r="K126" i="4"/>
  <c r="Q125" i="4"/>
  <c r="O125" i="4"/>
  <c r="N125" i="4"/>
  <c r="M125" i="4"/>
  <c r="L125" i="4"/>
  <c r="K125" i="4"/>
  <c r="Q124" i="4"/>
  <c r="O124" i="4"/>
  <c r="N124" i="4"/>
  <c r="M124" i="4"/>
  <c r="L124" i="4"/>
  <c r="K124" i="4"/>
  <c r="Q123" i="4"/>
  <c r="O123" i="4"/>
  <c r="N123" i="4"/>
  <c r="M123" i="4"/>
  <c r="L123" i="4"/>
  <c r="K123" i="4"/>
  <c r="Q122" i="4"/>
  <c r="O122" i="4"/>
  <c r="N122" i="4"/>
  <c r="M122" i="4"/>
  <c r="L122" i="4"/>
  <c r="K122" i="4"/>
  <c r="Q121" i="4"/>
  <c r="O121" i="4"/>
  <c r="N121" i="4"/>
  <c r="M121" i="4"/>
  <c r="L121" i="4"/>
  <c r="K121" i="4"/>
  <c r="Q120" i="4"/>
  <c r="O120" i="4"/>
  <c r="N120" i="4"/>
  <c r="M120" i="4"/>
  <c r="L120" i="4"/>
  <c r="K120" i="4"/>
  <c r="Q119" i="4"/>
  <c r="O119" i="4"/>
  <c r="N119" i="4"/>
  <c r="M119" i="4"/>
  <c r="L119" i="4"/>
  <c r="K119" i="4"/>
  <c r="Q118" i="4"/>
  <c r="O118" i="4"/>
  <c r="N118" i="4"/>
  <c r="M118" i="4"/>
  <c r="L118" i="4"/>
  <c r="K118" i="4"/>
  <c r="Q117" i="4"/>
  <c r="O117" i="4"/>
  <c r="N117" i="4"/>
  <c r="M117" i="4"/>
  <c r="L117" i="4"/>
  <c r="K117" i="4"/>
  <c r="Q116" i="4"/>
  <c r="O116" i="4"/>
  <c r="N116" i="4"/>
  <c r="M116" i="4"/>
  <c r="L116" i="4"/>
  <c r="K116" i="4"/>
  <c r="Q115" i="4"/>
  <c r="O115" i="4"/>
  <c r="N115" i="4"/>
  <c r="M115" i="4"/>
  <c r="L115" i="4"/>
  <c r="K115" i="4"/>
  <c r="Q114" i="4"/>
  <c r="O114" i="4"/>
  <c r="N114" i="4"/>
  <c r="M114" i="4"/>
  <c r="L114" i="4"/>
  <c r="K114" i="4"/>
  <c r="Q113" i="4"/>
  <c r="O113" i="4"/>
  <c r="N113" i="4"/>
  <c r="M113" i="4"/>
  <c r="L113" i="4"/>
  <c r="K113" i="4"/>
  <c r="Q112" i="4"/>
  <c r="O112" i="4"/>
  <c r="N112" i="4"/>
  <c r="M112" i="4"/>
  <c r="L112" i="4"/>
  <c r="K112" i="4"/>
  <c r="Q111" i="4"/>
  <c r="O111" i="4"/>
  <c r="N111" i="4"/>
  <c r="M111" i="4"/>
  <c r="L111" i="4"/>
  <c r="K111" i="4"/>
  <c r="Q110" i="4"/>
  <c r="O110" i="4"/>
  <c r="N110" i="4"/>
  <c r="M110" i="4"/>
  <c r="L110" i="4"/>
  <c r="K110" i="4"/>
  <c r="Q109" i="4"/>
  <c r="O109" i="4"/>
  <c r="N109" i="4"/>
  <c r="M109" i="4"/>
  <c r="L109" i="4"/>
  <c r="K109" i="4"/>
  <c r="Q108" i="4"/>
  <c r="O108" i="4"/>
  <c r="N108" i="4"/>
  <c r="M108" i="4"/>
  <c r="L108" i="4"/>
  <c r="K108" i="4"/>
  <c r="Q107" i="4"/>
  <c r="O107" i="4"/>
  <c r="N107" i="4"/>
  <c r="M107" i="4"/>
  <c r="L107" i="4"/>
  <c r="K107" i="4"/>
  <c r="Q106" i="4"/>
  <c r="O106" i="4"/>
  <c r="N106" i="4"/>
  <c r="M106" i="4"/>
  <c r="L106" i="4"/>
  <c r="K106" i="4"/>
  <c r="Q105" i="4"/>
  <c r="O105" i="4"/>
  <c r="N105" i="4"/>
  <c r="M105" i="4"/>
  <c r="L105" i="4"/>
  <c r="K105" i="4"/>
  <c r="Q104" i="4"/>
  <c r="O104" i="4"/>
  <c r="N104" i="4"/>
  <c r="M104" i="4"/>
  <c r="L104" i="4"/>
  <c r="K104" i="4"/>
  <c r="Q103" i="4"/>
  <c r="O103" i="4"/>
  <c r="N103" i="4"/>
  <c r="M103" i="4"/>
  <c r="L103" i="4"/>
  <c r="K103" i="4"/>
  <c r="Q102" i="4"/>
  <c r="O102" i="4"/>
  <c r="N102" i="4"/>
  <c r="M102" i="4"/>
  <c r="L102" i="4"/>
  <c r="K102" i="4"/>
  <c r="Q101" i="4"/>
  <c r="O101" i="4"/>
  <c r="N101" i="4"/>
  <c r="M101" i="4"/>
  <c r="L101" i="4"/>
  <c r="K101" i="4"/>
  <c r="Q100" i="4"/>
  <c r="O100" i="4"/>
  <c r="N100" i="4"/>
  <c r="M100" i="4"/>
  <c r="L100" i="4"/>
  <c r="K100" i="4"/>
  <c r="Q99" i="4"/>
  <c r="O99" i="4"/>
  <c r="N99" i="4"/>
  <c r="M99" i="4"/>
  <c r="L99" i="4"/>
  <c r="K99" i="4"/>
  <c r="Q98" i="4"/>
  <c r="O98" i="4"/>
  <c r="N98" i="4"/>
  <c r="M98" i="4"/>
  <c r="L98" i="4"/>
  <c r="K98" i="4"/>
  <c r="Q97" i="4"/>
  <c r="O97" i="4"/>
  <c r="N97" i="4"/>
  <c r="M97" i="4"/>
  <c r="L97" i="4"/>
  <c r="K97" i="4"/>
  <c r="Q96" i="4"/>
  <c r="O96" i="4"/>
  <c r="N96" i="4"/>
  <c r="M96" i="4"/>
  <c r="L96" i="4"/>
  <c r="K96" i="4"/>
  <c r="Q95" i="4"/>
  <c r="O95" i="4"/>
  <c r="N95" i="4"/>
  <c r="M95" i="4"/>
  <c r="L95" i="4"/>
  <c r="K95" i="4"/>
  <c r="Q94" i="4"/>
  <c r="O94" i="4"/>
  <c r="N94" i="4"/>
  <c r="M94" i="4"/>
  <c r="L94" i="4"/>
  <c r="K94" i="4"/>
  <c r="Q93" i="4"/>
  <c r="O93" i="4"/>
  <c r="N93" i="4"/>
  <c r="M93" i="4"/>
  <c r="L93" i="4"/>
  <c r="K93" i="4"/>
  <c r="Q92" i="4"/>
  <c r="O92" i="4"/>
  <c r="N92" i="4"/>
  <c r="M92" i="4"/>
  <c r="L92" i="4"/>
  <c r="K92" i="4"/>
  <c r="Q91" i="4"/>
  <c r="O91" i="4"/>
  <c r="N91" i="4"/>
  <c r="M91" i="4"/>
  <c r="L91" i="4"/>
  <c r="K91" i="4"/>
  <c r="Q90" i="4"/>
  <c r="O90" i="4"/>
  <c r="N90" i="4"/>
  <c r="M90" i="4"/>
  <c r="L90" i="4"/>
  <c r="K90" i="4"/>
  <c r="Q89" i="4"/>
  <c r="O89" i="4"/>
  <c r="N89" i="4"/>
  <c r="M89" i="4"/>
  <c r="L89" i="4"/>
  <c r="K89" i="4"/>
  <c r="Q88" i="4"/>
  <c r="O88" i="4"/>
  <c r="N88" i="4"/>
  <c r="M88" i="4"/>
  <c r="L88" i="4"/>
  <c r="K88" i="4"/>
  <c r="Q87" i="4"/>
  <c r="O87" i="4"/>
  <c r="N87" i="4"/>
  <c r="M87" i="4"/>
  <c r="L87" i="4"/>
  <c r="K87" i="4"/>
  <c r="Q86" i="4"/>
  <c r="O86" i="4"/>
  <c r="N86" i="4"/>
  <c r="M86" i="4"/>
  <c r="L86" i="4"/>
  <c r="K86" i="4"/>
  <c r="Q85" i="4"/>
  <c r="O85" i="4"/>
  <c r="N85" i="4"/>
  <c r="M85" i="4"/>
  <c r="L85" i="4"/>
  <c r="K85" i="4"/>
  <c r="Q84" i="4"/>
  <c r="O84" i="4"/>
  <c r="N84" i="4"/>
  <c r="M84" i="4"/>
  <c r="L84" i="4"/>
  <c r="K84" i="4"/>
  <c r="Q83" i="4"/>
  <c r="O83" i="4"/>
  <c r="N83" i="4"/>
  <c r="M83" i="4"/>
  <c r="L83" i="4"/>
  <c r="K83" i="4"/>
  <c r="Q82" i="4"/>
  <c r="O82" i="4"/>
  <c r="N82" i="4"/>
  <c r="M82" i="4"/>
  <c r="L82" i="4"/>
  <c r="K82" i="4"/>
  <c r="Q81" i="4"/>
  <c r="O81" i="4"/>
  <c r="N81" i="4"/>
  <c r="M81" i="4"/>
  <c r="L81" i="4"/>
  <c r="K81" i="4"/>
  <c r="Q80" i="4"/>
  <c r="O80" i="4"/>
  <c r="N80" i="4"/>
  <c r="M80" i="4"/>
  <c r="L80" i="4"/>
  <c r="K80" i="4"/>
  <c r="Q79" i="4"/>
  <c r="O79" i="4"/>
  <c r="N79" i="4"/>
  <c r="M79" i="4"/>
  <c r="L79" i="4"/>
  <c r="K79" i="4"/>
  <c r="Q78" i="4"/>
  <c r="O78" i="4"/>
  <c r="N78" i="4"/>
  <c r="M78" i="4"/>
  <c r="L78" i="4"/>
  <c r="K78" i="4"/>
  <c r="Q77" i="4"/>
  <c r="O77" i="4"/>
  <c r="N77" i="4"/>
  <c r="M77" i="4"/>
  <c r="L77" i="4"/>
  <c r="K77" i="4"/>
  <c r="Q76" i="4"/>
  <c r="O76" i="4"/>
  <c r="N76" i="4"/>
  <c r="M76" i="4"/>
  <c r="L76" i="4"/>
  <c r="K76" i="4"/>
  <c r="Q75" i="4"/>
  <c r="O75" i="4"/>
  <c r="N75" i="4"/>
  <c r="M75" i="4"/>
  <c r="L75" i="4"/>
  <c r="K75" i="4"/>
  <c r="Q74" i="4"/>
  <c r="O74" i="4"/>
  <c r="N74" i="4"/>
  <c r="M74" i="4"/>
  <c r="L74" i="4"/>
  <c r="K74" i="4"/>
  <c r="Q73" i="4"/>
  <c r="O73" i="4"/>
  <c r="N73" i="4"/>
  <c r="M73" i="4"/>
  <c r="L73" i="4"/>
  <c r="K73" i="4"/>
  <c r="Q72" i="4"/>
  <c r="O72" i="4"/>
  <c r="N72" i="4"/>
  <c r="M72" i="4"/>
  <c r="L72" i="4"/>
  <c r="K72" i="4"/>
  <c r="Q71" i="4"/>
  <c r="O71" i="4"/>
  <c r="N71" i="4"/>
  <c r="M71" i="4"/>
  <c r="L71" i="4"/>
  <c r="K71" i="4"/>
  <c r="Q70" i="4"/>
  <c r="O70" i="4"/>
  <c r="N70" i="4"/>
  <c r="M70" i="4"/>
  <c r="L70" i="4"/>
  <c r="K70" i="4"/>
  <c r="Q69" i="4"/>
  <c r="O69" i="4"/>
  <c r="N69" i="4"/>
  <c r="M69" i="4"/>
  <c r="L69" i="4"/>
  <c r="K69" i="4"/>
  <c r="Q68" i="4"/>
  <c r="O68" i="4"/>
  <c r="N68" i="4"/>
  <c r="M68" i="4"/>
  <c r="L68" i="4"/>
  <c r="K68" i="4"/>
  <c r="Q67" i="4"/>
  <c r="O67" i="4"/>
  <c r="N67" i="4"/>
  <c r="M67" i="4"/>
  <c r="L67" i="4"/>
  <c r="K67" i="4"/>
  <c r="Q66" i="4"/>
  <c r="O66" i="4"/>
  <c r="N66" i="4"/>
  <c r="M66" i="4"/>
  <c r="L66" i="4"/>
  <c r="K66" i="4"/>
  <c r="Q65" i="4"/>
  <c r="O65" i="4"/>
  <c r="N65" i="4"/>
  <c r="M65" i="4"/>
  <c r="L65" i="4"/>
  <c r="K65" i="4"/>
  <c r="Q64" i="4"/>
  <c r="O64" i="4"/>
  <c r="N64" i="4"/>
  <c r="M64" i="4"/>
  <c r="L64" i="4"/>
  <c r="K64" i="4"/>
  <c r="Q63" i="4"/>
  <c r="O63" i="4"/>
  <c r="N63" i="4"/>
  <c r="M63" i="4"/>
  <c r="L63" i="4"/>
  <c r="K63" i="4"/>
  <c r="Q62" i="4"/>
  <c r="O62" i="4"/>
  <c r="N62" i="4"/>
  <c r="M62" i="4"/>
  <c r="L62" i="4"/>
  <c r="K62" i="4"/>
  <c r="Q61" i="4"/>
  <c r="O61" i="4"/>
  <c r="N61" i="4"/>
  <c r="M61" i="4"/>
  <c r="L61" i="4"/>
  <c r="K61" i="4"/>
  <c r="Q60" i="4"/>
  <c r="O60" i="4"/>
  <c r="N60" i="4"/>
  <c r="M60" i="4"/>
  <c r="L60" i="4"/>
  <c r="K60" i="4"/>
  <c r="Q59" i="4"/>
  <c r="O59" i="4"/>
  <c r="N59" i="4"/>
  <c r="M59" i="4"/>
  <c r="L59" i="4"/>
  <c r="K59" i="4"/>
  <c r="Q58" i="4"/>
  <c r="O58" i="4"/>
  <c r="N58" i="4"/>
  <c r="M58" i="4"/>
  <c r="L58" i="4"/>
  <c r="K58" i="4"/>
  <c r="Q57" i="4"/>
  <c r="O57" i="4"/>
  <c r="N57" i="4"/>
  <c r="M57" i="4"/>
  <c r="L57" i="4"/>
  <c r="K57" i="4"/>
  <c r="Q56" i="4"/>
  <c r="O56" i="4"/>
  <c r="N56" i="4"/>
  <c r="M56" i="4"/>
  <c r="L56" i="4"/>
  <c r="K56" i="4"/>
  <c r="Q55" i="4"/>
  <c r="O55" i="4"/>
  <c r="N55" i="4"/>
  <c r="M55" i="4"/>
  <c r="L55" i="4"/>
  <c r="K55" i="4"/>
  <c r="Q54" i="4"/>
  <c r="O54" i="4"/>
  <c r="N54" i="4"/>
  <c r="M54" i="4"/>
  <c r="L54" i="4"/>
  <c r="K54" i="4"/>
  <c r="Q53" i="4"/>
  <c r="O53" i="4"/>
  <c r="N53" i="4"/>
  <c r="M53" i="4"/>
  <c r="L53" i="4"/>
  <c r="K53" i="4"/>
  <c r="Q52" i="4"/>
  <c r="O52" i="4"/>
  <c r="N52" i="4"/>
  <c r="M52" i="4"/>
  <c r="L52" i="4"/>
  <c r="K52" i="4"/>
  <c r="Q51" i="4"/>
  <c r="O51" i="4"/>
  <c r="N51" i="4"/>
  <c r="M51" i="4"/>
  <c r="L51" i="4"/>
  <c r="K51" i="4"/>
  <c r="Q50" i="4"/>
  <c r="O50" i="4"/>
  <c r="N50" i="4"/>
  <c r="M50" i="4"/>
  <c r="L50" i="4"/>
  <c r="K50" i="4"/>
  <c r="Q49" i="4"/>
  <c r="O49" i="4"/>
  <c r="N49" i="4"/>
  <c r="M49" i="4"/>
  <c r="L49" i="4"/>
  <c r="K49" i="4"/>
  <c r="Q48" i="4"/>
  <c r="O48" i="4"/>
  <c r="N48" i="4"/>
  <c r="M48" i="4"/>
  <c r="L48" i="4"/>
  <c r="K48" i="4"/>
  <c r="Q47" i="4"/>
  <c r="O47" i="4"/>
  <c r="N47" i="4"/>
  <c r="M47" i="4"/>
  <c r="L47" i="4"/>
  <c r="K47" i="4"/>
  <c r="Q46" i="4"/>
  <c r="O46" i="4"/>
  <c r="N46" i="4"/>
  <c r="M46" i="4"/>
  <c r="L46" i="4"/>
  <c r="K46" i="4"/>
  <c r="Q45" i="4"/>
  <c r="O45" i="4"/>
  <c r="N45" i="4"/>
  <c r="M45" i="4"/>
  <c r="L45" i="4"/>
  <c r="K45" i="4"/>
  <c r="Q44" i="4"/>
  <c r="O44" i="4"/>
  <c r="N44" i="4"/>
  <c r="M44" i="4"/>
  <c r="L44" i="4"/>
  <c r="K44" i="4"/>
  <c r="Q43" i="4"/>
  <c r="O43" i="4"/>
  <c r="N43" i="4"/>
  <c r="M43" i="4"/>
  <c r="L43" i="4"/>
  <c r="K43" i="4"/>
  <c r="Q42" i="4"/>
  <c r="O42" i="4"/>
  <c r="N42" i="4"/>
  <c r="M42" i="4"/>
  <c r="L42" i="4"/>
  <c r="K42" i="4"/>
  <c r="Q41" i="4"/>
  <c r="O41" i="4"/>
  <c r="N41" i="4"/>
  <c r="M41" i="4"/>
  <c r="L41" i="4"/>
  <c r="K41" i="4"/>
  <c r="Q40" i="4"/>
  <c r="O40" i="4"/>
  <c r="N40" i="4"/>
  <c r="M40" i="4"/>
  <c r="L40" i="4"/>
  <c r="K40" i="4"/>
  <c r="Q39" i="4"/>
  <c r="O39" i="4"/>
  <c r="N39" i="4"/>
  <c r="M39" i="4"/>
  <c r="L39" i="4"/>
  <c r="K39" i="4"/>
  <c r="Q38" i="4"/>
  <c r="O38" i="4"/>
  <c r="N38" i="4"/>
  <c r="M38" i="4"/>
  <c r="L38" i="4"/>
  <c r="K38" i="4"/>
  <c r="Q37" i="4"/>
  <c r="O37" i="4"/>
  <c r="N37" i="4"/>
  <c r="M37" i="4"/>
  <c r="L37" i="4"/>
  <c r="K37" i="4"/>
  <c r="Q36" i="4"/>
  <c r="O36" i="4"/>
  <c r="N36" i="4"/>
  <c r="M36" i="4"/>
  <c r="L36" i="4"/>
  <c r="K36" i="4"/>
  <c r="Q35" i="4"/>
  <c r="O35" i="4"/>
  <c r="N35" i="4"/>
  <c r="M35" i="4"/>
  <c r="L35" i="4"/>
  <c r="K35" i="4"/>
  <c r="Q34" i="4"/>
  <c r="O34" i="4"/>
  <c r="N34" i="4"/>
  <c r="M34" i="4"/>
  <c r="L34" i="4"/>
  <c r="K34" i="4"/>
  <c r="Q33" i="4"/>
  <c r="O33" i="4"/>
  <c r="N33" i="4"/>
  <c r="M33" i="4"/>
  <c r="L33" i="4"/>
  <c r="K33" i="4"/>
  <c r="Q32" i="4"/>
  <c r="O32" i="4"/>
  <c r="N32" i="4"/>
  <c r="M32" i="4"/>
  <c r="L32" i="4"/>
  <c r="K32" i="4"/>
  <c r="Q31" i="4"/>
  <c r="O31" i="4"/>
  <c r="N31" i="4"/>
  <c r="M31" i="4"/>
  <c r="L31" i="4"/>
  <c r="K31" i="4"/>
  <c r="Q30" i="4"/>
  <c r="O30" i="4"/>
  <c r="N30" i="4"/>
  <c r="M30" i="4"/>
  <c r="L30" i="4"/>
  <c r="K30" i="4"/>
  <c r="Q29" i="4"/>
  <c r="O29" i="4"/>
  <c r="N29" i="4"/>
  <c r="M29" i="4"/>
  <c r="L29" i="4"/>
  <c r="K29" i="4"/>
  <c r="Q28" i="4"/>
  <c r="O28" i="4"/>
  <c r="N28" i="4"/>
  <c r="M28" i="4"/>
  <c r="L28" i="4"/>
  <c r="K28" i="4"/>
  <c r="Q27" i="4"/>
  <c r="O27" i="4"/>
  <c r="N27" i="4"/>
  <c r="M27" i="4"/>
  <c r="L27" i="4"/>
  <c r="K27" i="4"/>
  <c r="Q26" i="4"/>
  <c r="O26" i="4"/>
  <c r="N26" i="4"/>
  <c r="M26" i="4"/>
  <c r="L26" i="4"/>
  <c r="K26" i="4"/>
  <c r="Q25" i="4"/>
  <c r="O25" i="4"/>
  <c r="N25" i="4"/>
  <c r="M25" i="4"/>
  <c r="L25" i="4"/>
  <c r="K25" i="4"/>
  <c r="Q24" i="4"/>
  <c r="O24" i="4"/>
  <c r="N24" i="4"/>
  <c r="M24" i="4"/>
  <c r="L24" i="4"/>
  <c r="K24" i="4"/>
  <c r="Q23" i="4"/>
  <c r="O23" i="4"/>
  <c r="N23" i="4"/>
  <c r="M23" i="4"/>
  <c r="L23" i="4"/>
  <c r="K23" i="4"/>
  <c r="Q22" i="4"/>
  <c r="O22" i="4"/>
  <c r="N22" i="4"/>
  <c r="M22" i="4"/>
  <c r="L22" i="4"/>
  <c r="K22" i="4"/>
  <c r="Q21" i="4"/>
  <c r="O21" i="4"/>
  <c r="N21" i="4"/>
  <c r="M21" i="4"/>
  <c r="L21" i="4"/>
  <c r="K21" i="4"/>
  <c r="Q20" i="4"/>
  <c r="O20" i="4"/>
  <c r="N20" i="4"/>
  <c r="M20" i="4"/>
  <c r="L20" i="4"/>
  <c r="K20" i="4"/>
  <c r="Q19" i="4"/>
  <c r="O19" i="4"/>
  <c r="N19" i="4"/>
  <c r="M19" i="4"/>
  <c r="L19" i="4"/>
  <c r="K19" i="4"/>
  <c r="Q18" i="4"/>
  <c r="O18" i="4"/>
  <c r="N18" i="4"/>
  <c r="M18" i="4"/>
  <c r="L18" i="4"/>
  <c r="K18" i="4"/>
  <c r="Q17" i="4"/>
  <c r="O17" i="4"/>
  <c r="N17" i="4"/>
  <c r="M17" i="4"/>
  <c r="L17" i="4"/>
  <c r="K17" i="4"/>
  <c r="Q16" i="4"/>
  <c r="O16" i="4"/>
  <c r="N16" i="4"/>
  <c r="M16" i="4"/>
  <c r="L16" i="4"/>
  <c r="K16" i="4"/>
  <c r="Q15" i="4"/>
  <c r="O15" i="4"/>
  <c r="N15" i="4"/>
  <c r="M15" i="4"/>
  <c r="L15" i="4"/>
  <c r="K15" i="4"/>
  <c r="Q14" i="4"/>
  <c r="O14" i="4"/>
  <c r="N14" i="4"/>
  <c r="M14" i="4"/>
  <c r="L14" i="4"/>
  <c r="K14" i="4"/>
  <c r="Q13" i="4"/>
  <c r="O13" i="4"/>
  <c r="N13" i="4"/>
  <c r="M13" i="4"/>
  <c r="L13" i="4"/>
  <c r="K13" i="4"/>
  <c r="Q12" i="4"/>
  <c r="O12" i="4"/>
  <c r="N12" i="4"/>
  <c r="M12" i="4"/>
  <c r="L12" i="4"/>
  <c r="K12" i="4"/>
  <c r="Q11" i="4"/>
  <c r="O11" i="4"/>
  <c r="N11" i="4"/>
  <c r="M11" i="4"/>
  <c r="L11" i="4"/>
  <c r="K11" i="4"/>
  <c r="Q10" i="4"/>
  <c r="O10" i="4"/>
  <c r="N10" i="4"/>
  <c r="M10" i="4"/>
  <c r="L10" i="4"/>
  <c r="K10" i="4"/>
  <c r="Q9" i="4"/>
  <c r="O9" i="4"/>
  <c r="N9" i="4"/>
  <c r="M9" i="4"/>
  <c r="L9" i="4"/>
  <c r="K9" i="4"/>
  <c r="Q8" i="4"/>
  <c r="O8" i="4"/>
  <c r="N8" i="4"/>
  <c r="M8" i="4"/>
  <c r="L8" i="4"/>
  <c r="K8" i="4"/>
  <c r="Q7" i="4"/>
  <c r="O7" i="4"/>
  <c r="N7" i="4"/>
  <c r="M7" i="4"/>
  <c r="L7" i="4"/>
  <c r="K7" i="4"/>
  <c r="Q6" i="4"/>
  <c r="O6" i="4"/>
  <c r="N6" i="4"/>
  <c r="M6" i="4"/>
  <c r="L6" i="4"/>
  <c r="K6" i="4"/>
  <c r="Q5" i="4"/>
  <c r="O5" i="4"/>
  <c r="N5" i="4"/>
  <c r="M5" i="4"/>
  <c r="L5" i="4"/>
  <c r="K5" i="4"/>
  <c r="Q4" i="4"/>
  <c r="O4" i="4"/>
  <c r="N4" i="4"/>
  <c r="M4" i="4"/>
  <c r="L4" i="4"/>
  <c r="K4" i="4"/>
  <c r="Q3" i="4"/>
  <c r="O3" i="4"/>
  <c r="N3" i="4"/>
  <c r="M3" i="4"/>
  <c r="L3" i="4"/>
  <c r="K3" i="4"/>
  <c r="Q2" i="4"/>
  <c r="O2" i="4"/>
  <c r="N2" i="4"/>
  <c r="M2" i="4"/>
  <c r="L2" i="4"/>
  <c r="K2" i="4"/>
  <c r="A16" i="4"/>
  <c r="H16" i="4" s="1"/>
  <c r="B16" i="4"/>
  <c r="C16" i="4"/>
  <c r="F16" i="4"/>
  <c r="R16" i="4"/>
  <c r="T16" i="4"/>
  <c r="U16" i="4"/>
  <c r="A17" i="4"/>
  <c r="H17" i="4" s="1"/>
  <c r="B17" i="4"/>
  <c r="C17" i="4"/>
  <c r="F17" i="4"/>
  <c r="R17" i="4"/>
  <c r="T17" i="4"/>
  <c r="U17" i="4"/>
  <c r="A18" i="4"/>
  <c r="H18" i="4" s="1"/>
  <c r="B18" i="4"/>
  <c r="C18" i="4"/>
  <c r="F18" i="4"/>
  <c r="R18" i="4"/>
  <c r="T18" i="4"/>
  <c r="U18" i="4"/>
  <c r="A19" i="4"/>
  <c r="H19" i="4" s="1"/>
  <c r="B19" i="4"/>
  <c r="C19" i="4"/>
  <c r="F19" i="4"/>
  <c r="R19" i="4"/>
  <c r="T19" i="4"/>
  <c r="U19" i="4"/>
  <c r="A20" i="4"/>
  <c r="H20" i="4" s="1"/>
  <c r="B20" i="4"/>
  <c r="C20" i="4"/>
  <c r="F20" i="4"/>
  <c r="R20" i="4"/>
  <c r="T20" i="4"/>
  <c r="U20" i="4"/>
  <c r="A21" i="4"/>
  <c r="H21" i="4" s="1"/>
  <c r="B21" i="4"/>
  <c r="C21" i="4"/>
  <c r="F21" i="4"/>
  <c r="R21" i="4"/>
  <c r="T21" i="4"/>
  <c r="U21" i="4"/>
  <c r="A22" i="4"/>
  <c r="H22" i="4" s="1"/>
  <c r="B22" i="4"/>
  <c r="C22" i="4"/>
  <c r="F22" i="4"/>
  <c r="R22" i="4"/>
  <c r="T22" i="4"/>
  <c r="U22" i="4"/>
  <c r="A23" i="4"/>
  <c r="H23" i="4" s="1"/>
  <c r="B23" i="4"/>
  <c r="C23" i="4"/>
  <c r="F23" i="4"/>
  <c r="R23" i="4"/>
  <c r="T23" i="4"/>
  <c r="U23" i="4"/>
  <c r="A24" i="4"/>
  <c r="H24" i="4" s="1"/>
  <c r="B24" i="4"/>
  <c r="C24" i="4"/>
  <c r="F24" i="4"/>
  <c r="R24" i="4"/>
  <c r="T24" i="4"/>
  <c r="U24" i="4"/>
  <c r="A25" i="4"/>
  <c r="H25" i="4" s="1"/>
  <c r="B25" i="4"/>
  <c r="C25" i="4"/>
  <c r="F25" i="4"/>
  <c r="R25" i="4"/>
  <c r="T25" i="4"/>
  <c r="U25" i="4"/>
  <c r="A26" i="4"/>
  <c r="H26" i="4" s="1"/>
  <c r="B26" i="4"/>
  <c r="C26" i="4"/>
  <c r="F26" i="4"/>
  <c r="R26" i="4"/>
  <c r="T26" i="4"/>
  <c r="U26" i="4"/>
  <c r="A27" i="4"/>
  <c r="H27" i="4" s="1"/>
  <c r="B27" i="4"/>
  <c r="C27" i="4"/>
  <c r="F27" i="4"/>
  <c r="R27" i="4"/>
  <c r="T27" i="4"/>
  <c r="U27" i="4"/>
  <c r="A28" i="4"/>
  <c r="H28" i="4" s="1"/>
  <c r="B28" i="4"/>
  <c r="C28" i="4"/>
  <c r="F28" i="4"/>
  <c r="R28" i="4"/>
  <c r="T28" i="4"/>
  <c r="U28" i="4"/>
  <c r="A29" i="4"/>
  <c r="H29" i="4" s="1"/>
  <c r="B29" i="4"/>
  <c r="C29" i="4"/>
  <c r="F29" i="4"/>
  <c r="R29" i="4"/>
  <c r="T29" i="4"/>
  <c r="U29" i="4"/>
  <c r="A30" i="4"/>
  <c r="H30" i="4" s="1"/>
  <c r="B30" i="4"/>
  <c r="C30" i="4"/>
  <c r="F30" i="4"/>
  <c r="R30" i="4"/>
  <c r="T30" i="4"/>
  <c r="U30" i="4"/>
  <c r="A31" i="4"/>
  <c r="H31" i="4" s="1"/>
  <c r="B31" i="4"/>
  <c r="C31" i="4"/>
  <c r="F31" i="4"/>
  <c r="R31" i="4"/>
  <c r="T31" i="4"/>
  <c r="U31" i="4"/>
  <c r="A32" i="4"/>
  <c r="H32" i="4" s="1"/>
  <c r="B32" i="4"/>
  <c r="C32" i="4"/>
  <c r="F32" i="4"/>
  <c r="R32" i="4"/>
  <c r="T32" i="4"/>
  <c r="U32" i="4"/>
  <c r="A33" i="4"/>
  <c r="H33" i="4" s="1"/>
  <c r="B33" i="4"/>
  <c r="C33" i="4"/>
  <c r="F33" i="4"/>
  <c r="R33" i="4"/>
  <c r="T33" i="4"/>
  <c r="U33" i="4"/>
  <c r="A34" i="4"/>
  <c r="H34" i="4" s="1"/>
  <c r="B34" i="4"/>
  <c r="C34" i="4"/>
  <c r="F34" i="4"/>
  <c r="R34" i="4"/>
  <c r="T34" i="4"/>
  <c r="U34" i="4"/>
  <c r="A35" i="4"/>
  <c r="H35" i="4" s="1"/>
  <c r="B35" i="4"/>
  <c r="C35" i="4"/>
  <c r="F35" i="4"/>
  <c r="R35" i="4"/>
  <c r="T35" i="4"/>
  <c r="U35" i="4"/>
  <c r="A36" i="4"/>
  <c r="H36" i="4" s="1"/>
  <c r="B36" i="4"/>
  <c r="C36" i="4"/>
  <c r="F36" i="4"/>
  <c r="R36" i="4"/>
  <c r="T36" i="4"/>
  <c r="U36" i="4"/>
  <c r="A37" i="4"/>
  <c r="H37" i="4" s="1"/>
  <c r="B37" i="4"/>
  <c r="C37" i="4"/>
  <c r="F37" i="4"/>
  <c r="R37" i="4"/>
  <c r="T37" i="4"/>
  <c r="U37" i="4"/>
  <c r="A38" i="4"/>
  <c r="H38" i="4" s="1"/>
  <c r="B38" i="4"/>
  <c r="C38" i="4"/>
  <c r="F38" i="4"/>
  <c r="R38" i="4"/>
  <c r="T38" i="4"/>
  <c r="U38" i="4"/>
  <c r="A39" i="4"/>
  <c r="H39" i="4" s="1"/>
  <c r="B39" i="4"/>
  <c r="C39" i="4"/>
  <c r="F39" i="4"/>
  <c r="R39" i="4"/>
  <c r="T39" i="4"/>
  <c r="U39" i="4"/>
  <c r="A40" i="4"/>
  <c r="H40" i="4" s="1"/>
  <c r="B40" i="4"/>
  <c r="C40" i="4"/>
  <c r="F40" i="4"/>
  <c r="R40" i="4"/>
  <c r="T40" i="4"/>
  <c r="U40" i="4"/>
  <c r="A41" i="4"/>
  <c r="H41" i="4" s="1"/>
  <c r="B41" i="4"/>
  <c r="C41" i="4"/>
  <c r="F41" i="4"/>
  <c r="R41" i="4"/>
  <c r="T41" i="4"/>
  <c r="U41" i="4"/>
  <c r="A42" i="4"/>
  <c r="H42" i="4" s="1"/>
  <c r="B42" i="4"/>
  <c r="C42" i="4"/>
  <c r="F42" i="4"/>
  <c r="R42" i="4"/>
  <c r="T42" i="4"/>
  <c r="U42" i="4"/>
  <c r="A43" i="4"/>
  <c r="H43" i="4" s="1"/>
  <c r="B43" i="4"/>
  <c r="C43" i="4"/>
  <c r="F43" i="4"/>
  <c r="R43" i="4"/>
  <c r="T43" i="4"/>
  <c r="U43" i="4"/>
  <c r="A44" i="4"/>
  <c r="H44" i="4" s="1"/>
  <c r="B44" i="4"/>
  <c r="C44" i="4"/>
  <c r="F44" i="4"/>
  <c r="R44" i="4"/>
  <c r="T44" i="4"/>
  <c r="U44" i="4"/>
  <c r="A45" i="4"/>
  <c r="H45" i="4" s="1"/>
  <c r="B45" i="4"/>
  <c r="C45" i="4"/>
  <c r="F45" i="4"/>
  <c r="R45" i="4"/>
  <c r="T45" i="4"/>
  <c r="U45" i="4"/>
  <c r="A46" i="4"/>
  <c r="H46" i="4" s="1"/>
  <c r="B46" i="4"/>
  <c r="C46" i="4"/>
  <c r="F46" i="4"/>
  <c r="R46" i="4"/>
  <c r="T46" i="4"/>
  <c r="U46" i="4"/>
  <c r="A47" i="4"/>
  <c r="H47" i="4" s="1"/>
  <c r="B47" i="4"/>
  <c r="C47" i="4"/>
  <c r="F47" i="4"/>
  <c r="R47" i="4"/>
  <c r="T47" i="4"/>
  <c r="U47" i="4"/>
  <c r="A48" i="4"/>
  <c r="H48" i="4" s="1"/>
  <c r="B48" i="4"/>
  <c r="C48" i="4"/>
  <c r="F48" i="4"/>
  <c r="R48" i="4"/>
  <c r="T48" i="4"/>
  <c r="U48" i="4"/>
  <c r="A49" i="4"/>
  <c r="H49" i="4" s="1"/>
  <c r="B49" i="4"/>
  <c r="C49" i="4"/>
  <c r="F49" i="4"/>
  <c r="R49" i="4"/>
  <c r="T49" i="4"/>
  <c r="U49" i="4"/>
  <c r="A50" i="4"/>
  <c r="H50" i="4" s="1"/>
  <c r="B50" i="4"/>
  <c r="C50" i="4"/>
  <c r="F50" i="4"/>
  <c r="R50" i="4"/>
  <c r="T50" i="4"/>
  <c r="U50" i="4"/>
  <c r="A51" i="4"/>
  <c r="H51" i="4" s="1"/>
  <c r="B51" i="4"/>
  <c r="C51" i="4"/>
  <c r="F51" i="4"/>
  <c r="R51" i="4"/>
  <c r="T51" i="4"/>
  <c r="U51" i="4"/>
  <c r="A52" i="4"/>
  <c r="H52" i="4" s="1"/>
  <c r="B52" i="4"/>
  <c r="C52" i="4"/>
  <c r="F52" i="4"/>
  <c r="R52" i="4"/>
  <c r="T52" i="4"/>
  <c r="U52" i="4"/>
  <c r="A53" i="4"/>
  <c r="H53" i="4" s="1"/>
  <c r="B53" i="4"/>
  <c r="C53" i="4"/>
  <c r="F53" i="4"/>
  <c r="R53" i="4"/>
  <c r="T53" i="4"/>
  <c r="U53" i="4"/>
  <c r="A54" i="4"/>
  <c r="H54" i="4" s="1"/>
  <c r="B54" i="4"/>
  <c r="C54" i="4"/>
  <c r="F54" i="4"/>
  <c r="R54" i="4"/>
  <c r="T54" i="4"/>
  <c r="U54" i="4"/>
  <c r="A55" i="4"/>
  <c r="H55" i="4" s="1"/>
  <c r="B55" i="4"/>
  <c r="C55" i="4"/>
  <c r="F55" i="4"/>
  <c r="R55" i="4"/>
  <c r="T55" i="4"/>
  <c r="U55" i="4"/>
  <c r="A56" i="4"/>
  <c r="H56" i="4" s="1"/>
  <c r="B56" i="4"/>
  <c r="C56" i="4"/>
  <c r="F56" i="4"/>
  <c r="R56" i="4"/>
  <c r="T56" i="4"/>
  <c r="U56" i="4"/>
  <c r="A57" i="4"/>
  <c r="H57" i="4" s="1"/>
  <c r="B57" i="4"/>
  <c r="C57" i="4"/>
  <c r="F57" i="4"/>
  <c r="R57" i="4"/>
  <c r="T57" i="4"/>
  <c r="U57" i="4"/>
  <c r="A58" i="4"/>
  <c r="H58" i="4" s="1"/>
  <c r="B58" i="4"/>
  <c r="C58" i="4"/>
  <c r="F58" i="4"/>
  <c r="R58" i="4"/>
  <c r="T58" i="4"/>
  <c r="U58" i="4"/>
  <c r="A59" i="4"/>
  <c r="H59" i="4" s="1"/>
  <c r="B59" i="4"/>
  <c r="C59" i="4"/>
  <c r="F59" i="4"/>
  <c r="R59" i="4"/>
  <c r="T59" i="4"/>
  <c r="U59" i="4"/>
  <c r="A60" i="4"/>
  <c r="H60" i="4" s="1"/>
  <c r="B60" i="4"/>
  <c r="C60" i="4"/>
  <c r="F60" i="4"/>
  <c r="R60" i="4"/>
  <c r="T60" i="4"/>
  <c r="U60" i="4"/>
  <c r="A61" i="4"/>
  <c r="H61" i="4" s="1"/>
  <c r="B61" i="4"/>
  <c r="C61" i="4"/>
  <c r="F61" i="4"/>
  <c r="R61" i="4"/>
  <c r="T61" i="4"/>
  <c r="U61" i="4"/>
  <c r="A62" i="4"/>
  <c r="H62" i="4" s="1"/>
  <c r="B62" i="4"/>
  <c r="C62" i="4"/>
  <c r="F62" i="4"/>
  <c r="R62" i="4"/>
  <c r="T62" i="4"/>
  <c r="U62" i="4"/>
  <c r="A63" i="4"/>
  <c r="H63" i="4" s="1"/>
  <c r="B63" i="4"/>
  <c r="C63" i="4"/>
  <c r="F63" i="4"/>
  <c r="R63" i="4"/>
  <c r="T63" i="4"/>
  <c r="U63" i="4"/>
  <c r="A64" i="4"/>
  <c r="H64" i="4" s="1"/>
  <c r="B64" i="4"/>
  <c r="C64" i="4"/>
  <c r="F64" i="4"/>
  <c r="R64" i="4"/>
  <c r="T64" i="4"/>
  <c r="U64" i="4"/>
  <c r="A65" i="4"/>
  <c r="H65" i="4" s="1"/>
  <c r="B65" i="4"/>
  <c r="C65" i="4"/>
  <c r="E65" i="4"/>
  <c r="F65" i="4"/>
  <c r="R65" i="4"/>
  <c r="T65" i="4"/>
  <c r="U65" i="4"/>
  <c r="A66" i="4"/>
  <c r="H66" i="4" s="1"/>
  <c r="B66" i="4"/>
  <c r="C66" i="4"/>
  <c r="E66" i="4"/>
  <c r="F66" i="4"/>
  <c r="R66" i="4"/>
  <c r="T66" i="4"/>
  <c r="U66" i="4"/>
  <c r="A67" i="4"/>
  <c r="H67" i="4" s="1"/>
  <c r="B67" i="4"/>
  <c r="C67" i="4"/>
  <c r="E67" i="4"/>
  <c r="F67" i="4"/>
  <c r="R67" i="4"/>
  <c r="T67" i="4"/>
  <c r="U67" i="4"/>
  <c r="A68" i="4"/>
  <c r="H68" i="4" s="1"/>
  <c r="B68" i="4"/>
  <c r="C68" i="4"/>
  <c r="E68" i="4"/>
  <c r="F68" i="4"/>
  <c r="R68" i="4"/>
  <c r="T68" i="4"/>
  <c r="U68" i="4"/>
  <c r="A69" i="4"/>
  <c r="H69" i="4" s="1"/>
  <c r="B69" i="4"/>
  <c r="C69" i="4"/>
  <c r="E69" i="4"/>
  <c r="F69" i="4"/>
  <c r="R69" i="4"/>
  <c r="T69" i="4"/>
  <c r="U69" i="4"/>
  <c r="A70" i="4"/>
  <c r="H70" i="4" s="1"/>
  <c r="B70" i="4"/>
  <c r="C70" i="4"/>
  <c r="E70" i="4"/>
  <c r="F70" i="4"/>
  <c r="R70" i="4"/>
  <c r="T70" i="4"/>
  <c r="U70" i="4"/>
  <c r="A71" i="4"/>
  <c r="H71" i="4" s="1"/>
  <c r="B71" i="4"/>
  <c r="C71" i="4"/>
  <c r="E71" i="4"/>
  <c r="F71" i="4"/>
  <c r="R71" i="4"/>
  <c r="T71" i="4"/>
  <c r="U71" i="4"/>
  <c r="A72" i="4"/>
  <c r="H72" i="4" s="1"/>
  <c r="B72" i="4"/>
  <c r="C72" i="4"/>
  <c r="E72" i="4"/>
  <c r="F72" i="4"/>
  <c r="R72" i="4"/>
  <c r="T72" i="4"/>
  <c r="U72" i="4"/>
  <c r="A73" i="4"/>
  <c r="H73" i="4" s="1"/>
  <c r="B73" i="4"/>
  <c r="C73" i="4"/>
  <c r="E73" i="4"/>
  <c r="F73" i="4"/>
  <c r="R73" i="4"/>
  <c r="T73" i="4"/>
  <c r="U73" i="4"/>
  <c r="A74" i="4"/>
  <c r="H74" i="4" s="1"/>
  <c r="B74" i="4"/>
  <c r="C74" i="4"/>
  <c r="E74" i="4"/>
  <c r="F74" i="4"/>
  <c r="R74" i="4"/>
  <c r="T74" i="4"/>
  <c r="U74" i="4"/>
  <c r="A75" i="4"/>
  <c r="H75" i="4" s="1"/>
  <c r="B75" i="4"/>
  <c r="C75" i="4"/>
  <c r="E75" i="4"/>
  <c r="F75" i="4"/>
  <c r="R75" i="4"/>
  <c r="T75" i="4"/>
  <c r="U75" i="4"/>
  <c r="A76" i="4"/>
  <c r="H76" i="4" s="1"/>
  <c r="B76" i="4"/>
  <c r="C76" i="4"/>
  <c r="E76" i="4"/>
  <c r="F76" i="4"/>
  <c r="R76" i="4"/>
  <c r="T76" i="4"/>
  <c r="U76" i="4"/>
  <c r="A77" i="4"/>
  <c r="H77" i="4" s="1"/>
  <c r="B77" i="4"/>
  <c r="C77" i="4"/>
  <c r="E77" i="4"/>
  <c r="F77" i="4"/>
  <c r="R77" i="4"/>
  <c r="T77" i="4"/>
  <c r="U77" i="4"/>
  <c r="A78" i="4"/>
  <c r="H78" i="4" s="1"/>
  <c r="B78" i="4"/>
  <c r="C78" i="4"/>
  <c r="E78" i="4"/>
  <c r="F78" i="4"/>
  <c r="R78" i="4"/>
  <c r="T78" i="4"/>
  <c r="U78" i="4"/>
  <c r="A79" i="4"/>
  <c r="H79" i="4" s="1"/>
  <c r="B79" i="4"/>
  <c r="C79" i="4"/>
  <c r="E79" i="4"/>
  <c r="F79" i="4"/>
  <c r="R79" i="4"/>
  <c r="T79" i="4"/>
  <c r="U79" i="4"/>
  <c r="A80" i="4"/>
  <c r="H80" i="4" s="1"/>
  <c r="B80" i="4"/>
  <c r="C80" i="4"/>
  <c r="E80" i="4"/>
  <c r="F80" i="4"/>
  <c r="R80" i="4"/>
  <c r="T80" i="4"/>
  <c r="U80" i="4"/>
  <c r="A81" i="4"/>
  <c r="H81" i="4" s="1"/>
  <c r="B81" i="4"/>
  <c r="C81" i="4"/>
  <c r="E81" i="4"/>
  <c r="F81" i="4"/>
  <c r="R81" i="4"/>
  <c r="T81" i="4"/>
  <c r="U81" i="4"/>
  <c r="A82" i="4"/>
  <c r="H82" i="4" s="1"/>
  <c r="B82" i="4"/>
  <c r="C82" i="4"/>
  <c r="E82" i="4"/>
  <c r="I82" i="4" s="1"/>
  <c r="F82" i="4"/>
  <c r="R82" i="4"/>
  <c r="T82" i="4"/>
  <c r="U82" i="4"/>
  <c r="A83" i="4"/>
  <c r="H83" i="4" s="1"/>
  <c r="B83" i="4"/>
  <c r="C83" i="4"/>
  <c r="E83" i="4"/>
  <c r="F83" i="4"/>
  <c r="R83" i="4"/>
  <c r="T83" i="4"/>
  <c r="U83" i="4"/>
  <c r="A84" i="4"/>
  <c r="H84" i="4" s="1"/>
  <c r="B84" i="4"/>
  <c r="C84" i="4"/>
  <c r="E84" i="4"/>
  <c r="F84" i="4"/>
  <c r="R84" i="4"/>
  <c r="T84" i="4"/>
  <c r="U84" i="4"/>
  <c r="A85" i="4"/>
  <c r="H85" i="4" s="1"/>
  <c r="B85" i="4"/>
  <c r="C85" i="4"/>
  <c r="E85" i="4"/>
  <c r="F85" i="4"/>
  <c r="R85" i="4"/>
  <c r="T85" i="4"/>
  <c r="U85" i="4"/>
  <c r="A86" i="4"/>
  <c r="H86" i="4" s="1"/>
  <c r="B86" i="4"/>
  <c r="C86" i="4"/>
  <c r="E86" i="4"/>
  <c r="F86" i="4"/>
  <c r="R86" i="4"/>
  <c r="T86" i="4"/>
  <c r="U86" i="4"/>
  <c r="A87" i="4"/>
  <c r="H87" i="4" s="1"/>
  <c r="B87" i="4"/>
  <c r="C87" i="4"/>
  <c r="E87" i="4"/>
  <c r="F87" i="4"/>
  <c r="R87" i="4"/>
  <c r="T87" i="4"/>
  <c r="U87" i="4"/>
  <c r="A88" i="4"/>
  <c r="H88" i="4" s="1"/>
  <c r="B88" i="4"/>
  <c r="C88" i="4"/>
  <c r="E88" i="4"/>
  <c r="F88" i="4"/>
  <c r="R88" i="4"/>
  <c r="T88" i="4"/>
  <c r="U88" i="4"/>
  <c r="A89" i="4"/>
  <c r="H89" i="4" s="1"/>
  <c r="B89" i="4"/>
  <c r="C89" i="4"/>
  <c r="G89" i="4" s="1"/>
  <c r="E89" i="4"/>
  <c r="F89" i="4"/>
  <c r="R89" i="4"/>
  <c r="T89" i="4"/>
  <c r="U89" i="4"/>
  <c r="A90" i="4"/>
  <c r="H90" i="4" s="1"/>
  <c r="B90" i="4"/>
  <c r="C90" i="4"/>
  <c r="E90" i="4"/>
  <c r="F90" i="4"/>
  <c r="R90" i="4"/>
  <c r="T90" i="4"/>
  <c r="U90" i="4"/>
  <c r="A91" i="4"/>
  <c r="H91" i="4" s="1"/>
  <c r="B91" i="4"/>
  <c r="C91" i="4"/>
  <c r="E91" i="4"/>
  <c r="F91" i="4"/>
  <c r="R91" i="4"/>
  <c r="T91" i="4"/>
  <c r="U91" i="4"/>
  <c r="A92" i="4"/>
  <c r="H92" i="4" s="1"/>
  <c r="B92" i="4"/>
  <c r="C92" i="4"/>
  <c r="E92" i="4"/>
  <c r="F92" i="4"/>
  <c r="R92" i="4"/>
  <c r="T92" i="4"/>
  <c r="U92" i="4"/>
  <c r="A93" i="4"/>
  <c r="H93" i="4" s="1"/>
  <c r="B93" i="4"/>
  <c r="C93" i="4"/>
  <c r="G93" i="4" s="1"/>
  <c r="E93" i="4"/>
  <c r="F93" i="4"/>
  <c r="R93" i="4"/>
  <c r="T93" i="4"/>
  <c r="U93" i="4"/>
  <c r="A94" i="4"/>
  <c r="H94" i="4" s="1"/>
  <c r="B94" i="4"/>
  <c r="C94" i="4"/>
  <c r="E94" i="4"/>
  <c r="F94" i="4"/>
  <c r="R94" i="4"/>
  <c r="T94" i="4"/>
  <c r="U94" i="4"/>
  <c r="A95" i="4"/>
  <c r="H95" i="4" s="1"/>
  <c r="B95" i="4"/>
  <c r="C95" i="4"/>
  <c r="E95" i="4"/>
  <c r="F95" i="4"/>
  <c r="R95" i="4"/>
  <c r="T95" i="4"/>
  <c r="U95" i="4"/>
  <c r="A96" i="4"/>
  <c r="H96" i="4" s="1"/>
  <c r="B96" i="4"/>
  <c r="C96" i="4"/>
  <c r="E96" i="4"/>
  <c r="F96" i="4"/>
  <c r="R96" i="4"/>
  <c r="T96" i="4"/>
  <c r="U96" i="4"/>
  <c r="A97" i="4"/>
  <c r="H97" i="4" s="1"/>
  <c r="B97" i="4"/>
  <c r="C97" i="4"/>
  <c r="E97" i="4"/>
  <c r="F97" i="4"/>
  <c r="R97" i="4"/>
  <c r="T97" i="4"/>
  <c r="U97" i="4"/>
  <c r="A98" i="4"/>
  <c r="H98" i="4" s="1"/>
  <c r="B98" i="4"/>
  <c r="C98" i="4"/>
  <c r="E98" i="4"/>
  <c r="F98" i="4"/>
  <c r="R98" i="4"/>
  <c r="T98" i="4"/>
  <c r="U98" i="4"/>
  <c r="A99" i="4"/>
  <c r="H99" i="4" s="1"/>
  <c r="B99" i="4"/>
  <c r="C99" i="4"/>
  <c r="E99" i="4"/>
  <c r="F99" i="4"/>
  <c r="R99" i="4"/>
  <c r="T99" i="4"/>
  <c r="U99" i="4"/>
  <c r="A100" i="4"/>
  <c r="H100" i="4" s="1"/>
  <c r="B100" i="4"/>
  <c r="C100" i="4"/>
  <c r="E100" i="4"/>
  <c r="F100" i="4"/>
  <c r="R100" i="4"/>
  <c r="T100" i="4"/>
  <c r="U100" i="4"/>
  <c r="A101" i="4"/>
  <c r="H101" i="4" s="1"/>
  <c r="B101" i="4"/>
  <c r="C101" i="4"/>
  <c r="E101" i="4"/>
  <c r="F101" i="4"/>
  <c r="R101" i="4"/>
  <c r="T101" i="4"/>
  <c r="U101" i="4"/>
  <c r="A102" i="4"/>
  <c r="H102" i="4" s="1"/>
  <c r="B102" i="4"/>
  <c r="C102" i="4"/>
  <c r="E102" i="4"/>
  <c r="F102" i="4"/>
  <c r="R102" i="4"/>
  <c r="T102" i="4"/>
  <c r="U102" i="4"/>
  <c r="A103" i="4"/>
  <c r="H103" i="4" s="1"/>
  <c r="B103" i="4"/>
  <c r="C103" i="4"/>
  <c r="E103" i="4"/>
  <c r="F103" i="4"/>
  <c r="R103" i="4"/>
  <c r="T103" i="4"/>
  <c r="U103" i="4"/>
  <c r="A104" i="4"/>
  <c r="H104" i="4" s="1"/>
  <c r="B104" i="4"/>
  <c r="C104" i="4"/>
  <c r="I104" i="4" s="1"/>
  <c r="E104" i="4"/>
  <c r="F104" i="4"/>
  <c r="R104" i="4"/>
  <c r="T104" i="4"/>
  <c r="U104" i="4"/>
  <c r="A105" i="4"/>
  <c r="H105" i="4" s="1"/>
  <c r="B105" i="4"/>
  <c r="C105" i="4"/>
  <c r="E105" i="4"/>
  <c r="F105" i="4"/>
  <c r="R105" i="4"/>
  <c r="T105" i="4"/>
  <c r="U105" i="4"/>
  <c r="A106" i="4"/>
  <c r="H106" i="4" s="1"/>
  <c r="B106" i="4"/>
  <c r="C106" i="4"/>
  <c r="E106" i="4"/>
  <c r="F106" i="4"/>
  <c r="R106" i="4"/>
  <c r="T106" i="4"/>
  <c r="U106" i="4"/>
  <c r="A107" i="4"/>
  <c r="H107" i="4" s="1"/>
  <c r="B107" i="4"/>
  <c r="C107" i="4"/>
  <c r="E107" i="4"/>
  <c r="F107" i="4"/>
  <c r="R107" i="4"/>
  <c r="T107" i="4"/>
  <c r="U107" i="4"/>
  <c r="A108" i="4"/>
  <c r="H108" i="4" s="1"/>
  <c r="B108" i="4"/>
  <c r="C108" i="4"/>
  <c r="E108" i="4"/>
  <c r="F108" i="4"/>
  <c r="R108" i="4"/>
  <c r="T108" i="4"/>
  <c r="U108" i="4"/>
  <c r="A109" i="4"/>
  <c r="H109" i="4" s="1"/>
  <c r="B109" i="4"/>
  <c r="C109" i="4"/>
  <c r="E109" i="4"/>
  <c r="F109" i="4"/>
  <c r="R109" i="4"/>
  <c r="T109" i="4"/>
  <c r="U109" i="4"/>
  <c r="A110" i="4"/>
  <c r="H110" i="4" s="1"/>
  <c r="B110" i="4"/>
  <c r="C110" i="4"/>
  <c r="E110" i="4"/>
  <c r="F110" i="4"/>
  <c r="R110" i="4"/>
  <c r="T110" i="4"/>
  <c r="U110" i="4"/>
  <c r="A111" i="4"/>
  <c r="H111" i="4" s="1"/>
  <c r="B111" i="4"/>
  <c r="C111" i="4"/>
  <c r="E111" i="4"/>
  <c r="F111" i="4"/>
  <c r="R111" i="4"/>
  <c r="T111" i="4"/>
  <c r="U111" i="4"/>
  <c r="A112" i="4"/>
  <c r="H112" i="4" s="1"/>
  <c r="B112" i="4"/>
  <c r="C112" i="4"/>
  <c r="E112" i="4"/>
  <c r="F112" i="4"/>
  <c r="R112" i="4"/>
  <c r="T112" i="4"/>
  <c r="U112" i="4"/>
  <c r="A113" i="4"/>
  <c r="H113" i="4" s="1"/>
  <c r="B113" i="4"/>
  <c r="C113" i="4"/>
  <c r="E113" i="4"/>
  <c r="F113" i="4"/>
  <c r="R113" i="4"/>
  <c r="T113" i="4"/>
  <c r="U113" i="4"/>
  <c r="A114" i="4"/>
  <c r="H114" i="4" s="1"/>
  <c r="B114" i="4"/>
  <c r="C114" i="4"/>
  <c r="E114" i="4"/>
  <c r="F114" i="4"/>
  <c r="R114" i="4"/>
  <c r="T114" i="4"/>
  <c r="U114" i="4"/>
  <c r="A115" i="4"/>
  <c r="H115" i="4" s="1"/>
  <c r="B115" i="4"/>
  <c r="C115" i="4"/>
  <c r="E115" i="4"/>
  <c r="F115" i="4"/>
  <c r="R115" i="4"/>
  <c r="T115" i="4"/>
  <c r="U115" i="4"/>
  <c r="A116" i="4"/>
  <c r="H116" i="4" s="1"/>
  <c r="B116" i="4"/>
  <c r="C116" i="4"/>
  <c r="E116" i="4"/>
  <c r="F116" i="4"/>
  <c r="R116" i="4"/>
  <c r="T116" i="4"/>
  <c r="U116" i="4"/>
  <c r="A117" i="4"/>
  <c r="H117" i="4" s="1"/>
  <c r="B117" i="4"/>
  <c r="C117" i="4"/>
  <c r="E117" i="4"/>
  <c r="F117" i="4"/>
  <c r="R117" i="4"/>
  <c r="T117" i="4"/>
  <c r="U117" i="4"/>
  <c r="A118" i="4"/>
  <c r="H118" i="4" s="1"/>
  <c r="B118" i="4"/>
  <c r="C118" i="4"/>
  <c r="E118" i="4"/>
  <c r="F118" i="4"/>
  <c r="R118" i="4"/>
  <c r="T118" i="4"/>
  <c r="U118" i="4"/>
  <c r="A119" i="4"/>
  <c r="H119" i="4" s="1"/>
  <c r="B119" i="4"/>
  <c r="C119" i="4"/>
  <c r="E119" i="4"/>
  <c r="F119" i="4"/>
  <c r="R119" i="4"/>
  <c r="T119" i="4"/>
  <c r="U119" i="4"/>
  <c r="A120" i="4"/>
  <c r="H120" i="4" s="1"/>
  <c r="B120" i="4"/>
  <c r="C120" i="4"/>
  <c r="E120" i="4"/>
  <c r="F120" i="4"/>
  <c r="G120" i="4" s="1"/>
  <c r="R120" i="4"/>
  <c r="T120" i="4"/>
  <c r="U120" i="4"/>
  <c r="A121" i="4"/>
  <c r="H121" i="4" s="1"/>
  <c r="B121" i="4"/>
  <c r="C121" i="4"/>
  <c r="E121" i="4"/>
  <c r="F121" i="4"/>
  <c r="R121" i="4"/>
  <c r="T121" i="4"/>
  <c r="U121" i="4"/>
  <c r="A122" i="4"/>
  <c r="H122" i="4" s="1"/>
  <c r="B122" i="4"/>
  <c r="C122" i="4"/>
  <c r="E122" i="4"/>
  <c r="F122" i="4"/>
  <c r="R122" i="4"/>
  <c r="T122" i="4"/>
  <c r="U122" i="4"/>
  <c r="A123" i="4"/>
  <c r="H123" i="4" s="1"/>
  <c r="B123" i="4"/>
  <c r="C123" i="4"/>
  <c r="E123" i="4"/>
  <c r="F123" i="4"/>
  <c r="R123" i="4"/>
  <c r="T123" i="4"/>
  <c r="U123" i="4"/>
  <c r="A124" i="4"/>
  <c r="H124" i="4" s="1"/>
  <c r="B124" i="4"/>
  <c r="C124" i="4"/>
  <c r="E124" i="4"/>
  <c r="F124" i="4"/>
  <c r="R124" i="4"/>
  <c r="T124" i="4"/>
  <c r="U124" i="4"/>
  <c r="A125" i="4"/>
  <c r="H125" i="4" s="1"/>
  <c r="B125" i="4"/>
  <c r="C125" i="4"/>
  <c r="E125" i="4"/>
  <c r="F125" i="4"/>
  <c r="R125" i="4"/>
  <c r="T125" i="4"/>
  <c r="U125" i="4"/>
  <c r="A126" i="4"/>
  <c r="H126" i="4" s="1"/>
  <c r="B126" i="4"/>
  <c r="C126" i="4"/>
  <c r="E126" i="4"/>
  <c r="F126" i="4"/>
  <c r="R126" i="4"/>
  <c r="T126" i="4"/>
  <c r="U126" i="4"/>
  <c r="A127" i="4"/>
  <c r="H127" i="4" s="1"/>
  <c r="B127" i="4"/>
  <c r="C127" i="4"/>
  <c r="E127" i="4"/>
  <c r="F127" i="4"/>
  <c r="R127" i="4"/>
  <c r="T127" i="4"/>
  <c r="U127" i="4"/>
  <c r="A128" i="4"/>
  <c r="H128" i="4" s="1"/>
  <c r="B128" i="4"/>
  <c r="C128" i="4"/>
  <c r="E128" i="4"/>
  <c r="F128" i="4"/>
  <c r="R128" i="4"/>
  <c r="T128" i="4"/>
  <c r="U128" i="4"/>
  <c r="A129" i="4"/>
  <c r="H129" i="4" s="1"/>
  <c r="B129" i="4"/>
  <c r="C129" i="4"/>
  <c r="E129" i="4"/>
  <c r="F129" i="4"/>
  <c r="R129" i="4"/>
  <c r="T129" i="4"/>
  <c r="U129" i="4"/>
  <c r="A130" i="4"/>
  <c r="H130" i="4" s="1"/>
  <c r="B130" i="4"/>
  <c r="C130" i="4"/>
  <c r="E130" i="4"/>
  <c r="F130" i="4"/>
  <c r="R130" i="4"/>
  <c r="T130" i="4"/>
  <c r="U130" i="4"/>
  <c r="A131" i="4"/>
  <c r="H131" i="4" s="1"/>
  <c r="B131" i="4"/>
  <c r="C131" i="4"/>
  <c r="E131" i="4"/>
  <c r="F131" i="4"/>
  <c r="R131" i="4"/>
  <c r="T131" i="4"/>
  <c r="U131" i="4"/>
  <c r="A132" i="4"/>
  <c r="H132" i="4" s="1"/>
  <c r="B132" i="4"/>
  <c r="C132" i="4"/>
  <c r="E132" i="4"/>
  <c r="F132" i="4"/>
  <c r="R132" i="4"/>
  <c r="T132" i="4"/>
  <c r="U132" i="4"/>
  <c r="A133" i="4"/>
  <c r="H133" i="4" s="1"/>
  <c r="B133" i="4"/>
  <c r="C133" i="4"/>
  <c r="E133" i="4"/>
  <c r="F133" i="4"/>
  <c r="R133" i="4"/>
  <c r="T133" i="4"/>
  <c r="U133" i="4"/>
  <c r="A134" i="4"/>
  <c r="H134" i="4" s="1"/>
  <c r="B134" i="4"/>
  <c r="C134" i="4"/>
  <c r="E134" i="4"/>
  <c r="F134" i="4"/>
  <c r="R134" i="4"/>
  <c r="T134" i="4"/>
  <c r="U134" i="4"/>
  <c r="A135" i="4"/>
  <c r="H135" i="4" s="1"/>
  <c r="B135" i="4"/>
  <c r="C135" i="4"/>
  <c r="E135" i="4"/>
  <c r="F135" i="4"/>
  <c r="R135" i="4"/>
  <c r="T135" i="4"/>
  <c r="U135" i="4"/>
  <c r="A136" i="4"/>
  <c r="H136" i="4" s="1"/>
  <c r="B136" i="4"/>
  <c r="C136" i="4"/>
  <c r="E136" i="4"/>
  <c r="F136" i="4"/>
  <c r="R136" i="4"/>
  <c r="T136" i="4"/>
  <c r="U136" i="4"/>
  <c r="A137" i="4"/>
  <c r="H137" i="4" s="1"/>
  <c r="B137" i="4"/>
  <c r="C137" i="4"/>
  <c r="E137" i="4"/>
  <c r="F137" i="4"/>
  <c r="R137" i="4"/>
  <c r="T137" i="4"/>
  <c r="U137" i="4"/>
  <c r="A138" i="4"/>
  <c r="H138" i="4" s="1"/>
  <c r="B138" i="4"/>
  <c r="C138" i="4"/>
  <c r="E138" i="4"/>
  <c r="F138" i="4"/>
  <c r="R138" i="4"/>
  <c r="T138" i="4"/>
  <c r="U138" i="4"/>
  <c r="A139" i="4"/>
  <c r="H139" i="4" s="1"/>
  <c r="B139" i="4"/>
  <c r="C139" i="4"/>
  <c r="E139" i="4"/>
  <c r="F139" i="4"/>
  <c r="R139" i="4"/>
  <c r="T139" i="4"/>
  <c r="U139" i="4"/>
  <c r="A140" i="4"/>
  <c r="H140" i="4" s="1"/>
  <c r="B140" i="4"/>
  <c r="C140" i="4"/>
  <c r="E140" i="4"/>
  <c r="F140" i="4"/>
  <c r="R140" i="4"/>
  <c r="T140" i="4"/>
  <c r="U140" i="4"/>
  <c r="A141" i="4"/>
  <c r="H141" i="4" s="1"/>
  <c r="B141" i="4"/>
  <c r="C141" i="4"/>
  <c r="E141" i="4"/>
  <c r="F141" i="4"/>
  <c r="R141" i="4"/>
  <c r="T141" i="4"/>
  <c r="U141" i="4"/>
  <c r="A142" i="4"/>
  <c r="H142" i="4" s="1"/>
  <c r="B142" i="4"/>
  <c r="C142" i="4"/>
  <c r="E142" i="4"/>
  <c r="F142" i="4"/>
  <c r="R142" i="4"/>
  <c r="T142" i="4"/>
  <c r="U142" i="4"/>
  <c r="A143" i="4"/>
  <c r="H143" i="4" s="1"/>
  <c r="B143" i="4"/>
  <c r="C143" i="4"/>
  <c r="E143" i="4"/>
  <c r="F143" i="4"/>
  <c r="R143" i="4"/>
  <c r="T143" i="4"/>
  <c r="U143" i="4"/>
  <c r="A144" i="4"/>
  <c r="H144" i="4" s="1"/>
  <c r="B144" i="4"/>
  <c r="C144" i="4"/>
  <c r="E144" i="4"/>
  <c r="F144" i="4"/>
  <c r="R144" i="4"/>
  <c r="T144" i="4"/>
  <c r="U144" i="4"/>
  <c r="A145" i="4"/>
  <c r="H145" i="4" s="1"/>
  <c r="B145" i="4"/>
  <c r="C145" i="4"/>
  <c r="E145" i="4"/>
  <c r="I145" i="4" s="1"/>
  <c r="F145" i="4"/>
  <c r="R145" i="4"/>
  <c r="T145" i="4"/>
  <c r="U145" i="4"/>
  <c r="A146" i="4"/>
  <c r="H146" i="4" s="1"/>
  <c r="B146" i="4"/>
  <c r="C146" i="4"/>
  <c r="E146" i="4"/>
  <c r="F146" i="4"/>
  <c r="R146" i="4"/>
  <c r="T146" i="4"/>
  <c r="U146" i="4"/>
  <c r="A147" i="4"/>
  <c r="H147" i="4" s="1"/>
  <c r="B147" i="4"/>
  <c r="C147" i="4"/>
  <c r="E147" i="4"/>
  <c r="F147" i="4"/>
  <c r="R147" i="4"/>
  <c r="T147" i="4"/>
  <c r="U147" i="4"/>
  <c r="A148" i="4"/>
  <c r="H148" i="4" s="1"/>
  <c r="B148" i="4"/>
  <c r="C148" i="4"/>
  <c r="E148" i="4"/>
  <c r="I148" i="4" s="1"/>
  <c r="F148" i="4"/>
  <c r="R148" i="4"/>
  <c r="T148" i="4"/>
  <c r="U148" i="4"/>
  <c r="A149" i="4"/>
  <c r="H149" i="4" s="1"/>
  <c r="B149" i="4"/>
  <c r="C149" i="4"/>
  <c r="E149" i="4"/>
  <c r="F149" i="4"/>
  <c r="R149" i="4"/>
  <c r="T149" i="4"/>
  <c r="U149" i="4"/>
  <c r="A150" i="4"/>
  <c r="H150" i="4" s="1"/>
  <c r="B150" i="4"/>
  <c r="C150" i="4"/>
  <c r="E150" i="4"/>
  <c r="F150" i="4"/>
  <c r="R150" i="4"/>
  <c r="T150" i="4"/>
  <c r="U150" i="4"/>
  <c r="A151" i="4"/>
  <c r="H151" i="4" s="1"/>
  <c r="B151" i="4"/>
  <c r="C151" i="4"/>
  <c r="E151" i="4"/>
  <c r="F151" i="4"/>
  <c r="R151" i="4"/>
  <c r="T151" i="4"/>
  <c r="U151" i="4"/>
  <c r="A152" i="4"/>
  <c r="H152" i="4" s="1"/>
  <c r="B152" i="4"/>
  <c r="C152" i="4"/>
  <c r="E152" i="4"/>
  <c r="F152" i="4"/>
  <c r="R152" i="4"/>
  <c r="T152" i="4"/>
  <c r="U152" i="4"/>
  <c r="A153" i="4"/>
  <c r="H153" i="4" s="1"/>
  <c r="B153" i="4"/>
  <c r="C153" i="4"/>
  <c r="E153" i="4"/>
  <c r="F153" i="4"/>
  <c r="R153" i="4"/>
  <c r="T153" i="4"/>
  <c r="U153" i="4"/>
  <c r="A154" i="4"/>
  <c r="H154" i="4" s="1"/>
  <c r="B154" i="4"/>
  <c r="C154" i="4"/>
  <c r="E154" i="4"/>
  <c r="F154" i="4"/>
  <c r="R154" i="4"/>
  <c r="T154" i="4"/>
  <c r="U154" i="4"/>
  <c r="A155" i="4"/>
  <c r="H155" i="4" s="1"/>
  <c r="B155" i="4"/>
  <c r="C155" i="4"/>
  <c r="E155" i="4"/>
  <c r="F155" i="4"/>
  <c r="R155" i="4"/>
  <c r="T155" i="4"/>
  <c r="U155" i="4"/>
  <c r="A156" i="4"/>
  <c r="H156" i="4" s="1"/>
  <c r="B156" i="4"/>
  <c r="C156" i="4"/>
  <c r="E156" i="4"/>
  <c r="F156" i="4"/>
  <c r="R156" i="4"/>
  <c r="T156" i="4"/>
  <c r="U156" i="4"/>
  <c r="A157" i="4"/>
  <c r="H157" i="4" s="1"/>
  <c r="B157" i="4"/>
  <c r="C157" i="4"/>
  <c r="E157" i="4"/>
  <c r="F157" i="4"/>
  <c r="R157" i="4"/>
  <c r="T157" i="4"/>
  <c r="U157" i="4"/>
  <c r="A158" i="4"/>
  <c r="H158" i="4" s="1"/>
  <c r="B158" i="4"/>
  <c r="C158" i="4"/>
  <c r="E158" i="4"/>
  <c r="F158" i="4"/>
  <c r="R158" i="4"/>
  <c r="T158" i="4"/>
  <c r="U158" i="4"/>
  <c r="A159" i="4"/>
  <c r="H159" i="4" s="1"/>
  <c r="B159" i="4"/>
  <c r="C159" i="4"/>
  <c r="E159" i="4"/>
  <c r="F159" i="4"/>
  <c r="R159" i="4"/>
  <c r="T159" i="4"/>
  <c r="U159" i="4"/>
  <c r="A160" i="4"/>
  <c r="H160" i="4" s="1"/>
  <c r="B160" i="4"/>
  <c r="C160" i="4"/>
  <c r="E160" i="4"/>
  <c r="F160" i="4"/>
  <c r="R160" i="4"/>
  <c r="T160" i="4"/>
  <c r="U160" i="4"/>
  <c r="A161" i="4"/>
  <c r="H161" i="4" s="1"/>
  <c r="B161" i="4"/>
  <c r="C161" i="4"/>
  <c r="E161" i="4"/>
  <c r="F161" i="4"/>
  <c r="R161" i="4"/>
  <c r="T161" i="4"/>
  <c r="U161" i="4"/>
  <c r="A162" i="4"/>
  <c r="H162" i="4" s="1"/>
  <c r="B162" i="4"/>
  <c r="C162" i="4"/>
  <c r="E162" i="4"/>
  <c r="F162" i="4"/>
  <c r="R162" i="4"/>
  <c r="T162" i="4"/>
  <c r="U162" i="4"/>
  <c r="A163" i="4"/>
  <c r="H163" i="4" s="1"/>
  <c r="B163" i="4"/>
  <c r="C163" i="4"/>
  <c r="E163" i="4"/>
  <c r="F163" i="4"/>
  <c r="R163" i="4"/>
  <c r="T163" i="4"/>
  <c r="U163" i="4"/>
  <c r="A164" i="4"/>
  <c r="H164" i="4" s="1"/>
  <c r="B164" i="4"/>
  <c r="C164" i="4"/>
  <c r="E164" i="4"/>
  <c r="F164" i="4"/>
  <c r="R164" i="4"/>
  <c r="T164" i="4"/>
  <c r="U164" i="4"/>
  <c r="A165" i="4"/>
  <c r="H165" i="4" s="1"/>
  <c r="B165" i="4"/>
  <c r="C165" i="4"/>
  <c r="E165" i="4"/>
  <c r="I165" i="4" s="1"/>
  <c r="F165" i="4"/>
  <c r="R165" i="4"/>
  <c r="T165" i="4"/>
  <c r="U165" i="4"/>
  <c r="A166" i="4"/>
  <c r="H166" i="4" s="1"/>
  <c r="B166" i="4"/>
  <c r="C166" i="4"/>
  <c r="E166" i="4"/>
  <c r="F166" i="4"/>
  <c r="R166" i="4"/>
  <c r="T166" i="4"/>
  <c r="U166" i="4"/>
  <c r="A167" i="4"/>
  <c r="H167" i="4" s="1"/>
  <c r="B167" i="4"/>
  <c r="C167" i="4"/>
  <c r="E167" i="4"/>
  <c r="I167" i="4" s="1"/>
  <c r="F167" i="4"/>
  <c r="R167" i="4"/>
  <c r="T167" i="4"/>
  <c r="U167" i="4"/>
  <c r="A168" i="4"/>
  <c r="H168" i="4" s="1"/>
  <c r="B168" i="4"/>
  <c r="C168" i="4"/>
  <c r="E168" i="4"/>
  <c r="F168" i="4"/>
  <c r="R168" i="4"/>
  <c r="T168" i="4"/>
  <c r="U168" i="4"/>
  <c r="A169" i="4"/>
  <c r="H169" i="4" s="1"/>
  <c r="B169" i="4"/>
  <c r="C169" i="4"/>
  <c r="E169" i="4"/>
  <c r="F169" i="4"/>
  <c r="R169" i="4"/>
  <c r="T169" i="4"/>
  <c r="U169" i="4"/>
  <c r="A170" i="4"/>
  <c r="H170" i="4" s="1"/>
  <c r="B170" i="4"/>
  <c r="C170" i="4"/>
  <c r="E170" i="4"/>
  <c r="F170" i="4"/>
  <c r="R170" i="4"/>
  <c r="T170" i="4"/>
  <c r="U170" i="4"/>
  <c r="A171" i="4"/>
  <c r="H171" i="4" s="1"/>
  <c r="B171" i="4"/>
  <c r="C171" i="4"/>
  <c r="E171" i="4"/>
  <c r="F171" i="4"/>
  <c r="R171" i="4"/>
  <c r="T171" i="4"/>
  <c r="U171" i="4"/>
  <c r="A172" i="4"/>
  <c r="H172" i="4" s="1"/>
  <c r="B172" i="4"/>
  <c r="C172" i="4"/>
  <c r="E172" i="4"/>
  <c r="F172" i="4"/>
  <c r="R172" i="4"/>
  <c r="T172" i="4"/>
  <c r="U172" i="4"/>
  <c r="A173" i="4"/>
  <c r="H173" i="4" s="1"/>
  <c r="B173" i="4"/>
  <c r="C173" i="4"/>
  <c r="E173" i="4"/>
  <c r="F173" i="4"/>
  <c r="R173" i="4"/>
  <c r="T173" i="4"/>
  <c r="U173" i="4"/>
  <c r="A174" i="4"/>
  <c r="H174" i="4" s="1"/>
  <c r="B174" i="4"/>
  <c r="C174" i="4"/>
  <c r="E174" i="4"/>
  <c r="I174" i="4" s="1"/>
  <c r="F174" i="4"/>
  <c r="R174" i="4"/>
  <c r="T174" i="4"/>
  <c r="U174" i="4"/>
  <c r="A175" i="4"/>
  <c r="H175" i="4" s="1"/>
  <c r="B175" i="4"/>
  <c r="C175" i="4"/>
  <c r="E175" i="4"/>
  <c r="F175" i="4"/>
  <c r="I175" i="4"/>
  <c r="R175" i="4"/>
  <c r="T175" i="4"/>
  <c r="U175" i="4"/>
  <c r="A176" i="4"/>
  <c r="H176" i="4" s="1"/>
  <c r="B176" i="4"/>
  <c r="C176" i="4"/>
  <c r="I176" i="4" s="1"/>
  <c r="E176" i="4"/>
  <c r="F176" i="4"/>
  <c r="R176" i="4"/>
  <c r="T176" i="4"/>
  <c r="U176" i="4"/>
  <c r="A177" i="4"/>
  <c r="H177" i="4" s="1"/>
  <c r="B177" i="4"/>
  <c r="C177" i="4"/>
  <c r="E177" i="4"/>
  <c r="F177" i="4"/>
  <c r="R177" i="4"/>
  <c r="T177" i="4"/>
  <c r="U177" i="4"/>
  <c r="A178" i="4"/>
  <c r="H178" i="4" s="1"/>
  <c r="B178" i="4"/>
  <c r="C178" i="4"/>
  <c r="E178" i="4"/>
  <c r="F178" i="4"/>
  <c r="R178" i="4"/>
  <c r="T178" i="4"/>
  <c r="U178" i="4"/>
  <c r="A179" i="4"/>
  <c r="H179" i="4" s="1"/>
  <c r="B179" i="4"/>
  <c r="C179" i="4"/>
  <c r="E179" i="4"/>
  <c r="F179" i="4"/>
  <c r="R179" i="4"/>
  <c r="T179" i="4"/>
  <c r="U179" i="4"/>
  <c r="A180" i="4"/>
  <c r="H180" i="4" s="1"/>
  <c r="B180" i="4"/>
  <c r="C180" i="4"/>
  <c r="E180" i="4"/>
  <c r="F180" i="4"/>
  <c r="R180" i="4"/>
  <c r="T180" i="4"/>
  <c r="U180" i="4"/>
  <c r="A181" i="4"/>
  <c r="H181" i="4" s="1"/>
  <c r="B181" i="4"/>
  <c r="C181" i="4"/>
  <c r="E181" i="4"/>
  <c r="F181" i="4"/>
  <c r="R181" i="4"/>
  <c r="T181" i="4"/>
  <c r="U181" i="4"/>
  <c r="A182" i="4"/>
  <c r="H182" i="4" s="1"/>
  <c r="B182" i="4"/>
  <c r="C182" i="4"/>
  <c r="E182" i="4"/>
  <c r="F182" i="4"/>
  <c r="R182" i="4"/>
  <c r="T182" i="4"/>
  <c r="U182" i="4"/>
  <c r="A183" i="4"/>
  <c r="H183" i="4" s="1"/>
  <c r="B183" i="4"/>
  <c r="C183" i="4"/>
  <c r="G183" i="4" s="1"/>
  <c r="J183" i="4" s="1"/>
  <c r="E183" i="4"/>
  <c r="I183" i="4" s="1"/>
  <c r="F183" i="4"/>
  <c r="R183" i="4"/>
  <c r="T183" i="4"/>
  <c r="U183" i="4"/>
  <c r="A184" i="4"/>
  <c r="H184" i="4" s="1"/>
  <c r="B184" i="4"/>
  <c r="C184" i="4"/>
  <c r="E184" i="4"/>
  <c r="F184" i="4"/>
  <c r="R184" i="4"/>
  <c r="T184" i="4"/>
  <c r="U184" i="4"/>
  <c r="A185" i="4"/>
  <c r="H185" i="4" s="1"/>
  <c r="B185" i="4"/>
  <c r="C185" i="4"/>
  <c r="E185" i="4"/>
  <c r="F185" i="4"/>
  <c r="R185" i="4"/>
  <c r="T185" i="4"/>
  <c r="U185" i="4"/>
  <c r="A186" i="4"/>
  <c r="H186" i="4" s="1"/>
  <c r="B186" i="4"/>
  <c r="C186" i="4"/>
  <c r="E186" i="4"/>
  <c r="F186" i="4"/>
  <c r="R186" i="4"/>
  <c r="T186" i="4"/>
  <c r="U186" i="4"/>
  <c r="A187" i="4"/>
  <c r="H187" i="4" s="1"/>
  <c r="B187" i="4"/>
  <c r="C187" i="4"/>
  <c r="E187" i="4"/>
  <c r="F187" i="4"/>
  <c r="R187" i="4"/>
  <c r="T187" i="4"/>
  <c r="U187" i="4"/>
  <c r="A188" i="4"/>
  <c r="H188" i="4" s="1"/>
  <c r="B188" i="4"/>
  <c r="C188" i="4"/>
  <c r="E188" i="4"/>
  <c r="I188" i="4" s="1"/>
  <c r="F188" i="4"/>
  <c r="R188" i="4"/>
  <c r="T188" i="4"/>
  <c r="U188" i="4"/>
  <c r="A189" i="4"/>
  <c r="H189" i="4" s="1"/>
  <c r="B189" i="4"/>
  <c r="C189" i="4"/>
  <c r="E189" i="4"/>
  <c r="I189" i="4" s="1"/>
  <c r="F189" i="4"/>
  <c r="R189" i="4"/>
  <c r="T189" i="4"/>
  <c r="U189" i="4"/>
  <c r="A190" i="4"/>
  <c r="H190" i="4" s="1"/>
  <c r="B190" i="4"/>
  <c r="C190" i="4"/>
  <c r="E190" i="4"/>
  <c r="F190" i="4"/>
  <c r="I190" i="4"/>
  <c r="R190" i="4"/>
  <c r="T190" i="4"/>
  <c r="U190" i="4"/>
  <c r="A191" i="4"/>
  <c r="H191" i="4" s="1"/>
  <c r="B191" i="4"/>
  <c r="C191" i="4"/>
  <c r="E191" i="4"/>
  <c r="F191" i="4"/>
  <c r="R191" i="4"/>
  <c r="T191" i="4"/>
  <c r="U191" i="4"/>
  <c r="A192" i="4"/>
  <c r="H192" i="4" s="1"/>
  <c r="B192" i="4"/>
  <c r="C192" i="4"/>
  <c r="E192" i="4"/>
  <c r="F192" i="4"/>
  <c r="R192" i="4"/>
  <c r="T192" i="4"/>
  <c r="U192" i="4"/>
  <c r="A193" i="4"/>
  <c r="H193" i="4" s="1"/>
  <c r="B193" i="4"/>
  <c r="C193" i="4"/>
  <c r="E193" i="4"/>
  <c r="F193" i="4"/>
  <c r="R193" i="4"/>
  <c r="T193" i="4"/>
  <c r="U193" i="4"/>
  <c r="A194" i="4"/>
  <c r="H194" i="4" s="1"/>
  <c r="B194" i="4"/>
  <c r="C194" i="4"/>
  <c r="E194" i="4"/>
  <c r="F194" i="4"/>
  <c r="G194" i="4" s="1"/>
  <c r="R194" i="4"/>
  <c r="T194" i="4"/>
  <c r="U194" i="4"/>
  <c r="A195" i="4"/>
  <c r="H195" i="4" s="1"/>
  <c r="B195" i="4"/>
  <c r="C195" i="4"/>
  <c r="E195" i="4"/>
  <c r="F195" i="4"/>
  <c r="R195" i="4"/>
  <c r="T195" i="4"/>
  <c r="U195" i="4"/>
  <c r="A196" i="4"/>
  <c r="H196" i="4" s="1"/>
  <c r="B196" i="4"/>
  <c r="C196" i="4"/>
  <c r="E196" i="4"/>
  <c r="F196" i="4"/>
  <c r="R196" i="4"/>
  <c r="T196" i="4"/>
  <c r="U196" i="4"/>
  <c r="A197" i="4"/>
  <c r="H197" i="4" s="1"/>
  <c r="B197" i="4"/>
  <c r="C197" i="4"/>
  <c r="E197" i="4"/>
  <c r="F197" i="4"/>
  <c r="R197" i="4"/>
  <c r="T197" i="4"/>
  <c r="U197" i="4"/>
  <c r="A198" i="4"/>
  <c r="H198" i="4" s="1"/>
  <c r="B198" i="4"/>
  <c r="C198" i="4"/>
  <c r="E198" i="4"/>
  <c r="F198" i="4"/>
  <c r="R198" i="4"/>
  <c r="T198" i="4"/>
  <c r="U198" i="4"/>
  <c r="A199" i="4"/>
  <c r="H199" i="4" s="1"/>
  <c r="B199" i="4"/>
  <c r="C199" i="4"/>
  <c r="E199" i="4"/>
  <c r="F199" i="4"/>
  <c r="R199" i="4"/>
  <c r="T199" i="4"/>
  <c r="U199" i="4"/>
  <c r="A200" i="4"/>
  <c r="H200" i="4" s="1"/>
  <c r="B200" i="4"/>
  <c r="C200" i="4"/>
  <c r="E200" i="4"/>
  <c r="F200" i="4"/>
  <c r="R200" i="4"/>
  <c r="T200" i="4"/>
  <c r="U200" i="4"/>
  <c r="A201" i="4"/>
  <c r="H201" i="4" s="1"/>
  <c r="B201" i="4"/>
  <c r="C201" i="4"/>
  <c r="E201" i="4"/>
  <c r="I201" i="4" s="1"/>
  <c r="F201" i="4"/>
  <c r="G201" i="4" s="1"/>
  <c r="R201" i="4"/>
  <c r="T201" i="4"/>
  <c r="U201" i="4"/>
  <c r="A202" i="4"/>
  <c r="B202" i="4"/>
  <c r="C202" i="4"/>
  <c r="E202" i="4"/>
  <c r="I202" i="4" s="1"/>
  <c r="F202" i="4"/>
  <c r="H202" i="4"/>
  <c r="R202" i="4"/>
  <c r="T202" i="4"/>
  <c r="U202" i="4"/>
  <c r="A203" i="4"/>
  <c r="H203" i="4" s="1"/>
  <c r="B203" i="4"/>
  <c r="C203" i="4"/>
  <c r="E203" i="4"/>
  <c r="F203" i="4"/>
  <c r="R203" i="4"/>
  <c r="T203" i="4"/>
  <c r="U203" i="4"/>
  <c r="A204" i="4"/>
  <c r="H204" i="4" s="1"/>
  <c r="B204" i="4"/>
  <c r="C204" i="4"/>
  <c r="E204" i="4"/>
  <c r="F204" i="4"/>
  <c r="R204" i="4"/>
  <c r="T204" i="4"/>
  <c r="U204" i="4"/>
  <c r="A205" i="4"/>
  <c r="H205" i="4" s="1"/>
  <c r="B205" i="4"/>
  <c r="C205" i="4"/>
  <c r="E205" i="4"/>
  <c r="I205" i="4" s="1"/>
  <c r="F205" i="4"/>
  <c r="R205" i="4"/>
  <c r="T205" i="4"/>
  <c r="U205" i="4"/>
  <c r="A206" i="4"/>
  <c r="H206" i="4" s="1"/>
  <c r="B206" i="4"/>
  <c r="C206" i="4"/>
  <c r="E206" i="4"/>
  <c r="I206" i="4" s="1"/>
  <c r="F206" i="4"/>
  <c r="R206" i="4"/>
  <c r="T206" i="4"/>
  <c r="U206" i="4"/>
  <c r="A207" i="4"/>
  <c r="H207" i="4" s="1"/>
  <c r="B207" i="4"/>
  <c r="C207" i="4"/>
  <c r="E207" i="4"/>
  <c r="F207" i="4"/>
  <c r="R207" i="4"/>
  <c r="T207" i="4"/>
  <c r="U207" i="4"/>
  <c r="A208" i="4"/>
  <c r="H208" i="4" s="1"/>
  <c r="B208" i="4"/>
  <c r="C208" i="4"/>
  <c r="E208" i="4"/>
  <c r="F208" i="4"/>
  <c r="R208" i="4"/>
  <c r="T208" i="4"/>
  <c r="U208" i="4"/>
  <c r="A209" i="4"/>
  <c r="H209" i="4" s="1"/>
  <c r="B209" i="4"/>
  <c r="C209" i="4"/>
  <c r="E209" i="4"/>
  <c r="I209" i="4" s="1"/>
  <c r="F209" i="4"/>
  <c r="R209" i="4"/>
  <c r="T209" i="4"/>
  <c r="U209" i="4"/>
  <c r="A210" i="4"/>
  <c r="H210" i="4" s="1"/>
  <c r="B210" i="4"/>
  <c r="C210" i="4"/>
  <c r="E210" i="4"/>
  <c r="I210" i="4" s="1"/>
  <c r="F210" i="4"/>
  <c r="R210" i="4"/>
  <c r="T210" i="4"/>
  <c r="U210" i="4"/>
  <c r="A211" i="4"/>
  <c r="H211" i="4" s="1"/>
  <c r="B211" i="4"/>
  <c r="C211" i="4"/>
  <c r="E211" i="4"/>
  <c r="F211" i="4"/>
  <c r="R211" i="4"/>
  <c r="T211" i="4"/>
  <c r="U211" i="4"/>
  <c r="A212" i="4"/>
  <c r="H212" i="4" s="1"/>
  <c r="B212" i="4"/>
  <c r="C212" i="4"/>
  <c r="E212" i="4"/>
  <c r="F212" i="4"/>
  <c r="R212" i="4"/>
  <c r="T212" i="4"/>
  <c r="U212" i="4"/>
  <c r="A213" i="4"/>
  <c r="H213" i="4" s="1"/>
  <c r="B213" i="4"/>
  <c r="C213" i="4"/>
  <c r="E213" i="4"/>
  <c r="I213" i="4" s="1"/>
  <c r="F213" i="4"/>
  <c r="R213" i="4"/>
  <c r="T213" i="4"/>
  <c r="U213" i="4"/>
  <c r="A214" i="4"/>
  <c r="B214" i="4"/>
  <c r="C214" i="4"/>
  <c r="E214" i="4"/>
  <c r="F214" i="4"/>
  <c r="H214" i="4"/>
  <c r="R214" i="4"/>
  <c r="T214" i="4"/>
  <c r="U214" i="4"/>
  <c r="A215" i="4"/>
  <c r="H215" i="4" s="1"/>
  <c r="B215" i="4"/>
  <c r="C215" i="4"/>
  <c r="E215" i="4"/>
  <c r="F215" i="4"/>
  <c r="R215" i="4"/>
  <c r="T215" i="4"/>
  <c r="U215" i="4"/>
  <c r="A216" i="4"/>
  <c r="H216" i="4" s="1"/>
  <c r="B216" i="4"/>
  <c r="C216" i="4"/>
  <c r="E216" i="4"/>
  <c r="F216" i="4"/>
  <c r="G216" i="4" s="1"/>
  <c r="R216" i="4"/>
  <c r="T216" i="4"/>
  <c r="U216" i="4"/>
  <c r="A217" i="4"/>
  <c r="H217" i="4" s="1"/>
  <c r="B217" i="4"/>
  <c r="C217" i="4"/>
  <c r="E217" i="4"/>
  <c r="F217" i="4"/>
  <c r="I217" i="4"/>
  <c r="R217" i="4"/>
  <c r="T217" i="4"/>
  <c r="U217" i="4"/>
  <c r="A218" i="4"/>
  <c r="H218" i="4" s="1"/>
  <c r="B218" i="4"/>
  <c r="C218" i="4"/>
  <c r="E218" i="4"/>
  <c r="F218" i="4"/>
  <c r="R218" i="4"/>
  <c r="T218" i="4"/>
  <c r="U218" i="4"/>
  <c r="A219" i="4"/>
  <c r="H219" i="4" s="1"/>
  <c r="B219" i="4"/>
  <c r="C219" i="4"/>
  <c r="E219" i="4"/>
  <c r="F219" i="4"/>
  <c r="R219" i="4"/>
  <c r="T219" i="4"/>
  <c r="U219" i="4"/>
  <c r="A220" i="4"/>
  <c r="H220" i="4" s="1"/>
  <c r="B220" i="4"/>
  <c r="C220" i="4"/>
  <c r="E220" i="4"/>
  <c r="F220" i="4"/>
  <c r="R220" i="4"/>
  <c r="T220" i="4"/>
  <c r="U220" i="4"/>
  <c r="A221" i="4"/>
  <c r="H221" i="4" s="1"/>
  <c r="B221" i="4"/>
  <c r="C221" i="4"/>
  <c r="E221" i="4"/>
  <c r="I221" i="4" s="1"/>
  <c r="F221" i="4"/>
  <c r="R221" i="4"/>
  <c r="T221" i="4"/>
  <c r="U221" i="4"/>
  <c r="A222" i="4"/>
  <c r="H222" i="4" s="1"/>
  <c r="B222" i="4"/>
  <c r="C222" i="4"/>
  <c r="E222" i="4"/>
  <c r="F222" i="4"/>
  <c r="G222" i="4" s="1"/>
  <c r="R222" i="4"/>
  <c r="T222" i="4"/>
  <c r="U222" i="4"/>
  <c r="A223" i="4"/>
  <c r="H223" i="4" s="1"/>
  <c r="B223" i="4"/>
  <c r="C223" i="4"/>
  <c r="E223" i="4"/>
  <c r="F223" i="4"/>
  <c r="R223" i="4"/>
  <c r="T223" i="4"/>
  <c r="U223" i="4"/>
  <c r="A224" i="4"/>
  <c r="H224" i="4" s="1"/>
  <c r="B224" i="4"/>
  <c r="C224" i="4"/>
  <c r="E224" i="4"/>
  <c r="F224" i="4"/>
  <c r="R224" i="4"/>
  <c r="T224" i="4"/>
  <c r="U224" i="4"/>
  <c r="A225" i="4"/>
  <c r="H225" i="4" s="1"/>
  <c r="B225" i="4"/>
  <c r="C225" i="4"/>
  <c r="E225" i="4"/>
  <c r="F225" i="4"/>
  <c r="R225" i="4"/>
  <c r="T225" i="4"/>
  <c r="U225" i="4"/>
  <c r="A3" i="4"/>
  <c r="H3" i="4" s="1"/>
  <c r="B3" i="4"/>
  <c r="C3" i="4"/>
  <c r="F3" i="4"/>
  <c r="R3" i="4"/>
  <c r="T3" i="4"/>
  <c r="U3" i="4"/>
  <c r="A4" i="4"/>
  <c r="H4" i="4" s="1"/>
  <c r="B4" i="4"/>
  <c r="C4" i="4"/>
  <c r="F4" i="4"/>
  <c r="R4" i="4"/>
  <c r="T4" i="4"/>
  <c r="U4" i="4"/>
  <c r="A5" i="4"/>
  <c r="H5" i="4" s="1"/>
  <c r="B5" i="4"/>
  <c r="C5" i="4"/>
  <c r="F5" i="4"/>
  <c r="R5" i="4"/>
  <c r="T5" i="4"/>
  <c r="U5" i="4"/>
  <c r="A6" i="4"/>
  <c r="H6" i="4" s="1"/>
  <c r="B6" i="4"/>
  <c r="C6" i="4"/>
  <c r="F6" i="4"/>
  <c r="R6" i="4"/>
  <c r="T6" i="4"/>
  <c r="U6" i="4"/>
  <c r="A7" i="4"/>
  <c r="H7" i="4" s="1"/>
  <c r="B7" i="4"/>
  <c r="C7" i="4"/>
  <c r="F7" i="4"/>
  <c r="R7" i="4"/>
  <c r="T7" i="4"/>
  <c r="U7" i="4"/>
  <c r="A8" i="4"/>
  <c r="H8" i="4" s="1"/>
  <c r="B8" i="4"/>
  <c r="C8" i="4"/>
  <c r="F8" i="4"/>
  <c r="R8" i="4"/>
  <c r="T8" i="4"/>
  <c r="U8" i="4"/>
  <c r="A9" i="4"/>
  <c r="H9" i="4" s="1"/>
  <c r="B9" i="4"/>
  <c r="C9" i="4"/>
  <c r="F9" i="4"/>
  <c r="R9" i="4"/>
  <c r="T9" i="4"/>
  <c r="U9" i="4"/>
  <c r="A10" i="4"/>
  <c r="H10" i="4" s="1"/>
  <c r="B10" i="4"/>
  <c r="C10" i="4"/>
  <c r="F10" i="4"/>
  <c r="R10" i="4"/>
  <c r="T10" i="4"/>
  <c r="U10" i="4"/>
  <c r="A11" i="4"/>
  <c r="H11" i="4" s="1"/>
  <c r="B11" i="4"/>
  <c r="C11" i="4"/>
  <c r="F11" i="4"/>
  <c r="R11" i="4"/>
  <c r="T11" i="4"/>
  <c r="U11" i="4"/>
  <c r="A12" i="4"/>
  <c r="H12" i="4" s="1"/>
  <c r="B12" i="4"/>
  <c r="C12" i="4"/>
  <c r="F12" i="4"/>
  <c r="R12" i="4"/>
  <c r="T12" i="4"/>
  <c r="U12" i="4"/>
  <c r="A13" i="4"/>
  <c r="H13" i="4" s="1"/>
  <c r="B13" i="4"/>
  <c r="C13" i="4"/>
  <c r="F13" i="4"/>
  <c r="R13" i="4"/>
  <c r="T13" i="4"/>
  <c r="U13" i="4"/>
  <c r="A14" i="4"/>
  <c r="H14" i="4" s="1"/>
  <c r="B14" i="4"/>
  <c r="C14" i="4"/>
  <c r="F14" i="4"/>
  <c r="R14" i="4"/>
  <c r="T14" i="4"/>
  <c r="U14" i="4"/>
  <c r="A15" i="4"/>
  <c r="H15" i="4" s="1"/>
  <c r="B15" i="4"/>
  <c r="C15" i="4"/>
  <c r="F15" i="4"/>
  <c r="R15" i="4"/>
  <c r="T15" i="4"/>
  <c r="U15" i="4"/>
  <c r="C2" i="4"/>
  <c r="R2" i="4"/>
  <c r="F2" i="4"/>
  <c r="B2" i="4"/>
  <c r="A2" i="4"/>
  <c r="H2" i="4" s="1"/>
  <c r="G5" i="1"/>
  <c r="D5" i="1" s="1"/>
  <c r="H5" i="1" s="1"/>
  <c r="I5" i="1" s="1"/>
  <c r="F5" i="1"/>
  <c r="E21" i="4" l="1"/>
  <c r="I21" i="4" s="1"/>
  <c r="E20" i="4"/>
  <c r="I20" i="4" s="1"/>
  <c r="E57" i="4"/>
  <c r="G73" i="4"/>
  <c r="G224" i="4"/>
  <c r="G218" i="4"/>
  <c r="G184" i="4"/>
  <c r="I164" i="4"/>
  <c r="I80" i="4"/>
  <c r="G137" i="4"/>
  <c r="G177" i="4"/>
  <c r="G109" i="4"/>
  <c r="J109" i="4" s="1"/>
  <c r="I198" i="4"/>
  <c r="I192" i="4"/>
  <c r="I75" i="4"/>
  <c r="G69" i="4"/>
  <c r="G64" i="4"/>
  <c r="I100" i="4"/>
  <c r="I161" i="4"/>
  <c r="I83" i="4"/>
  <c r="I65" i="4"/>
  <c r="J65" i="4" s="1"/>
  <c r="G202" i="4"/>
  <c r="I182" i="4"/>
  <c r="I162" i="4"/>
  <c r="I66" i="4"/>
  <c r="G90" i="4"/>
  <c r="G66" i="4"/>
  <c r="E52" i="4"/>
  <c r="I52" i="4" s="1"/>
  <c r="I10" i="3"/>
  <c r="I147" i="4"/>
  <c r="I92" i="4"/>
  <c r="G86" i="4"/>
  <c r="G117" i="4"/>
  <c r="I87" i="4"/>
  <c r="G74" i="4"/>
  <c r="I68" i="4"/>
  <c r="I64" i="4"/>
  <c r="G200" i="4"/>
  <c r="G193" i="4"/>
  <c r="G157" i="4"/>
  <c r="G133" i="4"/>
  <c r="G158" i="4"/>
  <c r="I181" i="4"/>
  <c r="G173" i="4"/>
  <c r="G220" i="4"/>
  <c r="J220" i="4" s="1"/>
  <c r="G212" i="4"/>
  <c r="J212" i="4" s="1"/>
  <c r="I124" i="4"/>
  <c r="I212" i="4"/>
  <c r="G168" i="4"/>
  <c r="I131" i="4"/>
  <c r="G94" i="4"/>
  <c r="I76" i="4"/>
  <c r="I70" i="4"/>
  <c r="I144" i="4"/>
  <c r="I132" i="4"/>
  <c r="I126" i="4"/>
  <c r="G84" i="4"/>
  <c r="J84" i="4" s="1"/>
  <c r="G114" i="4"/>
  <c r="I84" i="4"/>
  <c r="I78" i="4"/>
  <c r="G72" i="4"/>
  <c r="G65" i="4"/>
  <c r="I103" i="4"/>
  <c r="I152" i="4"/>
  <c r="I140" i="4"/>
  <c r="G85" i="4"/>
  <c r="I79" i="4"/>
  <c r="I73" i="4"/>
  <c r="E47" i="4"/>
  <c r="I47" i="4" s="1"/>
  <c r="E53" i="4"/>
  <c r="I53" i="4" s="1"/>
  <c r="E49" i="4"/>
  <c r="I49" i="4" s="1"/>
  <c r="E48" i="4"/>
  <c r="I48" i="4" s="1"/>
  <c r="E45" i="4"/>
  <c r="I45" i="4" s="1"/>
  <c r="I56" i="4"/>
  <c r="I44" i="4"/>
  <c r="I46" i="4"/>
  <c r="G62" i="4"/>
  <c r="G61" i="4"/>
  <c r="G50" i="4"/>
  <c r="G51" i="4"/>
  <c r="G46" i="4"/>
  <c r="G49" i="4"/>
  <c r="I63" i="4"/>
  <c r="I59" i="4"/>
  <c r="I60" i="4"/>
  <c r="I54" i="4"/>
  <c r="I61" i="4"/>
  <c r="E35" i="4"/>
  <c r="I35" i="4" s="1"/>
  <c r="E31" i="4"/>
  <c r="I31" i="4" s="1"/>
  <c r="I19" i="4"/>
  <c r="I23" i="4"/>
  <c r="G33" i="4"/>
  <c r="E43" i="4"/>
  <c r="I43" i="4" s="1"/>
  <c r="E42" i="4"/>
  <c r="I42" i="4" s="1"/>
  <c r="I32" i="4"/>
  <c r="G19" i="4"/>
  <c r="G38" i="4"/>
  <c r="G26" i="4"/>
  <c r="G21" i="4"/>
  <c r="I39" i="4"/>
  <c r="I40" i="4"/>
  <c r="I36" i="4"/>
  <c r="I30" i="4"/>
  <c r="I24" i="4"/>
  <c r="G185" i="4"/>
  <c r="J185" i="4" s="1"/>
  <c r="I225" i="4"/>
  <c r="I197" i="4"/>
  <c r="I185" i="4"/>
  <c r="I169" i="4"/>
  <c r="I106" i="4"/>
  <c r="G204" i="4"/>
  <c r="G213" i="4"/>
  <c r="J213" i="4" s="1"/>
  <c r="I204" i="4"/>
  <c r="I172" i="4"/>
  <c r="I160" i="4"/>
  <c r="I109" i="4"/>
  <c r="I90" i="4"/>
  <c r="J90" i="4" s="1"/>
  <c r="I220" i="4"/>
  <c r="I179" i="4"/>
  <c r="I173" i="4"/>
  <c r="I155" i="4"/>
  <c r="I136" i="4"/>
  <c r="I128" i="4"/>
  <c r="I120" i="4"/>
  <c r="J120" i="4" s="1"/>
  <c r="I112" i="4"/>
  <c r="G192" i="4"/>
  <c r="G176" i="4"/>
  <c r="J176" i="4" s="1"/>
  <c r="G88" i="4"/>
  <c r="J88" i="4" s="1"/>
  <c r="G96" i="4"/>
  <c r="J96" i="4" s="1"/>
  <c r="G12" i="4"/>
  <c r="G214" i="4"/>
  <c r="G205" i="4"/>
  <c r="J205" i="4" s="1"/>
  <c r="I186" i="4"/>
  <c r="I150" i="4"/>
  <c r="I123" i="4"/>
  <c r="I115" i="4"/>
  <c r="I107" i="4"/>
  <c r="I96" i="4"/>
  <c r="I88" i="4"/>
  <c r="I208" i="4"/>
  <c r="I102" i="4"/>
  <c r="I99" i="4"/>
  <c r="G118" i="4"/>
  <c r="I224" i="4"/>
  <c r="I218" i="4"/>
  <c r="I196" i="4"/>
  <c r="I180" i="4"/>
  <c r="I156" i="4"/>
  <c r="I121" i="4"/>
  <c r="G190" i="4"/>
  <c r="G156" i="4"/>
  <c r="G113" i="4"/>
  <c r="I171" i="4"/>
  <c r="I159" i="4"/>
  <c r="I116" i="4"/>
  <c r="I108" i="4"/>
  <c r="I97" i="4"/>
  <c r="I89" i="4"/>
  <c r="I222" i="4"/>
  <c r="I194" i="4"/>
  <c r="J194" i="4" s="1"/>
  <c r="I178" i="4"/>
  <c r="I135" i="4"/>
  <c r="I111" i="4"/>
  <c r="E2" i="4"/>
  <c r="I2" i="4" s="1"/>
  <c r="E8" i="4"/>
  <c r="I8" i="4" s="1"/>
  <c r="G7" i="4"/>
  <c r="E7" i="4"/>
  <c r="I7" i="4" s="1"/>
  <c r="E13" i="4"/>
  <c r="I13" i="4" s="1"/>
  <c r="E9" i="4"/>
  <c r="I9" i="4" s="1"/>
  <c r="E15" i="4"/>
  <c r="I15" i="4" s="1"/>
  <c r="E14" i="4"/>
  <c r="I14" i="4" s="1"/>
  <c r="E4" i="4"/>
  <c r="I4" i="4" s="1"/>
  <c r="E10" i="4"/>
  <c r="I10" i="4" s="1"/>
  <c r="E16" i="4"/>
  <c r="I16" i="4" s="1"/>
  <c r="E5" i="4"/>
  <c r="I5" i="4" s="1"/>
  <c r="E11" i="4"/>
  <c r="I11" i="4" s="1"/>
  <c r="E17" i="4"/>
  <c r="I17" i="4" s="1"/>
  <c r="E6" i="4"/>
  <c r="I6" i="4" s="1"/>
  <c r="E12" i="4"/>
  <c r="I12" i="4" s="1"/>
  <c r="E18" i="4"/>
  <c r="I18" i="4" s="1"/>
  <c r="G17" i="4"/>
  <c r="G146" i="4"/>
  <c r="G122" i="4"/>
  <c r="G97" i="4"/>
  <c r="J73" i="4"/>
  <c r="G13" i="4"/>
  <c r="G160" i="4"/>
  <c r="J160" i="4" s="1"/>
  <c r="G141" i="4"/>
  <c r="J190" i="4"/>
  <c r="G169" i="4"/>
  <c r="G162" i="4"/>
  <c r="G161" i="4"/>
  <c r="J161" i="4" s="1"/>
  <c r="G142" i="4"/>
  <c r="G15" i="4"/>
  <c r="G9" i="4"/>
  <c r="J201" i="4"/>
  <c r="G187" i="4"/>
  <c r="I184" i="4"/>
  <c r="J184" i="4" s="1"/>
  <c r="G170" i="4"/>
  <c r="I168" i="4"/>
  <c r="G165" i="4"/>
  <c r="J165" i="4" s="1"/>
  <c r="G163" i="4"/>
  <c r="G143" i="4"/>
  <c r="I119" i="4"/>
  <c r="G195" i="4"/>
  <c r="I193" i="4"/>
  <c r="J193" i="4" s="1"/>
  <c r="G188" i="4"/>
  <c r="J188" i="4" s="1"/>
  <c r="G179" i="4"/>
  <c r="I177" i="4"/>
  <c r="J177" i="4" s="1"/>
  <c r="G171" i="4"/>
  <c r="J171" i="4" s="1"/>
  <c r="G164" i="4"/>
  <c r="J164" i="4" s="1"/>
  <c r="G3" i="4"/>
  <c r="G207" i="4"/>
  <c r="G196" i="4"/>
  <c r="G189" i="4"/>
  <c r="J189" i="4" s="1"/>
  <c r="G180" i="4"/>
  <c r="G172" i="4"/>
  <c r="J172" i="4" s="1"/>
  <c r="G145" i="4"/>
  <c r="J145" i="4" s="1"/>
  <c r="G121" i="4"/>
  <c r="G197" i="4"/>
  <c r="G182" i="4"/>
  <c r="J182" i="4" s="1"/>
  <c r="G181" i="4"/>
  <c r="J181" i="4" s="1"/>
  <c r="G11" i="4"/>
  <c r="G209" i="4"/>
  <c r="J209" i="4" s="1"/>
  <c r="I200" i="4"/>
  <c r="J200" i="4" s="1"/>
  <c r="G199" i="4"/>
  <c r="G153" i="4"/>
  <c r="G152" i="4"/>
  <c r="J152" i="4" s="1"/>
  <c r="G147" i="4"/>
  <c r="G129" i="4"/>
  <c r="G128" i="4"/>
  <c r="G123" i="4"/>
  <c r="G98" i="4"/>
  <c r="G57" i="4"/>
  <c r="G56" i="4"/>
  <c r="I153" i="4"/>
  <c r="G149" i="4"/>
  <c r="I138" i="4"/>
  <c r="I137" i="4"/>
  <c r="G136" i="4"/>
  <c r="J136" i="4" s="1"/>
  <c r="I129" i="4"/>
  <c r="G125" i="4"/>
  <c r="G105" i="4"/>
  <c r="G104" i="4"/>
  <c r="J104" i="4" s="1"/>
  <c r="G99" i="4"/>
  <c r="G81" i="4"/>
  <c r="G80" i="4"/>
  <c r="G75" i="4"/>
  <c r="J75" i="4" s="1"/>
  <c r="I57" i="4"/>
  <c r="G53" i="4"/>
  <c r="I33" i="4"/>
  <c r="G29" i="4"/>
  <c r="I157" i="4"/>
  <c r="J157" i="4" s="1"/>
  <c r="I154" i="4"/>
  <c r="I151" i="4"/>
  <c r="G140" i="4"/>
  <c r="I139" i="4"/>
  <c r="I133" i="4"/>
  <c r="G132" i="4"/>
  <c r="J132" i="4" s="1"/>
  <c r="I130" i="4"/>
  <c r="I127" i="4"/>
  <c r="I114" i="4"/>
  <c r="I113" i="4"/>
  <c r="G112" i="4"/>
  <c r="J112" i="4" s="1"/>
  <c r="I105" i="4"/>
  <c r="G101" i="4"/>
  <c r="I81" i="4"/>
  <c r="G77" i="4"/>
  <c r="G60" i="4"/>
  <c r="I58" i="4"/>
  <c r="I55" i="4"/>
  <c r="G37" i="4"/>
  <c r="G36" i="4"/>
  <c r="I34" i="4"/>
  <c r="G31" i="4"/>
  <c r="G116" i="4"/>
  <c r="J116" i="4" s="1"/>
  <c r="G108" i="4"/>
  <c r="J108" i="4" s="1"/>
  <c r="I37" i="4"/>
  <c r="G92" i="4"/>
  <c r="J92" i="4" s="1"/>
  <c r="I91" i="4"/>
  <c r="I85" i="4"/>
  <c r="J85" i="4" s="1"/>
  <c r="G68" i="4"/>
  <c r="J68" i="4" s="1"/>
  <c r="I67" i="4"/>
  <c r="G40" i="4"/>
  <c r="J89" i="4"/>
  <c r="G45" i="4"/>
  <c r="G44" i="4"/>
  <c r="I94" i="4"/>
  <c r="G42" i="4"/>
  <c r="G41" i="4"/>
  <c r="G48" i="4"/>
  <c r="G25" i="4"/>
  <c r="G24" i="4"/>
  <c r="I22" i="4"/>
  <c r="I72" i="4"/>
  <c r="J72" i="4" s="1"/>
  <c r="G70" i="4"/>
  <c r="I25" i="4"/>
  <c r="I95" i="4"/>
  <c r="I71" i="4"/>
  <c r="G28" i="4"/>
  <c r="I27" i="4"/>
  <c r="I51" i="4"/>
  <c r="I28" i="4"/>
  <c r="J168" i="4"/>
  <c r="J180" i="4"/>
  <c r="G6" i="4"/>
  <c r="G210" i="4"/>
  <c r="J210" i="4" s="1"/>
  <c r="G167" i="4"/>
  <c r="J167" i="4" s="1"/>
  <c r="I163" i="4"/>
  <c r="G135" i="4"/>
  <c r="J135" i="4" s="1"/>
  <c r="G111" i="4"/>
  <c r="G87" i="4"/>
  <c r="G63" i="4"/>
  <c r="G39" i="4"/>
  <c r="G154" i="4"/>
  <c r="G130" i="4"/>
  <c r="J130" i="4" s="1"/>
  <c r="G106" i="4"/>
  <c r="J106" i="4" s="1"/>
  <c r="G82" i="4"/>
  <c r="J82" i="4" s="1"/>
  <c r="G58" i="4"/>
  <c r="G34" i="4"/>
  <c r="G32" i="4"/>
  <c r="G110" i="4"/>
  <c r="G8" i="4"/>
  <c r="G198" i="4"/>
  <c r="J198" i="4" s="1"/>
  <c r="G191" i="4"/>
  <c r="G174" i="4"/>
  <c r="J174" i="4" s="1"/>
  <c r="G211" i="4"/>
  <c r="G175" i="4"/>
  <c r="J175" i="4" s="1"/>
  <c r="G155" i="4"/>
  <c r="J155" i="4" s="1"/>
  <c r="I149" i="4"/>
  <c r="G131" i="4"/>
  <c r="J131" i="4" s="1"/>
  <c r="I125" i="4"/>
  <c r="G107" i="4"/>
  <c r="J107" i="4" s="1"/>
  <c r="I101" i="4"/>
  <c r="G83" i="4"/>
  <c r="J83" i="4" s="1"/>
  <c r="I77" i="4"/>
  <c r="G59" i="4"/>
  <c r="G35" i="4"/>
  <c r="I29" i="4"/>
  <c r="G150" i="4"/>
  <c r="J150" i="4" s="1"/>
  <c r="G148" i="4"/>
  <c r="J148" i="4" s="1"/>
  <c r="I146" i="4"/>
  <c r="G126" i="4"/>
  <c r="J126" i="4" s="1"/>
  <c r="G124" i="4"/>
  <c r="J124" i="4" s="1"/>
  <c r="I122" i="4"/>
  <c r="G102" i="4"/>
  <c r="J102" i="4" s="1"/>
  <c r="G100" i="4"/>
  <c r="J100" i="4" s="1"/>
  <c r="I98" i="4"/>
  <c r="J98" i="4" s="1"/>
  <c r="G78" i="4"/>
  <c r="J78" i="4" s="1"/>
  <c r="G76" i="4"/>
  <c r="J76" i="4" s="1"/>
  <c r="I74" i="4"/>
  <c r="J74" i="4" s="1"/>
  <c r="G54" i="4"/>
  <c r="G52" i="4"/>
  <c r="I50" i="4"/>
  <c r="G30" i="4"/>
  <c r="I26" i="4"/>
  <c r="I170" i="4"/>
  <c r="G151" i="4"/>
  <c r="J151" i="4" s="1"/>
  <c r="I143" i="4"/>
  <c r="G127" i="4"/>
  <c r="G103" i="4"/>
  <c r="J103" i="4" s="1"/>
  <c r="G79" i="4"/>
  <c r="J79" i="4" s="1"/>
  <c r="G55" i="4"/>
  <c r="J204" i="4"/>
  <c r="J192" i="4"/>
  <c r="G14" i="4"/>
  <c r="G4" i="4"/>
  <c r="J202" i="4"/>
  <c r="G5" i="4"/>
  <c r="G221" i="4"/>
  <c r="J221" i="4" s="1"/>
  <c r="G219" i="4"/>
  <c r="G203" i="4"/>
  <c r="G217" i="4"/>
  <c r="J217" i="4" s="1"/>
  <c r="G215" i="4"/>
  <c r="G166" i="4"/>
  <c r="G208" i="4"/>
  <c r="J208" i="4" s="1"/>
  <c r="G206" i="4"/>
  <c r="J206" i="4" s="1"/>
  <c r="G186" i="4"/>
  <c r="G10" i="4"/>
  <c r="G144" i="4"/>
  <c r="J144" i="4" s="1"/>
  <c r="I142" i="4"/>
  <c r="J142" i="4" s="1"/>
  <c r="I118" i="4"/>
  <c r="J118" i="4" s="1"/>
  <c r="I158" i="4"/>
  <c r="J158" i="4" s="1"/>
  <c r="J147" i="4"/>
  <c r="I141" i="4"/>
  <c r="I117" i="4"/>
  <c r="J117" i="4" s="1"/>
  <c r="J99" i="4"/>
  <c r="I93" i="4"/>
  <c r="J93" i="4" s="1"/>
  <c r="I69" i="4"/>
  <c r="J69" i="4" s="1"/>
  <c r="G27" i="4"/>
  <c r="G20" i="4"/>
  <c r="G16" i="4"/>
  <c r="J94" i="4"/>
  <c r="G22" i="4"/>
  <c r="G95" i="4"/>
  <c r="J95" i="4" s="1"/>
  <c r="G71" i="4"/>
  <c r="J71" i="4" s="1"/>
  <c r="G47" i="4"/>
  <c r="I41" i="4"/>
  <c r="G23" i="4"/>
  <c r="G18" i="4"/>
  <c r="G119" i="4"/>
  <c r="G225" i="4"/>
  <c r="J225" i="4" s="1"/>
  <c r="G223" i="4"/>
  <c r="I216" i="4"/>
  <c r="J216" i="4" s="1"/>
  <c r="I214" i="4"/>
  <c r="J214" i="4" s="1"/>
  <c r="G178" i="4"/>
  <c r="J178" i="4" s="1"/>
  <c r="I166" i="4"/>
  <c r="G159" i="4"/>
  <c r="J159" i="4" s="1"/>
  <c r="G138" i="4"/>
  <c r="I134" i="4"/>
  <c r="J114" i="4"/>
  <c r="I110" i="4"/>
  <c r="I86" i="4"/>
  <c r="J86" i="4" s="1"/>
  <c r="J66" i="4"/>
  <c r="I62" i="4"/>
  <c r="I38" i="4"/>
  <c r="G139" i="4"/>
  <c r="J139" i="4" s="1"/>
  <c r="G115" i="4"/>
  <c r="G91" i="4"/>
  <c r="G67" i="4"/>
  <c r="G43" i="4"/>
  <c r="G134" i="4"/>
  <c r="J224" i="4"/>
  <c r="J222" i="4"/>
  <c r="J218" i="4"/>
  <c r="J169" i="4"/>
  <c r="I223" i="4"/>
  <c r="I219" i="4"/>
  <c r="I215" i="4"/>
  <c r="I211" i="4"/>
  <c r="I207" i="4"/>
  <c r="J207" i="4" s="1"/>
  <c r="I203" i="4"/>
  <c r="I199" i="4"/>
  <c r="J199" i="4" s="1"/>
  <c r="I195" i="4"/>
  <c r="I191" i="4"/>
  <c r="I187" i="4"/>
  <c r="J173" i="4"/>
  <c r="E3" i="4"/>
  <c r="I3" i="4" s="1"/>
  <c r="G2" i="4"/>
  <c r="J80" i="4" l="1"/>
  <c r="J211" i="4"/>
  <c r="J91" i="4"/>
  <c r="J127" i="4"/>
  <c r="J87" i="4"/>
  <c r="J111" i="4"/>
  <c r="J197" i="4"/>
  <c r="J223" i="4"/>
  <c r="J170" i="4"/>
  <c r="J137" i="4"/>
  <c r="J162" i="4"/>
  <c r="J64" i="4"/>
  <c r="J62" i="4"/>
  <c r="J44" i="4"/>
  <c r="J219" i="4"/>
  <c r="J119" i="4"/>
  <c r="J113" i="4"/>
  <c r="J196" i="4"/>
  <c r="J141" i="4"/>
  <c r="J70" i="4"/>
  <c r="J115" i="4"/>
  <c r="J133" i="4"/>
  <c r="J156" i="4"/>
  <c r="J140" i="4"/>
  <c r="J179" i="4"/>
  <c r="J191" i="4"/>
  <c r="J146" i="4"/>
  <c r="J46" i="4"/>
  <c r="J47" i="4"/>
  <c r="J56" i="4"/>
  <c r="J63" i="4"/>
  <c r="J59" i="4"/>
  <c r="J61" i="4"/>
  <c r="J54" i="4"/>
  <c r="J50" i="4"/>
  <c r="J52" i="4"/>
  <c r="J51" i="4"/>
  <c r="J45" i="4"/>
  <c r="J49" i="4"/>
  <c r="J23" i="4"/>
  <c r="J41" i="4"/>
  <c r="J60" i="4"/>
  <c r="J33" i="4"/>
  <c r="J35" i="4"/>
  <c r="J19" i="4"/>
  <c r="J26" i="4"/>
  <c r="J21" i="4"/>
  <c r="J38" i="4"/>
  <c r="J40" i="4"/>
  <c r="J31" i="4"/>
  <c r="J20" i="4"/>
  <c r="J39" i="4"/>
  <c r="J24" i="4"/>
  <c r="J37" i="4"/>
  <c r="J32" i="4"/>
  <c r="J43" i="4"/>
  <c r="J36" i="4"/>
  <c r="J42" i="4"/>
  <c r="J30" i="4"/>
  <c r="J7" i="4"/>
  <c r="J12" i="4"/>
  <c r="J215" i="4"/>
  <c r="J186" i="4"/>
  <c r="J77" i="4"/>
  <c r="J121" i="4"/>
  <c r="J122" i="4"/>
  <c r="J25" i="4"/>
  <c r="J143" i="4"/>
  <c r="J48" i="4"/>
  <c r="J123" i="4"/>
  <c r="J138" i="4"/>
  <c r="J28" i="4"/>
  <c r="J128" i="4"/>
  <c r="J81" i="4"/>
  <c r="J67" i="4"/>
  <c r="J29" i="4"/>
  <c r="J163" i="4"/>
  <c r="J195" i="4"/>
  <c r="J27" i="4"/>
  <c r="J53" i="4"/>
  <c r="J97" i="4"/>
  <c r="J15" i="4"/>
  <c r="J17" i="4"/>
  <c r="J9" i="4"/>
  <c r="J10" i="4"/>
  <c r="J11" i="4"/>
  <c r="J14" i="4"/>
  <c r="J18" i="4"/>
  <c r="J16" i="4"/>
  <c r="J13" i="4"/>
  <c r="J3" i="4"/>
  <c r="J8" i="4"/>
  <c r="J6" i="4"/>
  <c r="J4" i="4"/>
  <c r="J129" i="4"/>
  <c r="J154" i="4"/>
  <c r="J153" i="4"/>
  <c r="J101" i="4"/>
  <c r="J22" i="4"/>
  <c r="J125" i="4"/>
  <c r="J57" i="4"/>
  <c r="J187" i="4"/>
  <c r="J34" i="4"/>
  <c r="J5" i="4"/>
  <c r="J55" i="4"/>
  <c r="J149" i="4"/>
  <c r="J58" i="4"/>
  <c r="J105" i="4"/>
  <c r="J110" i="4"/>
  <c r="J203" i="4"/>
  <c r="J166" i="4"/>
  <c r="J134" i="4"/>
  <c r="J2" i="4"/>
</calcChain>
</file>

<file path=xl/sharedStrings.xml><?xml version="1.0" encoding="utf-8"?>
<sst xmlns="http://schemas.openxmlformats.org/spreadsheetml/2006/main" count="49678" uniqueCount="7119">
  <si>
    <t>GRADO QUIRÚRGICO S.A DE C.V  RFC: GQU210304NJ5, Calle Central de Abastos Nave F, Local 21, San Vicente Chicoloapan de Juárez Centro, Chicoloapan, CP. 56370, EDOMEX.</t>
  </si>
  <si>
    <t>FECHA DE PEDIDO:</t>
  </si>
  <si>
    <t>CONDICIONES DE PAGO:</t>
  </si>
  <si>
    <t>SUCURSAL DESTINO:</t>
  </si>
  <si>
    <t>PROVEEDOR:</t>
  </si>
  <si>
    <t>CANTIDAD DE PRODUCTOS:</t>
  </si>
  <si>
    <t>No. DE ORDEN DE COMPRA:</t>
  </si>
  <si>
    <t>NO. COTIZACIÓN:</t>
  </si>
  <si>
    <t>CÓDIGO</t>
  </si>
  <si>
    <t>DESCRIPCIÓN</t>
  </si>
  <si>
    <t>PIEZAS</t>
  </si>
  <si>
    <t>PRECIO</t>
  </si>
  <si>
    <t>TOTAL</t>
  </si>
  <si>
    <t>F37</t>
  </si>
  <si>
    <t>F35</t>
  </si>
  <si>
    <t>GH</t>
  </si>
  <si>
    <t>SV</t>
  </si>
  <si>
    <t>ECA</t>
  </si>
  <si>
    <t>CLAVE</t>
  </si>
  <si>
    <t>CLAVE ALTERNA</t>
  </si>
  <si>
    <t>DESCRIPCION</t>
  </si>
  <si>
    <t>SERVICIO (S/N)</t>
  </si>
  <si>
    <t>INV_MIN</t>
  </si>
  <si>
    <t>INV_MAX</t>
  </si>
  <si>
    <t>PRECIO COMPRA</t>
  </si>
  <si>
    <t>PRECIO 1</t>
  </si>
  <si>
    <t>PRECIO 2</t>
  </si>
  <si>
    <t>MAYOREO 2</t>
  </si>
  <si>
    <t>PRECIO 3</t>
  </si>
  <si>
    <t>MAYOREO 3</t>
  </si>
  <si>
    <t>PRECIO 4</t>
  </si>
  <si>
    <t>MAYOREO 4</t>
  </si>
  <si>
    <t>EXIST.</t>
  </si>
  <si>
    <t>PESO</t>
  </si>
  <si>
    <t>CARACTERISTICAS</t>
  </si>
  <si>
    <t>DEPARTAMENTO</t>
  </si>
  <si>
    <t>CATEGORIA</t>
  </si>
  <si>
    <t>RECETA (S/N)</t>
  </si>
  <si>
    <t>GRANEL (S/N)</t>
  </si>
  <si>
    <t>IMPUESTO (S/N)</t>
  </si>
  <si>
    <t>IMP IVA 0(S/N)</t>
  </si>
  <si>
    <t>IMP IVA(S/N)</t>
  </si>
  <si>
    <t>IMP IEPS(S/N)</t>
  </si>
  <si>
    <t/>
  </si>
  <si>
    <t>loperamida - DILOSTOP - 12 tab - 2 mg - COLLINS</t>
  </si>
  <si>
    <t>false</t>
  </si>
  <si>
    <t>GENERICO</t>
  </si>
  <si>
    <t>TABLETA</t>
  </si>
  <si>
    <t>N</t>
  </si>
  <si>
    <t>S</t>
  </si>
  <si>
    <t>AMOXICLAV, CLAVULIN, AUGMENTIN, CLAVIPEN, GIMACLAV,VALCLAN, ACROXIL C, GRAMAXIN</t>
  </si>
  <si>
    <t>ANTIBIOTICO GENERICO</t>
  </si>
  <si>
    <t>ALIN NASAL</t>
  </si>
  <si>
    <t>ADVIL, EUFENIL, GELUBRIN, ACTRON</t>
  </si>
  <si>
    <t>diclofenaco - NEDICLON LP - 20 tab - 100 mg - BRULUART</t>
  </si>
  <si>
    <t>VOLTAREN RETARD, MAFENA RETARD, DICLOEFENACO ULTRA, DOCRIL, VOLFENAC</t>
  </si>
  <si>
    <t>OTC GENERICO</t>
  </si>
  <si>
    <t>MEDICAMENTO FRACCION VI</t>
  </si>
  <si>
    <t>VANTAL BUCOFARINGEO, ARTROBEN, BIOBEND</t>
  </si>
  <si>
    <t>atorvastatina - ATORLIP - 10 tab -40 mg - MAVI</t>
  </si>
  <si>
    <t>THOREVA, LIPITOR, BACAT, ODIVITOR, TEINEMIA, ETURION</t>
  </si>
  <si>
    <t>fluoxetina - ZATIN - 30 cap - 20 mg - WERMAR</t>
  </si>
  <si>
    <t>FARMAXETINA,FLUOXAC, PISAURIT, PROZAC 20, ANIUP, F EXINA,  VICSEL, INDOZUL</t>
  </si>
  <si>
    <t>atorvastatina - ATORLIP - 10 tab - 20 mg - MAVI</t>
  </si>
  <si>
    <t>EUTIROX, KARET, LEVOTIROXINA SODICA 100 AMSA</t>
  </si>
  <si>
    <t>tetraciclina - BIOTRICINA - 10 tab - 250 mg - BIORESEARCH</t>
  </si>
  <si>
    <t xml:space="preserve">ACROMICINA, </t>
  </si>
  <si>
    <t>sertralina - ACORTRAL - 14 tab - 50 mg - ACCORD</t>
  </si>
  <si>
    <t>ALTRULINE, EQUIVAC,RESTERAL, SERENATA, TTRESSVIN,  ALUPREX, TRAKOS</t>
  </si>
  <si>
    <t>miconazol - MICONAZOL - crema 2% - tubo 20 g - ALPHARMA</t>
  </si>
  <si>
    <t>CONAZOL, DAKTARIN,NEOMICOL,  FHRESMIN, LECODER</t>
  </si>
  <si>
    <t>metoclopramida - METOCLOPRAMIDA - 6 amp iny - 10 mg/2 ml - AMSA</t>
  </si>
  <si>
    <t>TIR-METIL</t>
  </si>
  <si>
    <t>INYECCIÓN</t>
  </si>
  <si>
    <t>amikacina - AMIKACINA - 1 amp iny - 500 mg/2 ml - AMSA</t>
  </si>
  <si>
    <t>AMIKAYECT, AMK</t>
  </si>
  <si>
    <t>TRADOL</t>
  </si>
  <si>
    <t>gentamicina - GENTAMICINA - Iny 1 amp - 160 mg/2 ml - AMSA</t>
  </si>
  <si>
    <t>GARAMICINA, GENREX, GENKOVA</t>
  </si>
  <si>
    <t>amoxicilina - AMOXICILINA - 12 cap - 500 mg - AMSA</t>
  </si>
  <si>
    <t>AMOBAY, PENBRITIN, PENAMOX, GIMALXINA</t>
  </si>
  <si>
    <t>ANTIBIOTICO</t>
  </si>
  <si>
    <t>metformina - METFORMINA - 30 tab - 850 mg - AMSA</t>
  </si>
  <si>
    <t>PREDIAL, DABEX, GLUCOPHAGE, DIMEFOR, FICONAX, ANGLUCID, METIXOR, FORMIDAL, GLUNOVAG</t>
  </si>
  <si>
    <t>BUSCAPINA FEM</t>
  </si>
  <si>
    <t>diclofenaco - DICLOFENACO - 20 tab -100 mg - AVIVIA - AGO25</t>
  </si>
  <si>
    <t>VOLTAREN RETARD, DIOXAFLEX RETARD, ORMOFEN, DOLFLAM RETARD, ARIFLAM, NEDICLON, MAFENA RETARD, VOLFENAC, GALEDOL, DORMEX</t>
  </si>
  <si>
    <t>omeprazol - OMEPRAZOL - 30 cap - 20 mg - ULTRA</t>
  </si>
  <si>
    <t>ULTIZOL, CIZOLE, GASTROPAX NF, FABOACID PLUS, TASEC, REFLUPRAZOL, CLANZOL 20, ALBOZ</t>
  </si>
  <si>
    <t>AMLODIPINO - 100 tab - 5 mg - AVIVIA</t>
  </si>
  <si>
    <t>naproxeno - BIXEN - 12 tab - 550 mg - BIOMEP</t>
  </si>
  <si>
    <t>FLANAX, DAFLOXEN, ALLIVIAX, INFLANOX,FLAXENDOL</t>
  </si>
  <si>
    <t>metronidazol - MESSELDAZOL - 30 tab - 500 mg - BIOMEP</t>
  </si>
  <si>
    <t>FLAGENASE, FLAGYL, LAMBLIT</t>
  </si>
  <si>
    <t>metronidazol - MESSELDAZOL - 20 tab - 500 mg - BIOMEP</t>
  </si>
  <si>
    <t>DIMEFOR G, SIL NORBORAL, GLUCOVANCE, MAVIGLIN</t>
  </si>
  <si>
    <t>MUCOVIBROL, MUCOANGIN, CLOXAN, OXOLVAN</t>
  </si>
  <si>
    <t>ácido fólico - MATERFOL - 90 tab - 400 mcg - CMD</t>
  </si>
  <si>
    <t>A.F. VALDECASAS, FOLIVITAL</t>
  </si>
  <si>
    <t>vit, min, quercetina y omega 3,6 - DIBENEL MAX - 30 cap - 1.35 g c/u - CMD---</t>
  </si>
  <si>
    <t>Omega 3, 6, 9 - OMG 3 - 60 cap - 1.6 g - CMD</t>
  </si>
  <si>
    <t>SUPLEMENTOS Y VITAMINAS</t>
  </si>
  <si>
    <t>aciclovir - SOVICLOR - tubo 5 g - 50 mg/1 g - COLLINS</t>
  </si>
  <si>
    <t>CICLOFERON, EUROVIR, CLOVEX, LESACLOR, ZIVERONE</t>
  </si>
  <si>
    <t>Losartán-STAARS*-30 compr-50mg - COLLINS---</t>
  </si>
  <si>
    <t xml:space="preserve">LODESTAR, ALDERAN, PUNAB, </t>
  </si>
  <si>
    <t>DESCONTINUADO</t>
  </si>
  <si>
    <t>diclofenaco - VOLFENAC - gel 1.235 % - tubo 60 g - COLLINS</t>
  </si>
  <si>
    <t>VOLTAREN, FENAGEL</t>
  </si>
  <si>
    <t>ibuprofeno - DOLPRIN - susp - 2 g/100 ml - COLLINS</t>
  </si>
  <si>
    <t>ACTRON, MOTRIM, TABALON,AFLENO,  AFLUSIL, DOLVER</t>
  </si>
  <si>
    <t xml:space="preserve">POLIXIN, SEPTILISIN, SULNED </t>
  </si>
  <si>
    <t>OFTÁLMICO</t>
  </si>
  <si>
    <t>ibuprofeno - ADOPREN - 10 tab - 800 mg - GENETICA</t>
  </si>
  <si>
    <t>tramadol - GENCATROL RTD - 10 tab - 100 mg - GENÉTICA</t>
  </si>
  <si>
    <t>TRADOL RETARD, DESIGORT 100</t>
  </si>
  <si>
    <t>tramadol - GENCATROL - 10 caps - 50 mg - GENÉTICA</t>
  </si>
  <si>
    <t>TRADOL, ADIOLOL</t>
  </si>
  <si>
    <t>amoxicillina - AMOXICILINA - 12 cap - 500 mg - HORMONA</t>
  </si>
  <si>
    <t>ampicilina - AMPICILINA - 20 cap - 500 mg - HORMONA</t>
  </si>
  <si>
    <t>BINOTAL, BRUPEN,MEXAPIN, PENTREXYL</t>
  </si>
  <si>
    <t>PRUEBA DE EMBARAZO (MEDITEST) - JAYOR</t>
  </si>
  <si>
    <t>PREHOSPITALARIO</t>
  </si>
  <si>
    <t>PREHOSPITALRIO</t>
  </si>
  <si>
    <t>levofloxacino - CINA - 7 tab - 750 mg - LANDSTEINER</t>
  </si>
  <si>
    <t>BREDELIN, ELEQUINE, FLUONING,  MAXIPLINA, LEFLOXINPROXSAFLO, SIBOFIX, UNIQUIN</t>
  </si>
  <si>
    <t>sulfadiazina de plata - ARGENTAL - crema 28 g - 1/100 g - LIFERPAL</t>
  </si>
  <si>
    <t>ARGENTAFIL, ARGEMOL</t>
  </si>
  <si>
    <t>ketoconazol - TINIAZOL SHAMPOO - 120 ml - 2 g/100 ml - LIFERPAL</t>
  </si>
  <si>
    <t>MEDICASP</t>
  </si>
  <si>
    <t>metformina - METFORMINA - 40 tab - 500 mg - LOEFFLER</t>
  </si>
  <si>
    <t xml:space="preserve">DABEX XR, DIMEFOR, FICONAX, GLUCOPHAGE, AKSPRI, MEVICFOR, </t>
  </si>
  <si>
    <t>sulfadiazina - ARGEMOL - crema 1% - 28 g - LOEFFLER</t>
  </si>
  <si>
    <t>ARGENTAFIL, ARGENTAL</t>
  </si>
  <si>
    <t>DAXON, PARAMIX, ZOTANIXIN</t>
  </si>
  <si>
    <t>terbinafina - ERBITRAX - 15 g - crema  1% - LOEFFLER</t>
  </si>
  <si>
    <t>LAMISIL, UNASAL, MYCELVAN, SILKA MEDIC, HUDICLOR, RIXOBA, NAFICH</t>
  </si>
  <si>
    <t>betametasona - ERISPAN - iny 1 amp - 8 mg/2 ml - MAVER</t>
  </si>
  <si>
    <t>CELESTONE HYPAK , ALIN, CELESBITAN, ROIXOTAN, VERICORT, BRULIN, METAX</t>
  </si>
  <si>
    <t>cefalexina - CEFALVER - 20 cap - 500 mg - MAVER</t>
  </si>
  <si>
    <t>KEFLEX, NAXIFELAR, FACELIT, OPTOCEF, CEPOREX, C FLIP, NIXELAF C</t>
  </si>
  <si>
    <t>ketorolaco - LOROTEC - 10 tab -10 mg - MAVER</t>
  </si>
  <si>
    <t>RAPIX, DOLAC, SUPRADOL, ULTILAP, VOYDOL, KENDOL, ONEMER, KETROL, BRUNACOL, MAVIDOL, TOLORAN,DOLIKAN, LANDACO, DOKET, NOVAKEROL</t>
  </si>
  <si>
    <t>paracetamol - CORIVER 750 - 10 tab - 750 mg - MAVER</t>
  </si>
  <si>
    <t xml:space="preserve">TYLEX 750, PORTEM, QUITADOL, ACETAFEN, </t>
  </si>
  <si>
    <t>ANALGEN NF GEL</t>
  </si>
  <si>
    <t>MUCOCEF</t>
  </si>
  <si>
    <t>BACTROBAN, SINPEBAC, UNDERAN</t>
  </si>
  <si>
    <t>cisaprida - PRESISTÍN - 30 tab - 10 mg - MAVER</t>
  </si>
  <si>
    <t>KINESTASE, UNAMOL, NODRIX</t>
  </si>
  <si>
    <t>ANALGEN NF</t>
  </si>
  <si>
    <t>norfenefrina - FRINVER - fco got 24 ml - 10 mg/ml - MAVER</t>
  </si>
  <si>
    <t>A.S. COR</t>
  </si>
  <si>
    <t>CLAVULIN, AUGMENTIN, AMOXICLAV, VALCLAN, GIMACLAV</t>
  </si>
  <si>
    <t>dexpantenol - PAMEDAN - crema 30 g - 5% - MAVER</t>
  </si>
  <si>
    <t>duloxetina - IDELIVER PRO - 14 tab - 60 mg - MAVER</t>
  </si>
  <si>
    <t>CYMBALTA, DULPICAP, KASTANDI, ABRETIA, DHARMA-SEIS, LIMBAXIA, SPLYPAX, ARQUERA</t>
  </si>
  <si>
    <t xml:space="preserve">CONTAC ULTRA, DESENFRIOL D, TEMPRA 24hrs, BREGAMIN, </t>
  </si>
  <si>
    <t>XL3 ANTIGRIPAL, DESENFRIOL D, CONTAC ULTRA,</t>
  </si>
  <si>
    <t>duloxetina - IDELIVER PRO - 7 tab - 30 mg - MAVER</t>
  </si>
  <si>
    <t>losartán - ALDERÁN - 15 tab -100 mg - MAVER</t>
  </si>
  <si>
    <t xml:space="preserve">LODESTAR, COZAAR, </t>
  </si>
  <si>
    <t>lactulosa - OPPELVER - jbe 125 ml - 10 g/15 ml - MAVER</t>
  </si>
  <si>
    <t>LACTULAX, REGULACT, DUPHALAC, QUIMTULAC</t>
  </si>
  <si>
    <t>JARABE</t>
  </si>
  <si>
    <t>CECLOR, CEFLACID</t>
  </si>
  <si>
    <t>ATARAX, AKISKAM, XYLAM</t>
  </si>
  <si>
    <t>bencidamina - ARTROBEN SPRAY - 45 g/30 ml - MAVI</t>
  </si>
  <si>
    <t>VANTAL</t>
  </si>
  <si>
    <t>SIL NORBORAL, DIMEFOR G, WADIL</t>
  </si>
  <si>
    <t>sildenafil - FIGRAL - 10 tab -100 mg - MAVI</t>
  </si>
  <si>
    <t>VIAGRA, GO, MAZZOGRAN, VIGOREX, DIONIXOL</t>
  </si>
  <si>
    <t>sildenafil - FIGRAL - 4 tab - 50 mg - MAVI</t>
  </si>
  <si>
    <t>sildenafil - FIGRAL - caja c/1 tab -100 mg - MAVI</t>
  </si>
  <si>
    <t>glibenclamida - REGLUSAN - 50 tab - 5 mg - NOVAG</t>
  </si>
  <si>
    <t>telmisartán - NATRAZIM - 28 tab - 80 mg - NOVAG</t>
  </si>
  <si>
    <t>MICARDIS</t>
  </si>
  <si>
    <t>ketoconazol - LIZOVAG - 10 tab - 200 mg - NOVAG</t>
  </si>
  <si>
    <t>NIZORAL, KETOWEST, MESSELZOL, CONAZOL</t>
  </si>
  <si>
    <t>metamizol sódico - PIRINOVAG - 10 tab - 500 mg - NOVAG</t>
  </si>
  <si>
    <t>NEO MELUBRINA TABS, MESSELFENIL, METAPIRONA,</t>
  </si>
  <si>
    <t>metoclopramida - CIRULAN - fco 20 ml - 400 mg - NOVAG</t>
  </si>
  <si>
    <t>CIRULAN</t>
  </si>
  <si>
    <t>AMINOEFEDRISON NF</t>
  </si>
  <si>
    <t>ketoconazol - LIZOVAG - crema 30 g - 2 g/100 g - NOVAG</t>
  </si>
  <si>
    <t>NIZORAL CREMA</t>
  </si>
  <si>
    <t>fibra plantago psillyum - NOVAGON NATURAL - pvo - 49.7 g/400 g - NOVAG</t>
  </si>
  <si>
    <t>METAMUCIL, ALEXCIBRAN, MUGASIN</t>
  </si>
  <si>
    <t>metronidazol - LAMBLIT - susp 120 ml - 5 g - NOVAG</t>
  </si>
  <si>
    <t>FLAGYL SUSP</t>
  </si>
  <si>
    <t>LYRICA, PRIKUL, DISMEDOX, BIPALVER</t>
  </si>
  <si>
    <t>plántago psyllium - NOVAGON (NARANJA/PIÑA) - 400 g - pvo 35 g - NOVAG</t>
  </si>
  <si>
    <t>METAMUCIL, MUGASIN</t>
  </si>
  <si>
    <t>clortalidona - LORTAL - 20 tab - 50 mg - NOVAG</t>
  </si>
  <si>
    <t>HIGROTON 50 TABS</t>
  </si>
  <si>
    <t>paroxetina - IXICROL - 10 tab - 20 mg - NOVAG</t>
  </si>
  <si>
    <t>PAXIL</t>
  </si>
  <si>
    <t>telmisartán - NATRAZIM - 28 tab - 40 mg - NOVAG</t>
  </si>
  <si>
    <t>bezafibrato - NIBEZVAG - 30 tab - 200 mg - NOVAG</t>
  </si>
  <si>
    <t>FIBROXOL, CEDUR, COLSER, SAPRAME, BRUFIZA, REDALIP, BEZALIP</t>
  </si>
  <si>
    <t>benzonatato - PROGELBEN - 20 cap - 100 mg - PROGELA</t>
  </si>
  <si>
    <t>TESALON, CAPSICOF, PHARBEN, TEXOVEN</t>
  </si>
  <si>
    <t>ácido ascórbico - RDP - 10 cap - 500 mg - PROGELA</t>
  </si>
  <si>
    <t>OTC</t>
  </si>
  <si>
    <t>tamilgentrin - COMPLEJO B - 30 cap - PROGELA</t>
  </si>
  <si>
    <t>vitaminas, minerales - LA FEMME - 30 cap - PROGELA</t>
  </si>
  <si>
    <t>valproato de magnesio - VALPROATO DE MAGNESIO - 40 tab -200 mg - PSICOFARMA</t>
  </si>
  <si>
    <t xml:space="preserve">CRIAM, VALPROSID, 		</t>
  </si>
  <si>
    <t>oximetazolidina - NAZTRIL - fco 30 ml - sol. 0.05 % - PERRIGO</t>
  </si>
  <si>
    <t>AFRIN, ILIADIN, COLLIFRIN</t>
  </si>
  <si>
    <t>metoclopramida - CONYSMIN - 20 tab - 10 mg - RAAM</t>
  </si>
  <si>
    <t>CARNOTPRIM, PLASIL, CIRULAN, DIRPASID,MIPRAMID, ITAN</t>
  </si>
  <si>
    <t>fluconazol - AMEZTRAM - 10 cap - 100 mg - RAAM</t>
  </si>
  <si>
    <t>AFUNGIL, DIFLUCAN, FLUCOXAN, FLERIDUX, FLUKEZOL, FLUZOR, ONGICIL, MARSIN 100, TERPLEX, LANFLUZOL</t>
  </si>
  <si>
    <t>AUDOR,TAFITRAM, TRAMACET</t>
  </si>
  <si>
    <t xml:space="preserve">SINERGIX, FORCEDOL, MAVIDOL TR, </t>
  </si>
  <si>
    <t>dimenhidrinato - VOMISIN - 20 tab - 50 mg - RAYERE</t>
  </si>
  <si>
    <t>DRAMAMINE, DIMICAPS</t>
  </si>
  <si>
    <t>dimenhidrinato - VOMISIN INF - sol got 15 ml - 25 mg/ml - RAYERE</t>
  </si>
  <si>
    <t>DRAMAMINE</t>
  </si>
  <si>
    <t>PIRIFUR, AZURON, AZOGEN</t>
  </si>
  <si>
    <t>loperamida - LOP - 12 tab - 2 mg - SONS</t>
  </si>
  <si>
    <t>LOMOTIL</t>
  </si>
  <si>
    <t>ECTAPRIM F, MAXTRIM F, BACTRIM F, BACTIVER F, SOLTRIM F, BACTELAN, TRIMEXAZOL F</t>
  </si>
  <si>
    <t>BUSCAPINA COMPOSITUM, PASMODIL INYECTABLE</t>
  </si>
  <si>
    <t xml:space="preserve">BACTRIM, SOLTRIM, SULFAWAL, ECTAPRIM, BISULTRIM, SEPTRIN, </t>
  </si>
  <si>
    <t>ARTRIDOL, VERATRIN</t>
  </si>
  <si>
    <t>sucralfato - ALIVOATO - 40 tab - 1 g - SUANCA</t>
  </si>
  <si>
    <t>METIXANE, UNIVAL, DISCRAL</t>
  </si>
  <si>
    <t>omeprazol - OMEPRAZOL - 14 cap - 20 mg - ULTRA</t>
  </si>
  <si>
    <t>LOSEC A, GENOPRAZOL, ULSEN, AZIATOP, AGRIXAL, ALBOZ,DANOVAG, OZOKEN, SAROX, OMYGEN</t>
  </si>
  <si>
    <t>hidroclorotiazida - HIDROCLOROTIAZIDA - 20 tab -25 mg - ULTRA</t>
  </si>
  <si>
    <t>DIZIVER, ROFUCAL, ACORTIZ</t>
  </si>
  <si>
    <t>MICARDIS PLUS, TELARTEQ-URTI, PREDXAL PLUS, CORASOL D, LESPREK H,ARCHER COMPUESTO</t>
  </si>
  <si>
    <t>espironolactona - ESPIRONOLACTONA - 20 tab - 25 mg - ULTRA</t>
  </si>
  <si>
    <t>ALDACTONE A, VIVITAR, ALDOXOLSPIROCARD, NOLASQUE</t>
  </si>
  <si>
    <t>ampicilina - MEXAPIN - 20 cap - 500 mg - WANDEL</t>
  </si>
  <si>
    <t>AMOXICLAV, AUGMENTIN, CLAVULIN, AMOXICLAV, GRAMAXIN, VALCLAN, CLAVIPEN</t>
  </si>
  <si>
    <t>bromuro de pinaverio - BROMURO DE PINAVERIO - 14 tab - 100 mg - SCHOEN</t>
  </si>
  <si>
    <t>DICETEL, ROLMON, BRIOMON, ZERPYCO, BLOCAFER</t>
  </si>
  <si>
    <t>NIKZON, XIFEN</t>
  </si>
  <si>
    <t>Lansoprazol - AMDORY - 14 cap - 30 mg - WERMAR</t>
  </si>
  <si>
    <t>AVANCID, OGASTRO, ULPAX, DITIL, PALATRIN</t>
  </si>
  <si>
    <t>VENTOLIN, BRESALTEC, ASSAL</t>
  </si>
  <si>
    <t>MASCARILLA CON RESERVORIO---</t>
  </si>
  <si>
    <t>AVAPENA</t>
  </si>
  <si>
    <t>ALEVIAN DUO,DICETEL DUO, DIVELGEL, DUALIVER,LUNARIUM, ZERPYCO-DUO</t>
  </si>
  <si>
    <t>AMOXICLAV, CLAVULIN, AUGMENTIN, VALCLAN, CLAVIPEN, GIMACLAV</t>
  </si>
  <si>
    <t>diyodohidroxiquinoleína - THRECHOP - 20 tab - 50 mg/200 mg/2 mg/200 mg - COLLINS-PA</t>
  </si>
  <si>
    <t>ibuprofeno - GELUBRÍN - 10 cap - 400 mg - PROGELA</t>
  </si>
  <si>
    <t>ACTRON, ADVIL MAX, ALGIDOL, EUFENIL FORTE</t>
  </si>
  <si>
    <t>trimebutina - ESPABION - 20 tab - 200 mg - DEGORT'S</t>
  </si>
  <si>
    <t>LIBERTRIM, CINEPRAC, DOLBUTIN</t>
  </si>
  <si>
    <t>HISTIACIL NF, PLEXUS, BROGAL T, OXOLBRUL, COBADEX</t>
  </si>
  <si>
    <t>piroxicam - PIROXICAM - 20 tab - 20 mg - ULTRA</t>
  </si>
  <si>
    <t>FABUDOL,FACICAM,FELDENE, BRUCAM, RIPOX</t>
  </si>
  <si>
    <t>trimebutina - ESPABION - susp got ped 30 ml - 20 mg/1 ml - DEGORT'S</t>
  </si>
  <si>
    <t>CLAVULIN, AMOXICLAV BID, PENAMOX DUO, AUGMENTIN, AMPLIRON DUO, ACARBIXIN, VALCLAN, CLAVIPEN, GIMACLAV, GRAMAXIN</t>
  </si>
  <si>
    <t>nifedipino - NIFEDIPINO (L.P.) - 30 comp - 30 mg - ULTRA</t>
  </si>
  <si>
    <t>ADALAT CC, NIFICARD, FEDIRAL, CARDIOSOL, ANHITEN-A</t>
  </si>
  <si>
    <t>ADEROGYL, ADEKALS</t>
  </si>
  <si>
    <t>paracetamol - ACETIF - 10 tab -500 mg - NOVAG</t>
  </si>
  <si>
    <t>TEMPRA, TYLENOL, CORIVER, PORTEM, QUITADOL</t>
  </si>
  <si>
    <t>A DKAN, ADEKALS</t>
  </si>
  <si>
    <t>ibuprofeno - AFLUSIL - susp 120 ml - 2 g/100 ml - LOEFFLER</t>
  </si>
  <si>
    <t>ADVIL, MOTRIM, TABALON, AFLENO, DOLVER, DOLPRIN</t>
  </si>
  <si>
    <t>omeprazol - AGRIXAL - 100 cap - 20 mg - BRULUAGSA---</t>
  </si>
  <si>
    <t>OZOKEN, ZOLUFEN</t>
  </si>
  <si>
    <t>LODESTAR, STAARS, PUNAB, COZAAR, JOMASAR</t>
  </si>
  <si>
    <t>ibuprofeno - ALGIDOL - 10 cap - 400 mg - GELpharma</t>
  </si>
  <si>
    <t>ADVIL, MOTRIM, ACTRON, EUFENIL FORTE, AFLENO, DOLPROFEN</t>
  </si>
  <si>
    <t>naproxeno - ALLIVIAX - 10 tab - 550 mg - GENOMMA LAB</t>
  </si>
  <si>
    <t xml:space="preserve">DAFLOXEN,FLANAX,ANALGEN, BIXEN, FLAXENDOL,  </t>
  </si>
  <si>
    <t>bicarbonato de sodio - ALKA SELTZER EXHIB - 100 tab - BAYER</t>
  </si>
  <si>
    <t>aluminio y magnesio - ALUMAG - susp 240 ml - NOVAG</t>
  </si>
  <si>
    <t>Ceftriaxona disódica-AMCEF I.V. 1g*- Iny- 1g/10 mL -AMSA</t>
  </si>
  <si>
    <t>CEFTREX IV, CEFAXONA IV, ROCEPHIN IV, TRIXONA IV</t>
  </si>
  <si>
    <t>amikacina - AMIKACINA - iny 2 amp - 500 mg/2 ml - AMSA</t>
  </si>
  <si>
    <t>AMIKAYECT, AMK, BIOKACIN</t>
  </si>
  <si>
    <t>ampicilina - AMPICILINA - 20 tab - 500 mg - AMSA</t>
  </si>
  <si>
    <t>BINOTAL, PENBRITIN,PENTREXYL,  AMSAPEN, BRUPEN, MEXAPIN, PENTIVER</t>
  </si>
  <si>
    <t>LAUR</t>
  </si>
  <si>
    <t>pregabalina - ANIERNOV - 28 cap - 75 mg - NOVAG</t>
  </si>
  <si>
    <t>LYRICA, VIRAVIR, DISMEDOX, DOMINION, GARBICAN, NEVRIKA, GALBAX, NEURONAL, RAMSUN, PREBICTAL, BIPALVER</t>
  </si>
  <si>
    <t>NOFRIUX, AMPIGRIN PFC, FYRUS</t>
  </si>
  <si>
    <t>remedio herbolario-ARADICAPS 30 CAPS 300MG-DACLAF</t>
  </si>
  <si>
    <t>ácido acetilsalicílico - ASPIRINA PROTEC - 84 tab - 100 mg - BAYER</t>
  </si>
  <si>
    <t>ácido acetilsalicílico - ASPIRINA PROTEC - 28 tab -100 mg - BAYER</t>
  </si>
  <si>
    <t>ASA 100, ASPITAK, MIDOLEN , LITASINA</t>
  </si>
  <si>
    <t>ácido acetilsalicílico - ASPITAK-P - 30 comp - 100 mg - SONS</t>
  </si>
  <si>
    <t>ASPIRINA PROTEC, ASA 100</t>
  </si>
  <si>
    <t>BACTRIM, ECTAPRIM, ORMOPRIM, BACTIVER, BATERAL, TRIMEXAZOL, BACTELAN, SULFAWAL T, SOLTRIM</t>
  </si>
  <si>
    <t>BAYCUTEN, GELMICIN, QUADRIDERM</t>
  </si>
  <si>
    <t>BAUMANOMETRO DE BRAZO OMRON***</t>
  </si>
  <si>
    <t>BAUMANOMETRO DE MUÑECA OMRON***</t>
  </si>
  <si>
    <t>benzatina bencilpenicilina - BENZATINA BENCILPENICILINA - iny 1 amp - 1,200,000 U/5 ml - AMSA</t>
  </si>
  <si>
    <t>BENZETACIL, BENCELIN</t>
  </si>
  <si>
    <t>dexpantenol - BEPANTHEN - pomada 5% - 30 g - BAYER</t>
  </si>
  <si>
    <t>PAMEDAN, BABY SONS</t>
  </si>
  <si>
    <t>EXCEDRIN, MIGRAÑA</t>
  </si>
  <si>
    <t>butilhioscina - BIOMESINA - 10 tab - 10 mg - BIOMEP</t>
  </si>
  <si>
    <t>BUSCAPINA, BRUPACIL</t>
  </si>
  <si>
    <t>BUSCAPINA COMPOSITUM, BRUPACIL COMPUESTO</t>
  </si>
  <si>
    <t>DAFLOXEN F, FEBRAX, DOLOTANDAX, BRUNADOL, PROXALIN PLUS, FLAXENOL</t>
  </si>
  <si>
    <t>Ibuprofeno - BRIXSONS - 10 tab - 800 mg - SONS</t>
  </si>
  <si>
    <t>MOTRIM, ADVIL, ACTRON, ADOPRE, DOLPROFEN, AFLENO</t>
  </si>
  <si>
    <t>captopril - CAPTOPRIL - 30 tab - 25 mg - ULTRA</t>
  </si>
  <si>
    <t>CAPTRAL, NOVAPRES, ATRISOL, REDUPREC</t>
  </si>
  <si>
    <t>cefuroxima - CEFAGEN - 10 tab - 500 mg - MAVER</t>
  </si>
  <si>
    <t>cefalexina - CEFALVER - susp 90 ml - 250 mg/5 ml - MAVER</t>
  </si>
  <si>
    <t>CEPOREX, KEFLEX, NAXIFELAR, NIXELAF, FACELIT</t>
  </si>
  <si>
    <t>ceftazidima - CEFTAZIDIMA - sol iny I.M. ó I.V. - 1 g/3 ml - AMSA</t>
  </si>
  <si>
    <t>IZADIMA, FORTUM, ZIDIMASENSI, FENIT</t>
  </si>
  <si>
    <t>betametasona - CELESBITAN - 1 amp 2 ml - 8 mg/2 ml - BRULUART</t>
  </si>
  <si>
    <t>ácido fólico - CILOCID - 20 tab - 5 mg - BRULUAGSA</t>
  </si>
  <si>
    <t>A. F. VALDECASAS, FOLIVITAL</t>
  </si>
  <si>
    <t>levofloxacino - CINA - 7 tab - 500 mg - LANDSTEINER</t>
  </si>
  <si>
    <t>BREDELIN, FLUONING, LEFLOXIN, FLEVOX, EVOCS, PROSXAFLO, SIBOFIX</t>
  </si>
  <si>
    <t>trimebutina - CINEPRAC - 20 tab - 200 mg - LIFERPAL</t>
  </si>
  <si>
    <t>LIBERTRIM, ESPABION, DOLBUTIN</t>
  </si>
  <si>
    <t>metoclopramida - CIRULAN - 20 tab - 10 mg - NOVAG</t>
  </si>
  <si>
    <t>CARNOTPRIM, PLASIL, DIRPASID, CONYSMIN</t>
  </si>
  <si>
    <t>AMOXICLAV BID, AMBILAN BID, PENAMOX 12H DUO, AUGMENTIN, CLAVULIN, GIMACLAV, VALCLAN</t>
  </si>
  <si>
    <t>PENAMOX 12H-DUO, CLAVULIN 12H, AMOXICLAV BIID, CLAVINEX DUO, AUGMENTIN ES 600</t>
  </si>
  <si>
    <t>clindamicina - CLINDAMICINA - iny 600 mg/4 ml - 1 amp - AMSA</t>
  </si>
  <si>
    <t>DALACIN</t>
  </si>
  <si>
    <t>clindamicina - CLINDAMICINA INY - 5 amp - 600 mg/4 ml - AMSA</t>
  </si>
  <si>
    <t>TREXEN DUO, TACRAF, MAVIFEM</t>
  </si>
  <si>
    <t>clotrimazol - CLOTRIMAZOL PRESENTACIÓN DUAL - 3 óv/10 g crema - 200 mg/1 %  - SONS</t>
  </si>
  <si>
    <t>CANESTEN V DUAL, CANDIPHEN V DUAL, LOMECAN DUO</t>
  </si>
  <si>
    <t>HYZAAR</t>
  </si>
  <si>
    <t>ambroxol, dextrometorfano - COBADEX AD - sol 120 ml - 225 mg/225 mg/100 ml - MAVER</t>
  </si>
  <si>
    <t>HISTIACIL NF, FARIBROX TM, BROXTORFAN, REDDY, PLEXUS</t>
  </si>
  <si>
    <t>oximetazolidina - COLLIFRIN NASAL ADULTO - 20 ml - 0.05 % - COLLINS</t>
  </si>
  <si>
    <t>AFRIN, ILIADIN, VIRINDREZ</t>
  </si>
  <si>
    <t>clindamicina - DALATINA - tubo c/30 g - gel 1 g - MAVI</t>
  </si>
  <si>
    <t>DALACIN T</t>
  </si>
  <si>
    <t>dexametasona - DEXAMETASONA - iny 8 mg/2 ml - AMSA</t>
  </si>
  <si>
    <t>ALIN,  DECOREX, BRULIN, METAX, BEXINE, VERICORT, SINKE, CRYOMETASONA</t>
  </si>
  <si>
    <t xml:space="preserve">ALIN OFTALMICO, SOLDRIN OFTALMICO, GOTADEX, SONDEX OF, </t>
  </si>
  <si>
    <t>furazolidona - DIALGIN - susp 120 ml - COLLINS</t>
  </si>
  <si>
    <t>THRECHOP</t>
  </si>
  <si>
    <t>diclofenaco - DICLOFENACO - iny 2 amp - 75 mg/3 ml - AMSA</t>
  </si>
  <si>
    <t>VOLTAREN, DOLFLAM, DICLOPISA</t>
  </si>
  <si>
    <t>diclofenaco - DICLOFENACO - 20 tab - 100 mg - ULTRA</t>
  </si>
  <si>
    <t>LERTUS, ORMOFEN, DIPROVIC, NEDICLON, VOLFENAC, MAFENA, DOLFLAM</t>
  </si>
  <si>
    <t>dipropionato de betametasona - DISON´S DEX INY- 1 amp - 5 mg/2 mg - SONS</t>
  </si>
  <si>
    <t>DIPROSPAN</t>
  </si>
  <si>
    <t>bromuro de pinaverio - DISTENTAL - 14 tab -100 mg - MAVI</t>
  </si>
  <si>
    <t>DICETEL, ZERPYCO, BRIOMON, LUTROPEN</t>
  </si>
  <si>
    <t>furosemida - DIURMESSEL - 20 tab - 40 mg - BIOMEP</t>
  </si>
  <si>
    <t>LASIX, BIOMISEN, SOLAX</t>
  </si>
  <si>
    <t>PATECTOR, PERLUTAL, MESBRU, PERLUDIL</t>
  </si>
  <si>
    <t>TRIBEDOCE COMPUESTO, FORTICAL FORTE, ARIFLAM FORTE</t>
  </si>
  <si>
    <t>TRIBEDOCE COMPUESTO, COMBEDI DL, DICLOVITH B, VOTRIPAX</t>
  </si>
  <si>
    <t>MOTRIN, ACTRON, ADVIL, DOLVER, ADOPREN, BRIXSONS, AFLENO, PRO XB</t>
  </si>
  <si>
    <t>ibuprofeno - DOLPROFEN - 10 tab - 600 mg - COLLINS</t>
  </si>
  <si>
    <t>MOTRIN, ACTRON, ADVIL, DOLVER, ADOPREN, BRIXSONS, AFLENO</t>
  </si>
  <si>
    <t>ibuprofeno - DOLVER - 10 tab - 800 mg - MAVER</t>
  </si>
  <si>
    <t>MOTRIN, ACTRON, ADVIL, DOLVER, ADOPREN, BRIXSONS, AFLENO, VICZEN</t>
  </si>
  <si>
    <t>naproxeno - DOLXEN - 10 tab - 500 mg - MAVER</t>
  </si>
  <si>
    <t>DAFLOXEN, NAXEN, BRUPROXEN, NOVAXEN</t>
  </si>
  <si>
    <t>paracetamol - DUALGOS - 20 tab - 325 mg/200 mg - LIFERPAL</t>
  </si>
  <si>
    <t xml:space="preserve">ALGITRIN, </t>
  </si>
  <si>
    <t>ELECTROLITOS APO (LIMÓN) - Electrolitos - polvo, caja c/4 sobres - APOTEX---</t>
  </si>
  <si>
    <t>esporas de bacillus clausii - ENTEROGERMINA - susp 2 billones c/20 amp - 5 ml - SANOFI</t>
  </si>
  <si>
    <t>bacillus clausii - ENTEROGERMINA - 4 billones c/10 amp - 5 ml - SANOFI</t>
  </si>
  <si>
    <t>terbinafina - ERBITRAX - tubo 30 g - 1 g/100 g - LOEFFLER</t>
  </si>
  <si>
    <t>LAMISIL, MYCELVAN, FINMILEX, RIXOBA, SILKA MEDIC</t>
  </si>
  <si>
    <t>terbinafina - ERBITRAX-T - 28 tab - 250 mg - LOEFFLER</t>
  </si>
  <si>
    <t>LAMISIL, BINAFEX</t>
  </si>
  <si>
    <t xml:space="preserve">CELESTAMINE NS, AERONEXT CORT, </t>
  </si>
  <si>
    <t>Simeticona - ESPAVEN PED - fco gotero c/30 ml - VALEANT</t>
  </si>
  <si>
    <t xml:space="preserve">ESPAVEN, LIBERAN, GASEOVET, </t>
  </si>
  <si>
    <t>PATENTE</t>
  </si>
  <si>
    <t>guayacol - EUCALIPTINE - sol iny c/10 amp - 100 mg/ml - SANFER</t>
  </si>
  <si>
    <t>furazolidona, caolín, pectina - EXOFUR - susp 120 ml - 350 mg/20 mg/1  g - SONS</t>
  </si>
  <si>
    <t>cefaclor - FASICLOR - 15 cap - 500 mg - MAVER</t>
  </si>
  <si>
    <t>CECLOR, BIXELOR C, CEFLACID, ARCEFAL</t>
  </si>
  <si>
    <t>SOLUTINA F, LUBRIAMSA, FENIXIL OF</t>
  </si>
  <si>
    <t>nafazolina - FAZOLIN - sol 15 ml -1 mg/ml - COLLINS</t>
  </si>
  <si>
    <t>naproxeno - FEBRAX - 15 tab - 275 mg/300 mg - SIEGFRIED RHEIN</t>
  </si>
  <si>
    <t>DAFLOXEN F, BRUNADOL, DOLOTANDAX, PROXALIN PLUS, DECOSIL, PENSODIL, FLAXENDOL</t>
  </si>
  <si>
    <t>Metronizadol-FENIMETH V-12 óvulos 500mg,100 000 U - SONS -*FB*</t>
  </si>
  <si>
    <t>FLAGENASE V, METRICOL N, FLAGYSTATIN V, NYSMOSON S-V</t>
  </si>
  <si>
    <t>sildenafil - FIGRAL - 4 tab -100 mg - MAVI</t>
  </si>
  <si>
    <t>LERK, VIAGRA, BULLENZA, GO, MAXIFORT, VOGUEL, MAZZOGRAN, DIONIXOL, ACTIRAAM</t>
  </si>
  <si>
    <t>naproxeno sódico - FLANAX 550 - 12 tab - 550 mg - BAYER</t>
  </si>
  <si>
    <t>ALLIVIAX, ANALGEN, DAFLOXEN, ALEBREM, DIVADAYS, SONAVIC, INFLANOX, EUROGESIC FORTE, BIXEN</t>
  </si>
  <si>
    <t>DAFLON, ELATEC, HESVEN, VARITON, CISCUSTAT, ROVEMAX</t>
  </si>
  <si>
    <t xml:space="preserve">EXEL, MOBICOX, AURICAM, </t>
  </si>
  <si>
    <t>DOLOCAM PLUS, OFELICON</t>
  </si>
  <si>
    <t>AFUNGIL, DIFLUCAN, FLUCOXAN, CANDIFLUX, TERPLEX, ONGICIL</t>
  </si>
  <si>
    <t>ciprofloxacino - FLUXACORD - 14 tab - 500 mg - ACCORD</t>
  </si>
  <si>
    <t>CIPROXINA, CIPROBAC, MICRORGAN, ENI, PROVAY</t>
  </si>
  <si>
    <t>AEROFLUX, BROXOL AIR, BROSOFLUX, ANASEPTIL, MUCOFLUX</t>
  </si>
  <si>
    <t>clindamicina - FOSHLENN - 16 cap - 300 mg - RAAM</t>
  </si>
  <si>
    <t>CLENDIX, DALACYN C, CIGMADIL, INDACIL</t>
  </si>
  <si>
    <t>magadrato, dimeticona - GALAVER - gel 10 sobres - 80 mg/10 mg/1 ml - MAVER</t>
  </si>
  <si>
    <t>RIOPAN, XENOPIR,magaldrato</t>
  </si>
  <si>
    <t>RIOPAN, MADRILCAN, GRALOXEN</t>
  </si>
  <si>
    <t>GEL DE GALÓN---</t>
  </si>
  <si>
    <t>gentamicina - GENTAMICINA - 5 amp iny - 160 mg/2 ml - AMSA</t>
  </si>
  <si>
    <t>GLUCOMETRO  ACTIVE - ACCU-CHEK</t>
  </si>
  <si>
    <t>metformina - GLUNOVAG - 30 tab - 850 mg - NOVAG</t>
  </si>
  <si>
    <t>DIMEFOR, FICONAX, PREDIAL PLUS, DABEX, METIXOR, DINORAX, GLUNOVAG, ANGLUCID</t>
  </si>
  <si>
    <t>Gotero de vidrio - bolsa con 100 piezas**</t>
  </si>
  <si>
    <t>Omega 5 - GRANAGARD - 30 cap c/nanoemulsión - 0.640 g c/u - BIOLIFE</t>
  </si>
  <si>
    <t>GUANTES ESTÉRILES DE EXÁMEN - chico 100 pzas - DL MÉDICA</t>
  </si>
  <si>
    <t>GUANTES ESTÉRILES DE EXÁMEN - med - 100 pzas - DL MÉDICA</t>
  </si>
  <si>
    <t>HISTIACIL FAM, FENOCOL</t>
  </si>
  <si>
    <t>hioscina - HIOSCINA - iny 3 amp - 20 mg/1 ml - AMSA</t>
  </si>
  <si>
    <t>hipromelosa - HIPROMELOSA - sol oft 0.5 % - 10 ml - AMSA</t>
  </si>
  <si>
    <t>colecalciferol - HISTOFIL - 60 tab - 4000 UI - MEDIX</t>
  </si>
  <si>
    <t>electrolitos - HYDRASOR (NATURAL) - pvo - sobre c/27.9 g - NOVAG</t>
  </si>
  <si>
    <t>indometacina - INDANET - 30 cap - 25 mg - BRULUART</t>
  </si>
  <si>
    <t>Sitagliptina, metformina-JANUMET*- 56 compr- 50/850mg - MERCK---</t>
  </si>
  <si>
    <t>ketorolaco - KETOROLACO - iny 3 amp - 30 mg/1 ml - AMSA</t>
  </si>
  <si>
    <t>ketorolaco - KETOROLACO - 6 tab sublin - 30 mg - AMSA</t>
  </si>
  <si>
    <t>claritromicina - KLARIX - 500 mg - 10 tab - MAVER</t>
  </si>
  <si>
    <t>lidocaína - PHARMACAINE - 115 ml - sol 10 % - QUIMPHARMA</t>
  </si>
  <si>
    <t>loratadina - LARITOL - sol 60 ml -1 mg/ml - MAVER</t>
  </si>
  <si>
    <t>suplemento alimenticio - LOMAXX - 30 cap - SHELA---</t>
  </si>
  <si>
    <t>clonixinato de lisina - LONIXER - 10 tab - 250 mg - SERRAL</t>
  </si>
  <si>
    <t>losartán potásico - LOSARTÁN - 30 tab - 50 mg - ULTRA</t>
  </si>
  <si>
    <t>loratadina - LOVARIN - 10 tab - 10 mg - COLLINS</t>
  </si>
  <si>
    <t>nitrofurantoína - MACROFURIN - 40 cap - 100 mg - MAVI</t>
  </si>
  <si>
    <t>azitromicina - MARZIVAG - 3 tab - 500 mg - NOVAG</t>
  </si>
  <si>
    <t>meloxicam - MAVICAM - 10 tab - 15 mg - MAVI</t>
  </si>
  <si>
    <t>ketorolaco - MAVIDOL - 10 tab - 10 mg - MAVI</t>
  </si>
  <si>
    <t>Meclizina, piridoxina -MECLISON- Sol- 8.33/16.66/mL - SONS</t>
  </si>
  <si>
    <t>paracetamol - MEJORALITO PEDIÁTRICO (CEREZA) - 30 tab masticables - 80 mg - GSK</t>
  </si>
  <si>
    <t>metamizol sódico - METAMIZOL SÓDICO - iny 3 amp - 1 g/2 ml - AMSA</t>
  </si>
  <si>
    <t>ambroxol - MUCIBRON - sol 120 ml - 0.300 g - NOVAG</t>
  </si>
  <si>
    <t>cefotoxima sódica - CEFOTAXIMA - iny 1 amp - 4 ml /1 gr - AMSA</t>
  </si>
  <si>
    <t>paracetamol - NEXT - 10 tab - GENOMMA LAB</t>
  </si>
  <si>
    <t>senósidos A B - NOVAKOSID - 20 tab - 8.6 mg - NOVAG</t>
  </si>
  <si>
    <t>flurbiprofeno - GRANEODIN F - s/azúcar, naranja - 16 pastillas - 8.75 mg - RECKITT BENCKISER</t>
  </si>
  <si>
    <t>difenhidramina - DIFENHIDRAMINA - 10 cap - 25 mg - GELpharma</t>
  </si>
  <si>
    <t>hiedra helix - PANOTO-S - jbe 100 ml - 0.7 g - SIEGFRIED RHEIN</t>
  </si>
  <si>
    <t>pantoprazol - PANTOPRAZOL LR - 7 tab - 20 mg - AMSA</t>
  </si>
  <si>
    <t>subsalicilato de bismuto - PEPTO BISMOL MASTICABLE EXHIBIDOR - 100 tab - 262.4 mg - P&amp;G</t>
  </si>
  <si>
    <t>subsalicilato de bismuto - PEPTO BISMOL - tira c/24 tab - 262.4 mg - P&amp;G</t>
  </si>
  <si>
    <t>subsalicilato de bismuto - PEPTO BISMOL - susp 118 ml - 1.75 g/100 ml - P&amp;G</t>
  </si>
  <si>
    <t>pioglitazona - PIOGLITAZONA - 7 tab - 15 mg - AMSA</t>
  </si>
  <si>
    <t>pantoprazol - POPRAM - 14 tab - 40 mg - AMSA</t>
  </si>
  <si>
    <t>levonorgestrel - POSTDAY - 2 comp - 0 .75 mg - IFA CELTICS</t>
  </si>
  <si>
    <t>aceite puro de salmón (Omega 3) - PROMEGA 3 - 60 cap - 1221 mg c/u - PROGELA</t>
  </si>
  <si>
    <t>losartán potásico - PUNAB - 15 tab -100 mg - WERMAR</t>
  </si>
  <si>
    <t>losartán potásico - PUNAB - 30 tab - 50 mg - WERMAR</t>
  </si>
  <si>
    <t>extracto psidium guajava - QG5 - 30 tab - GENOMMA LAB</t>
  </si>
  <si>
    <t>paracetamol, cafeína - QUIMOFEÍNA - caja c/20 tab - 500 mg/50 mg - PERRIGO</t>
  </si>
  <si>
    <t>paracetamol - QUITADOL - 10 tab - 500 mg - BIOMEP</t>
  </si>
  <si>
    <t>paracetamol - QUITADOL - 10 tab - 750 mg - BIOMEP</t>
  </si>
  <si>
    <t>difenidol - RAAMFEN - 30 tab - 25 mg - RAAM</t>
  </si>
  <si>
    <t>omega 3 &amp; vitaminas - REGENESIS MAX - 30 cap - 0.9835 g c/u - EXELTIS</t>
  </si>
  <si>
    <t>melatonina - REVENOX - 60 tab - 3 mg - SALUD NATURAL</t>
  </si>
  <si>
    <t>paracetamol - SEDALMERCK - exhib 200 tab - MERCK</t>
  </si>
  <si>
    <t>dexametasona - SINKEL INY - 1 amp - 8 mg/2 ml - DANKEL</t>
  </si>
  <si>
    <t>STERIMAR USO DIARIO - 100 ml - C&amp;D---</t>
  </si>
  <si>
    <t>SUEROX (FRESA-KIWI) - 630 ml - GENOMMA LAB fórmula hidratante c/electrolitos</t>
  </si>
  <si>
    <t xml:space="preserve">SUEROX FRESA, KIWI, ELECTROLITROS, GENOMMA LAB, CERO AZUCAR </t>
  </si>
  <si>
    <t>SUEROX</t>
  </si>
  <si>
    <t>SUEROX (LIMA-LIMÓN) - 1 PZA- 630 ml - GENOMMA LAB fórmula hidratante c/electrolitos  -</t>
  </si>
  <si>
    <t>SUEROX (MORA AZUL-HIERBABUENA) - 630 ml - GENOMMA LAB fórmula hidratante c/electrolitos  -</t>
  </si>
  <si>
    <t>SUEROX (NARANJA-MANDARINA) - 630 ml - GENOMMA LAB fórmula hidratante c/electrolitos</t>
  </si>
  <si>
    <t>SUEROX (UVA) - 630 ml - GENOMMA LAB fórmula hidratante c/electrolitos  -</t>
  </si>
  <si>
    <t>loperamida - TARMIN - 12 tab - 2 mg - BRULUAGSA</t>
  </si>
  <si>
    <t>TEMPORALIDAD</t>
  </si>
  <si>
    <t>paracetamol - TEMPIRE - fco got 30 ml - 100 mg/1 ml - COLLINS</t>
  </si>
  <si>
    <t>hidróxido de magnesio - NORMEX LECHE DE MAGNESIA - fco 60 ml - susp 8.5 g - PERRIGO</t>
  </si>
  <si>
    <t>tramadol - TRAMADOL - sol oral got 10 ml - 100 mg/1 ml - AMSA</t>
  </si>
  <si>
    <t>Linagliptina -TRAYENTA - 30 tab -5 mg - BOEHRINGER INGELHEIM</t>
  </si>
  <si>
    <t>complejo B - TRIBEDOCE 50 000 INY - 5 amp - 10 mg/100 mg/50 mg/2 ml - BRULUART</t>
  </si>
  <si>
    <t>Complejo B - TRIBEDOCE COMPUESTO - 30 grageas - BRULUART</t>
  </si>
  <si>
    <t>guaifenesina - TUKOL D ADULTO - jbe 125 ml - GENOMMA LAB</t>
  </si>
  <si>
    <t>bifonazol - UNESIA - tubo 20 g - 1 g/100 g - GENOMMA LAB</t>
  </si>
  <si>
    <t>fenazopiridina - UREZOL - 20 tab - 100 mg - MAVI</t>
  </si>
  <si>
    <t>VENDA ADHESIVA - c/30 - varios tamaños - DACLAF</t>
  </si>
  <si>
    <t>albendazol - VERMISEN - susp 20 ml - 400 mg/20 ml - NOVAG</t>
  </si>
  <si>
    <t>VICK VAPORRUB - tarro 50 g - P&amp;G</t>
  </si>
  <si>
    <t>ketorolaco - VOYDOL - 10 tab -10 mg - RAAM</t>
  </si>
  <si>
    <t>fluoxentina - ZATIN - 14 cap - 20 mg - WERMAR</t>
  </si>
  <si>
    <t>lidocaína - ZISUAL C - tubo c/30 g y 6 cánulas desechables - SONS</t>
  </si>
  <si>
    <t>omeprazol - ZOLUFEN - 120 cap - 20 mg - SYNTHON</t>
  </si>
  <si>
    <t>SUEROX (ALOE VERA LYCHEE) - 630 ml - GENOMMA LAB fórmula hidratante c/electrolitos</t>
  </si>
  <si>
    <t>ginseng - WILVIT - 30 cap - SONS</t>
  </si>
  <si>
    <t>amoxicilina susp - VANDIX - 75 ml - 250 mg/5 ml - WANDEL</t>
  </si>
  <si>
    <t>ácido acetilsalicílico - ASPIRINA - 40 tab - 500 mg - BAYER</t>
  </si>
  <si>
    <t>tamsulosina - HIPEBE - 20 cap - 0.4 mg - LANDSTEINER</t>
  </si>
  <si>
    <t>omeprazol - OMEPRAZOL - 120 cap - 20 mg - AVIVIA</t>
  </si>
  <si>
    <t>bacillus coagulans - SINUBERASE 1M - 48 comp - SANOFI</t>
  </si>
  <si>
    <t>sitagliptina - JANUVIA - 28 comp - 100 mg - MERCK</t>
  </si>
  <si>
    <t>bencilpenicilina procaínica y cristalina - PENIPOT 400,000 UI - 1 amp iny - AMSA</t>
  </si>
  <si>
    <t>amlodipino - PRESLOPIN - 30 tab - 5 mg - RAAM</t>
  </si>
  <si>
    <t>atorvastatina - BACAT - 10 tab - 20 mg - LANDSTEINER</t>
  </si>
  <si>
    <t>metronidazol - LAMBLIT - susp 120 ml - 2.5 g - NOVAG</t>
  </si>
  <si>
    <t>complejo B, dexametasona, lidocaína - TRIBEDOCE DX - 3 amp-100/5/4-30 mg/3 ml - BRULUART---</t>
  </si>
  <si>
    <t>paracetamol - PROSEDAL JBE - 120 ml - 3.2 g/100 ml - LOEFFLER</t>
  </si>
  <si>
    <t>pantoprazol - NOGASLAN - 14 tab - 40 mg -  LANDSTEINER</t>
  </si>
  <si>
    <t>claritromicina - KROBICIN - susp 60 ml - 250 mg/5 ml - MAVI</t>
  </si>
  <si>
    <t>Guafenesina - TUKOL D 0% AZUCAR - 120 m - GENOMMA LAB ---</t>
  </si>
  <si>
    <t>celecoxib - CELECOXIB - 10 cap - 200 mg - ULTRA</t>
  </si>
  <si>
    <t>ácido acetilsalicilico - ASPIRINA EFERVESCENTE - 500 mg - 60 tab - BAYER</t>
  </si>
  <si>
    <t>paracetamol - DESENFRIOLITO PLUS - 24 tab - BAYER</t>
  </si>
  <si>
    <t>NAN 1 - 400 g - NESTLÉ</t>
  </si>
  <si>
    <t>FORMULAS</t>
  </si>
  <si>
    <t>NAN 1 - 800 g - NESTLÉ</t>
  </si>
  <si>
    <t>NAN 2 - 400 g - NESTLÉ</t>
  </si>
  <si>
    <t>NAN 2 - 800 g - NESTLÉ</t>
  </si>
  <si>
    <t>NAN 3 - 800 gr - NESTLÉ</t>
  </si>
  <si>
    <t>ULTRA COREGA 3 PACK SIN SABOR - 40 g c/u - GSK</t>
  </si>
  <si>
    <t>7501125174797-</t>
  </si>
  <si>
    <t>ELECTROLIT MORA---</t>
  </si>
  <si>
    <t>CARBONATO DE MAGNESIO PURO COYOACÁN 12 PAQ C/3 PANES DE 7G---</t>
  </si>
  <si>
    <t>Omega 5 - GRANAGARD - 60 cap c/nanoemulsión - BIOLIFE---</t>
  </si>
  <si>
    <t>naproxeno, lidocaína, mentol - ULTRA BENGUE AZUL - gel 35 g - GENOMMA LAB</t>
  </si>
  <si>
    <t>cloruro de sodio - NASALUB INF - sol 30 ml - GENOMMA LAB</t>
  </si>
  <si>
    <t>cloruro de sodio - NASALUB AD - 30 ml - GENOMMA LAB</t>
  </si>
  <si>
    <t>complejo B - BEDOYECTA TRI - 5 iny - 2 ml - GROSSMAN</t>
  </si>
  <si>
    <t>SV TTP NEGRO---</t>
  </si>
  <si>
    <t>CONDONES PRUDENCE CLÁSICO - C/3</t>
  </si>
  <si>
    <t>CONDONES PRUDENCE - FRESA C/3 - DKT MEXICO</t>
  </si>
  <si>
    <t>CONDONES PRUDENCE UVA C/3 - DKT MEXICO</t>
  </si>
  <si>
    <t>PERFUMERIA</t>
  </si>
  <si>
    <t>HIGIENE PERSONAL</t>
  </si>
  <si>
    <t>CONDONES PRUDENCE - CHOCOLATE C/3 - DKT MEXICO</t>
  </si>
  <si>
    <t>trimebutina - ESPABIÓN - susp 100 ml - 2 g/100 ml - DEGORT'S</t>
  </si>
  <si>
    <t>telmisartán - NATRAZIM - 30 tab - 40 mg - NOVAG</t>
  </si>
  <si>
    <t>sildenafil - FIGRAL - 10 tab - 50 mg - MAVI</t>
  </si>
  <si>
    <t>ELECTROLIT PIÑA 625 mL- 1 piezas- PISA</t>
  </si>
  <si>
    <t>ELECTROLIT GUAYABA 625ML  1 Pza-PISA</t>
  </si>
  <si>
    <t>Vitamina C, complejo B, zinc - ADVANTAX SHOT C - Pvo eferv naranja 10 sbs/8.8 g- DACLAF---</t>
  </si>
  <si>
    <t>LECHE NIDO KINDER 1+ - 360 g - NESTLE</t>
  </si>
  <si>
    <t>gentamicina - GENTAMICINA INY - 1 amp - 80 mg/2 ml - AMSA</t>
  </si>
  <si>
    <t>misoprostol - MISOPROSTOL - 28 tab - 200 mcg - APOTEX</t>
  </si>
  <si>
    <t>bicarbonato de sodio - SAL DE UVAS PICOT - 10 sobres efervescentes - RECKITT BENCKISER</t>
  </si>
  <si>
    <t>ivermectina - VERIDEX - 4 tab - 6 mg - MAVER</t>
  </si>
  <si>
    <t>7501125104688-</t>
  </si>
  <si>
    <t>ELECTROLIT NAR MAN---</t>
  </si>
  <si>
    <t>oseltamivir - TAVIDEN FLU - 10 cap - 75 mg - COLLINS</t>
  </si>
  <si>
    <t>GASA DIBAR EXHIBIDOR C/100 (10x10)</t>
  </si>
  <si>
    <t>GASA DIBAR TIRA C/10 CAJITAS (10x10)</t>
  </si>
  <si>
    <t>NAN 3 - 400 gr - NESTLÉ</t>
  </si>
  <si>
    <t>ác. ascórbico (vit c) - REDOXON - 10 tabs efervescentes - 1 g - BAYER</t>
  </si>
  <si>
    <t>medroxiprogesterona - DEPO-PROVERA INY - 150 mg/ml - PFIZER</t>
  </si>
  <si>
    <t>ácido acetilsalicílico - CAFIASPIRINA - 40 tab - 500 mg - BAYER</t>
  </si>
  <si>
    <t>albendazol - VERMISEN - 6 tab - 200 mg - NOVAG</t>
  </si>
  <si>
    <t>Fluoxetina-INDOZUL*-28 tabs-20mg - -DEGORT'S---</t>
  </si>
  <si>
    <t>paracetamol - XL3 VR - 24 tab - 50/3/375 mg - GENOMMA LAB</t>
  </si>
  <si>
    <t>metamizol sódico - NEO-MELUBRINA - jbe inf - 100 ml - SANOFI</t>
  </si>
  <si>
    <t>paracetamol - AGRIFEN - 10 tab - 500 mg/25 mg/5 mg/4 mg - PISA</t>
  </si>
  <si>
    <t>paracetamol - TEMPRA PEDIATRICO - sol gotas 30 ml - 100 mg/ml - Reckitt Benckiser</t>
  </si>
  <si>
    <t>paracetamol - TEMPRA - 10 tab - 500 mg - Reckitt Benckiser</t>
  </si>
  <si>
    <t>paracetamol - TEMPRA FORTE - 24 tab - 650 mg - RECKITT BENCKISER</t>
  </si>
  <si>
    <t>paracetamol - TEMPRA - 20 tab - 500 mg - Reckitt Benckiser</t>
  </si>
  <si>
    <t>dexphantenol - BEPANTHEN - 100 g - pomada 5 % - BAYER</t>
  </si>
  <si>
    <t>metformina - DABEX - 30 tab - 850 mg</t>
  </si>
  <si>
    <t>TIRAS REACTIVAS CONTOUR TS C/50---</t>
  </si>
  <si>
    <t>7501125104411-</t>
  </si>
  <si>
    <t>ELECTROLIT COC---</t>
  </si>
  <si>
    <t>SOLUCIÓN HT (HARTMANN) - 500 ml - PISA</t>
  </si>
  <si>
    <t>SOLUCIÓN CS (CLORURO DE SODIO) - 500 ml - 0.9 % -PISA</t>
  </si>
  <si>
    <t>SOLUCIÓN HT (HARTMANN) 1000 ml - PISA</t>
  </si>
  <si>
    <t>atorvastatina - BACAT - 30 tab - 20 mg - LANDSTEINER</t>
  </si>
  <si>
    <t>etoricoxib - ETORICOXIB - 14 com - 90 mg - AMSA</t>
  </si>
  <si>
    <t>Sumatripán-FERMIG*-2 tabs- 50mg- RAAM</t>
  </si>
  <si>
    <t>ketorolaco, tramadol - MAVIDOL TR - iny 3 amp - 10 mg-25 mg/1 ml - MAVI</t>
  </si>
  <si>
    <t>GRANEODIN F MIEL/LIMON - flurbiprofeno - caja 16 pastillas - 8.75 mg - RECKITT BENCKISER</t>
  </si>
  <si>
    <t>celecoxib - CELECOXIB - 30 cap -200 mg - ULTRA</t>
  </si>
  <si>
    <t>pioglitazona - PIOGLITAZONA - 7 tab - 15 mg - ULTRA</t>
  </si>
  <si>
    <t>pentoxifilina - PENTOXIFILINA - 30 tab - 400 mg - AMSA</t>
  </si>
  <si>
    <t>SOLUCIÓN CS (CLORURO DE SODIO) - 1000 ml - 0.9 % iny - PISA</t>
  </si>
  <si>
    <t>DIOTEXONA*-Dimeticona- Susp 30mL - LOEFFLER</t>
  </si>
  <si>
    <t>dexametasona - BRULIN INY - 3 amp - 8 mg/2 ml - BRULUART</t>
  </si>
  <si>
    <t>7501125104268-</t>
  </si>
  <si>
    <t>ELECTROLIT FRE---</t>
  </si>
  <si>
    <t>aciclovir - BRIMEX - 35 comp - 400 mg - BIOMEP</t>
  </si>
  <si>
    <t>desloratadina - HISTAPHARM - 10 tab - 5 mg - QUIMPHARMA</t>
  </si>
  <si>
    <t>montelukast - MONTELUKAST - 20 comp - 10 mg - AMSA</t>
  </si>
  <si>
    <t>azitromicina - CHARYN - 3 tab - 500 mg - WERMAR</t>
  </si>
  <si>
    <t>gabapentina - WERMY - 30 cap - 300 mg - WERMAR</t>
  </si>
  <si>
    <t>PUNZOCAT CATETER INTRAVENOSO 18Gx1 1/4" (32 mm) VERDE BANDERA</t>
  </si>
  <si>
    <t>ACARBOSA - 30 tab - 100 mg - ALPHARMA---</t>
  </si>
  <si>
    <t>hierro - HIERRO DEXTRAN INY - 3 amp. - 100 mg/2 ml - AMSA</t>
  </si>
  <si>
    <t>PUNZOCAT CATETER INTRAVENOSO 16Gx2 NEGRO***</t>
  </si>
  <si>
    <t>PUNZOCAT CATETER INTRAVENOSO 23Gx3/4 FIUSHA/MORADO***</t>
  </si>
  <si>
    <t>PUNZOCAT CATETER INTRAVENOSO 20Gx1 1/4" (32 mm) ROSA***</t>
  </si>
  <si>
    <t>irbesartán - IRBESARTÁN - 28 tab - 150 mg - ULTRA</t>
  </si>
  <si>
    <t>cisaprida - PRESISTÍN - susp 60 ml - 1 mg/ml - MAVER - agot</t>
  </si>
  <si>
    <t>prednisona - PREDNISONA - 20 tabs - 5 mg - AMSA</t>
  </si>
  <si>
    <t>benzocaína - GRANEODÍN B - frambuesa 24 pastillas -10 mg - RECKITT BENCKISER</t>
  </si>
  <si>
    <t>7501125149221-</t>
  </si>
  <si>
    <t>ELECTROLIT FRESA KIW--</t>
  </si>
  <si>
    <t>BICOESTOL NARANJA - 16 pastillas - BRONCOLIN</t>
  </si>
  <si>
    <t>BICOESTOL ROJO (CEREZA) - 16 pastillas - BRONCOLIN</t>
  </si>
  <si>
    <t>BICOESTOL VERDE (LIMÓN) - 16 pastillas - BRONCOLIN</t>
  </si>
  <si>
    <t>BICOESTOL AZUL (EUCALIPTO) - 16 pastillas - BRONCOLIN</t>
  </si>
  <si>
    <t>BRONCO FRESH SABORES MIXTOS - 12 pzas c/32.94 g - BRONCOLIN</t>
  </si>
  <si>
    <t>BRONCOLIN JARABE ETIQUETA AZUL - 140 ml - BRONCOLIN</t>
  </si>
  <si>
    <t>BRONCOLIN TÉ - 10 sobres - BRONCOLIN</t>
  </si>
  <si>
    <t>BRONCOLIN TÉ - 25 sobres c/1.5 g - BRONCOLIN</t>
  </si>
  <si>
    <t>BRONCOLIN PALETA 500 g - Vitrolero sabores c/50 - BRONCOLIN</t>
  </si>
  <si>
    <t>BRONCOLÍN PALETA 1 kg - Vitrolero sabores c/100 - BRONCOLIN</t>
  </si>
  <si>
    <t>SV KN95 FIUSHA---</t>
  </si>
  <si>
    <t>TTP MAYFIELD NEGRO</t>
  </si>
  <si>
    <t>óxido de zinc - PASTA DE LASSAR - 145 g - COYOACÁN QUÍMICA</t>
  </si>
  <si>
    <t>óxido de zinc - PASTA DE LASSAR - 50 g - COYOACÁN QUÍMICA</t>
  </si>
  <si>
    <t>acetilcisteína - ACC - 20 tab eferv - 600 mg - SANDOZ</t>
  </si>
  <si>
    <t>TTP MAYFIELD AZUL</t>
  </si>
  <si>
    <t>benzocaína - GRANEODIN B - Menta Eucalipto - 24 pastillas - 10 mg - RECKITT BENCKISER</t>
  </si>
  <si>
    <t>multivitamínico - VITAFUSIN ADULTO - sol iny 5 ml - PISA</t>
  </si>
  <si>
    <t>Hidróxido de magnesio - NORMEX LECHE DE MAGNESIA - susp fco 180 ml - 8.5 g - PERRIGO</t>
  </si>
  <si>
    <t>JERINGA 3ML NEGRA (22 G X 32 mm)-100 Piezas - SENSI MEDICAL---</t>
  </si>
  <si>
    <t>Amantadina, clorfenamina, paracetamol-AMPIGRIN PFC PEDIÁTRICO- Sol-2.5, 0.1, 15 g/100 mL - COLLINS</t>
  </si>
  <si>
    <t>ALGODÓN - 100 g - 1 pza - KOHN---</t>
  </si>
  <si>
    <t>MEDICAMENTO FRACCION IV</t>
  </si>
  <si>
    <t>CIPROFLOXACINO*-Clorhidrato de Ciprofloxacino-Solución 3mg/mL con 5mL - GRIN---</t>
  </si>
  <si>
    <t>tobramicina - TOBRAMICINA - sol 15 ml - 3 mg/ml - GRIN</t>
  </si>
  <si>
    <t>azitromicina - AZITROMICINA SUSP - fco c/pvo para 15 ml - 200 mg/5 ml - SERRAL</t>
  </si>
  <si>
    <t>ácido ascórbico (vit C) - OXITAL C -10 tab eferv -1 g - SERRAL</t>
  </si>
  <si>
    <t>cetirizina - VISERTRAL - sol 50 ml - 1 mg/ml - SERRAL</t>
  </si>
  <si>
    <t>cetirizina - VISERTRAL - 10 tab - 10 mg - SERRAL</t>
  </si>
  <si>
    <t>levocetirizina - KOMZIMBA - 20 tab - 5 mg - SERRAL</t>
  </si>
  <si>
    <t>bacillus clausii - SINUBERASE 4B - 20 amp - 5 ml - SANOFI</t>
  </si>
  <si>
    <t>ibuprofeno - MOTRIN INFANTIL - susp - 2 g/100 ml - J&amp;J</t>
  </si>
  <si>
    <t>azitromicina - CHARYN - 4 tab - 500 mg - WERMAR</t>
  </si>
  <si>
    <t>ambroxol, oxeladina - SIRACUX INF - jbe 120 ml - 0.115 g/0.1 g - MAVER</t>
  </si>
  <si>
    <t>benzocaína - GRANEODÍN B - MIEL-LIMÓN - 24 past - 10 mg - RECKITT BENCKISER</t>
  </si>
  <si>
    <t>BOCASAN ECONOPACK** - Enjuague bucal polvo sabor menta - 12 sobres 1.75 g</t>
  </si>
  <si>
    <t>GUANTE PROTEC NO ESTERIL BLANCO (CHICO)---</t>
  </si>
  <si>
    <t>furoato de mometasona - MOMETASONA - susp 0.05%  p/inhalación - AMSA</t>
  </si>
  <si>
    <t>PROTECTOR LABIAL GOLBA - 60 TUBOS - LABORATORIOS AZTECA</t>
  </si>
  <si>
    <t>guaifenesina, oxolamina - HISTIACIL FAM AD - 140 ml - AMBISOME---</t>
  </si>
  <si>
    <t>guaifenesina, oxolamina - HISTIACIL FAM INFANTIL - AMBISOME---</t>
  </si>
  <si>
    <t>ENSURE - SABOR VAINILLA - 237 ml - ABBOTT</t>
  </si>
  <si>
    <t>metamizol sódico - NEO-MELUBRINA - 10 tab - 500 mg - SANOFI</t>
  </si>
  <si>
    <t>sitagliptina, metformina - JANUMET - caja c/28 comp - 50 mg/850 mg - MERCK</t>
  </si>
  <si>
    <t>ibuprofeno - ALGIDOL - 10 cap - 600 mg - GELpharma</t>
  </si>
  <si>
    <t>Albendazol, quinfamida-LOXCELL PEDIÁTRICA*-Suspensión-200mg/100mg/10 mL-MEDIFARMA---</t>
  </si>
  <si>
    <t>vitaminas, minerales, ginseng - PHARMATON - 30 cap - PHARMATON</t>
  </si>
  <si>
    <t>glimepirida - ZUKEDIB - 30 tab - 4 mg - LOEFFLER</t>
  </si>
  <si>
    <t>Amlodipino, valsartán, hidroclorotiazida -EXFORGE HCT-28 comprimidos con 5mg/160mg/12,5mg-NOVARTIS</t>
  </si>
  <si>
    <t>CALAZIN SUSP - calamina crema 180 ml - SOLAR</t>
  </si>
  <si>
    <t>Dexketoprofeno-DOXON -10 tabs- 25 mg  - MAVER---</t>
  </si>
  <si>
    <t>acetilcisteína - ACC - 20 tab - 200 mg - SANDOZ</t>
  </si>
  <si>
    <t>ceftriaxona, lidocaína - CEFTRIAXONA IM INY  c /1 amp, 1 g/3.5 ml - BRULUAGSA</t>
  </si>
  <si>
    <t>citalopram - CITALOPRAM - 14 tab - 20 mg - AMSA</t>
  </si>
  <si>
    <t>escitalopram - ESCITALOPRAM - 28 tab - 10 mg - AMSA</t>
  </si>
  <si>
    <t>SV GUANTE AMBIDERM NO ESTÉRIL (CH)---</t>
  </si>
  <si>
    <t>ambroxol, oxeladina - SIRACUX AD - jbe 120 ml - 0.200-0.225 g/100 ml - MAVER</t>
  </si>
  <si>
    <t>SOLUCIÓN DX-50 (GLUCOSA) 50% FRASCO 500 mL-PISA</t>
  </si>
  <si>
    <t>Diosmina-MEVEDIM*-15 tabs de 600 mg - WERMAR-*FB*</t>
  </si>
  <si>
    <t>SUEROX (COCO) - 630 ml - GENOMMA LAB fórmula hidratante c/electrolitos</t>
  </si>
  <si>
    <t>650240032264*</t>
  </si>
  <si>
    <t>SUEROX FRE KIW---</t>
  </si>
  <si>
    <t>SUEROX (MANZANA) - 630 ml - GENOMMA LAB fórmula hidratante c/electrolitos  -</t>
  </si>
  <si>
    <t>650240032301*</t>
  </si>
  <si>
    <t>SUEROX NAR MAND</t>
  </si>
  <si>
    <t>650240057946-1</t>
  </si>
  <si>
    <t>SUEROX ALO LYCH</t>
  </si>
  <si>
    <t>JERINGA ESTÉRIL NEGRO- 3mL (22G x 32mm) (0.70mm)(1 1/4)-Paquete con 100 pzas-BD---</t>
  </si>
  <si>
    <t>VITACILINA</t>
  </si>
  <si>
    <t>FOTOSUN UV 100 BLOQUEADOR FACIAL FPS 50 - crema 60 g - DACLAF</t>
  </si>
  <si>
    <t>FOTOSUN UV 100 BLOQUEADOR AD FPS 50 - crema 125 ml - DACLAF</t>
  </si>
  <si>
    <t>FOTOSUN UV 100 PROTECTOR SOLAR KIDS CREMA FACIAL &amp; CORPORAL USO DIARIO-125mL- DACLAF</t>
  </si>
  <si>
    <t>Terbinafina-ERBITRAX-T*-7 tabs-250 mg - LOEFFLER---</t>
  </si>
  <si>
    <t>TALCO MENNEN AZUL - 100 g - COLGATE PALMOLIVE</t>
  </si>
  <si>
    <t>paracetamol - SYNCOL ROSA - 24 tab - 500 mg/25 mg/15 mg - SANFER</t>
  </si>
  <si>
    <t>loperamida - LOMOTIL - 8 tab -2 mg - JOHNSON &amp; JHONSON---</t>
  </si>
  <si>
    <t>omeprazol - OMEPRAZOL INY - 1 amp - 40 mg/10 ml - AMSA</t>
  </si>
  <si>
    <t>pasta adhesiva - FIXODENT ORIGINAL - 40 ml - P&amp;G</t>
  </si>
  <si>
    <t>pasta ad p/ dentaduras - FIXODENT FRESH - 47 g (40 ml) - P&amp;G</t>
  </si>
  <si>
    <t>dexphantenol - BEPANTHEN REGEN - pomada 5% - 30 g - BAYER</t>
  </si>
  <si>
    <t>FOTOSUN ADAPTIVE COLOR PROTECTOR SOLAR 50+ - 4 g - DACLAF</t>
  </si>
  <si>
    <t>paracetamol, naproxeno - BRUNADOL - 10 tab - 300 mg/275 mg - BRULUART</t>
  </si>
  <si>
    <t>paracetamol, clorfenamina, amantadina - AMPAMIL JBE - 60 ml - 0.50 g, 0.02 g, 3 g - SONS-PA</t>
  </si>
  <si>
    <t>metformina - METFORMINA - 30 tab - 850 mg - LOEFFLER</t>
  </si>
  <si>
    <t>propanolol - SINTASER - 30 tab - 40 mg - SERRAL</t>
  </si>
  <si>
    <t>memantina - MEMANTINA - 28 tab - 10 mg - PSICOFARMA</t>
  </si>
  <si>
    <t>gabapentina - WERMY - 15 cap - 300 mg - WERMAR</t>
  </si>
  <si>
    <t>oxitetraciclina - TERRAMICINA - 16 cap - 500 mg - PFIZER</t>
  </si>
  <si>
    <t>nifedipino - ANHITEN-A L.P. - 30 comp - 30 mg - ULTRA</t>
  </si>
  <si>
    <t>cefuroxima - CEFUROXIMA INY - 1 amp - 750 mg/5 ml - AMSA</t>
  </si>
  <si>
    <t>JERINGA ESTERIL PARA INSULINA 0.5 ML 1 PZ (31 G X 8 mm) - SENSI MEDICAL---</t>
  </si>
  <si>
    <t>bromhexina - BROMICOF INF - sol 100 ml - 80 mg - LOEFFLER</t>
  </si>
  <si>
    <t>omeprazol - GENOPRAZOL - exhib 7 blisters c/7 cap - 20 mg - GENOMMA LAB</t>
  </si>
  <si>
    <t>EQUIPO PARA VENOCLISIS - NORMOGOTERO C/AGUJA - DL MEDICA</t>
  </si>
  <si>
    <t>JERINGA NEGRA DL - 5 ml (22G X 32mm) - caple/5 pzas - DL MEDICA</t>
  </si>
  <si>
    <t>JERINGA NEGRA DL - 3 ml (22G X 32mm) - caple c/5 pzas - DL MEDICA</t>
  </si>
  <si>
    <t>JERINGA DL VERDE - 5 ml (21 G X 32 mm) - caple/5 pzas - DL MEDICA</t>
  </si>
  <si>
    <t>JERINGA VERDE DL - 3 ml (21G X 32mm) - caple/5 pzas - DL MEDICA</t>
  </si>
  <si>
    <t>JERINGA AZUL DL - 3 ml (23G X 25mm) - caple/5 pzas - DL MEDICA</t>
  </si>
  <si>
    <t>AGUJA P/PLUMA INSULINA VERDE - 4 mm (32G X 4mm) - 10 pzas - DL MEDICA</t>
  </si>
  <si>
    <t>tadalafil - TADALAFIL - 14 tab - 5 mg - ALPHARMA</t>
  </si>
  <si>
    <t>hioscina, metamizol sódico - BUSCAPINA COMPOSITUM - 20 tab - 10 mg/250 mg - SANOFI</t>
  </si>
  <si>
    <t>ceftriaxona disódica - AMCEF I.M INY - 500 mg/2 ml - AMSA</t>
  </si>
  <si>
    <t>JERINGA INSULINA DL - 1 ml (29G x 13mm) - 10 pzas - DL MEDICA</t>
  </si>
  <si>
    <t>JERINGA INSULINA DL - 0.5 ml (31G x 08mm) - 10 pzas - DL MEDICA</t>
  </si>
  <si>
    <t>JERINGA NEGRA DL - 5 ml (22G x 32mm) - 3 pzas - DL MEDICA</t>
  </si>
  <si>
    <t>JERINGA INSULINA DL - 0.3 ml (31G X 6mm) - 10 pzas - DL MEDICA</t>
  </si>
  <si>
    <t>JERINGA P/INSULINA DL - 0.3 ml (32G x 6mm) - 10 pzas - DL MEDICA</t>
  </si>
  <si>
    <t>JERINGA AZUL 3 mL (23G-25mm) PAQUETE CON 3 PZAS- DL MEDICA---</t>
  </si>
  <si>
    <t>levetiracetam - EVICOVAC - 60 tab - 500 mg - NOVAG</t>
  </si>
  <si>
    <t>tadalafil - TADALAFIL - 8 tab - 20 mg - SERRAL</t>
  </si>
  <si>
    <t>ACEITE  MENNEN - 100 ml - COLGATE PALMOLIVE</t>
  </si>
  <si>
    <t>lidocaína - LIDOCAÍNA - Ungüento 5 % tubo c/35 g - ALPHARMA</t>
  </si>
  <si>
    <t>alphasens</t>
  </si>
  <si>
    <t>amoxicilina, ambroxol - VANMOXOL - susp 90 ml - 250-15 mg/5 ml - WANDEL</t>
  </si>
  <si>
    <t>vitaminas (A, D y C) - ANIMALÍN - got 30 ml - NATUREX</t>
  </si>
  <si>
    <t>paracetamol - SON´S PIRAL PEDIÁTRICO - jbe 120 ml - 3.2 g/100 ml - SONS-</t>
  </si>
  <si>
    <t>TADALAFIL - caja c/4 tab - 20 mg - SERRAL</t>
  </si>
  <si>
    <t>misoprostol - CYRUX - 28 tab - SERRAL</t>
  </si>
  <si>
    <t>lincomicina - LINCOMICINA INY - 6 amp - 600 mg/2ml - AMSA</t>
  </si>
  <si>
    <t>omeprazol - SAROX - 14 cap - 20 mg - BIOMEP</t>
  </si>
  <si>
    <t>complejo B - NEUROBIÓN - 30 tab - MERCK</t>
  </si>
  <si>
    <t>levonorgestrel - POSTINOR - 1 tab - 1.5 mg - GEDEON RICHER</t>
  </si>
  <si>
    <t>agua isotónica - RINOMAR AD Y NIÑOS - 100 ml - DACLAF</t>
  </si>
  <si>
    <t>tamsulosina - AMZUVAG - 30 cap - 0.4 mg - NOVAG</t>
  </si>
  <si>
    <t>PEDIASURE VAINILLA - 237 mL - ABBOTT</t>
  </si>
  <si>
    <t>ceftriaxona - TRAXICOLL I.M. - sol iny 1 g/3.5 ml - COLLINS</t>
  </si>
  <si>
    <t>ampicilina - AMPICILINA - sol iny 1 amp - 1 g/5 ml - AMSA</t>
  </si>
  <si>
    <t>Indometacina, dexametasona -INDARZONA - 30 tabs - 25/0.5 mg - STREGER ---</t>
  </si>
  <si>
    <t>PROTECTOR SOLAR KIDS - FPS 50+UVA/UVB Crema Tubo c/125 g - SERRAL---</t>
  </si>
  <si>
    <t>ácido salicíco - EL GALLO PARCHE PARA CALLOS - 6 pzas - BEIERSDORF---</t>
  </si>
  <si>
    <t>AJOLOTIUS VERDE - con miel - 250 ml - AJOLOTIUS</t>
  </si>
  <si>
    <t>AJOLOTIUS AMARILLO - c/propóleo - 250 ml - AJOLOTIUS</t>
  </si>
  <si>
    <t>sup alimenticio - LOMAXX - 37 cap - 18.5 g - SHELA ---</t>
  </si>
  <si>
    <t>SUTURA (CALIBRE 1-0) (LONGITUD 75 CM)- ATRAMAT---</t>
  </si>
  <si>
    <t>CONDONES PRUDENCE MIX - 10 pzas - DKT</t>
  </si>
  <si>
    <t>7501349022133CCC</t>
  </si>
  <si>
    <t>ambroxol, oxeladina - CONNEXUS AD - 120 ml - 225 mg - 200 mg/100 ml - RAYERE</t>
  </si>
  <si>
    <t>ambroxol. oxeladina - CONNEX US INF - 120 ml - 100 mg/115 mg/100 ml - RAYERE</t>
  </si>
  <si>
    <t>cefotaxima - CEFOTAXIMA I.M. - 1 amp iny - 500 mg/2 ml - AMSA</t>
  </si>
  <si>
    <t>DICLOFENACO COMPLEJO B,FORTICAL, TRIBEDOCE COMPUESTO,COMBEDIL DL,DICLOVITH, B ALLITRIPLE,VOLTRIPAX</t>
  </si>
  <si>
    <t>pasta adhesiva - FIXODENT PLUS - 35 ml - P&amp;G</t>
  </si>
  <si>
    <t>JERINGA NEGRA DL - 3 ml c/aguja (22G X 32mm) - 100 pzas - DL MEDICA</t>
  </si>
  <si>
    <t>JERINGA VERDE DL - 5 ml c/aguja (21G X 32mm) - 100 pzas - DL MEDICA</t>
  </si>
  <si>
    <t>JERINGA INSULINA DL - 0.5 ml (31G X 08mm) - 100 pzas - DL MEDICA</t>
  </si>
  <si>
    <t>JERINGA VERDE DL - 3 ml c/aguja (21G X 32mm) - 100 pzas - DL MEDICA</t>
  </si>
  <si>
    <t>JERINGA NEGRA DL - 5 ml c/aguja (22G X 32mm) - 100 pzas - DL MEDICA</t>
  </si>
  <si>
    <t>JERINGA VERDE DL - 10 ml c/aguja (21G X 32mm) - 100 pzas - DL MEDICA</t>
  </si>
  <si>
    <t>JERINGA INSULINA DL - 0.3 ml (31G X 06mm) - c/100 pzas - DL MEDICA</t>
  </si>
  <si>
    <t>metamizol sódico - NEOSEDAL JBE -120 ml - 5 g/100 ml - LOEFFLER</t>
  </si>
  <si>
    <t>NEO MELUBRINA, WESTEPIRON,FARLIN</t>
  </si>
  <si>
    <t>paracetamol - TEMPRA JBE INF - 3.2 g/100 ml -120 ml - RECKITT BENCKISER</t>
  </si>
  <si>
    <t>PROSEDAL, ADINOL,MEJORALITO</t>
  </si>
  <si>
    <t>JABÓN P/MANOS COCO - Antibacterial - 520 ml - FANTASY ---</t>
  </si>
  <si>
    <t>JABÓN P/MANOS PIÑA - antibacterial - 520 ml - FANTASY ---</t>
  </si>
  <si>
    <t>JABÓN P/MANOS CEREZA - antibacterial - 520 ml - FANTASY ---</t>
  </si>
  <si>
    <t>JABÓN P/MANOS MORA AZUL - antibacterial - 520 ml - FANTASY ---</t>
  </si>
  <si>
    <t>JABÓN P/MANOS KIWI - antibacterial - 520 ml - FANTASY ---</t>
  </si>
  <si>
    <t>JABÓN P/MANOS FRESA - antibacterial - 520 ml - FANTASY ---</t>
  </si>
  <si>
    <t>JABÓN P/MANOS NARANJA - antibacterial - 520 ml - FANTASY ---</t>
  </si>
  <si>
    <t>sildenafil - FIGRAL - exhib c/20 tab - 100 mg - MAVI</t>
  </si>
  <si>
    <t>AMOXIBRON, MUCOCEF</t>
  </si>
  <si>
    <t>Cefaclor - FASICLOR SUSP- 75 mL 125 mg/5 mL-MAVER---PA</t>
  </si>
  <si>
    <t>cefaclor- FASICLOR - susp 50 ml - 375 mg/5 ml - MAVER---</t>
  </si>
  <si>
    <t>NORVAS 5MG TBS, COLLIDIPIN, PRESLOPIN, PRESONE, AMLODIPINO,</t>
  </si>
  <si>
    <t>cetilpiridinio - TROCILETAS (CEREZA) - 10 tab - 1.45 mg -STREGER</t>
  </si>
  <si>
    <t>cetilpiridinio -TROCILETAS - cereza c/12 tab - 1.45 mg - STREGER</t>
  </si>
  <si>
    <t>Picosulfato sódico - MOTILAXIL - Gotero 30 mL 7.5 mg/1 mL- FARMA.CONT.---PA</t>
  </si>
  <si>
    <t xml:space="preserve">ANARA </t>
  </si>
  <si>
    <t>7501417007666-</t>
  </si>
  <si>
    <t>CARBONATO DE MAGNESIO PURO COYOACAN 3 PZAS 7g</t>
  </si>
  <si>
    <t>JABÓN P/MANOS MANZANA  - antibacterial - 520 ml - FANTASY ---</t>
  </si>
  <si>
    <t>aciclovir - LESACLOR - susp 125 ml - 200 mg/5 ml - MAVI</t>
  </si>
  <si>
    <t>gemfibrozilo - GEMFIBROZILO (TempusPharma) - 14 tab - 600 mg - IFA</t>
  </si>
  <si>
    <t xml:space="preserve">RAYPID </t>
  </si>
  <si>
    <t>tretinoina - QUERATAL CREMA - c/20 g - 0.05% - LIFERPAL</t>
  </si>
  <si>
    <t xml:space="preserve">arretin </t>
  </si>
  <si>
    <t>topiramato - TOPIRAMATO - 20 tab - 25 mg - AVIVIA</t>
  </si>
  <si>
    <t>MENTA EUCALIPTO - PALETAS AJOLOTIUS - 6 pzas/100 g - AJOLOTIUS</t>
  </si>
  <si>
    <t>menta eucalipto - PASTILLAS AJOLOTIUS - 10 pastillas - AJOLOTIUS</t>
  </si>
  <si>
    <t>propóleo - PASTILLAS AJOLOTIUS - 10 pastillas - AJOLOTIUS</t>
  </si>
  <si>
    <t>cefuroxima - CEFAGEN SUSP - 50 ml - 250 mg/5 ml - MAVER -</t>
  </si>
  <si>
    <t>ácido ascórbico (vit C) - OXITAL C - 10 tab eferv - 2 g - SERRAL</t>
  </si>
  <si>
    <t>quetiapina - GAELORAX - 60 tab - 100 mg - NOVAG</t>
  </si>
  <si>
    <t>hioscina - SERRALPINA -10 tab - 10 mg - SERRAL---PA</t>
  </si>
  <si>
    <t>7502001165595CC</t>
  </si>
  <si>
    <t>naproxeno, paracetamol - VELSAY S COMPUESTO - susp 100 ml - 125 mg/100 mg/5 ml - SONS - JUN 25</t>
  </si>
  <si>
    <t xml:space="preserve">BRUNADOL FEBRAX </t>
  </si>
  <si>
    <t>lansoprazol - DITIL - 14 cap - 15 mg - BIOMEP---PA</t>
  </si>
  <si>
    <t>amdory</t>
  </si>
  <si>
    <t>KN95 BLANCO C/REGISTRO---</t>
  </si>
  <si>
    <t xml:space="preserve">GUAXOQUIM </t>
  </si>
  <si>
    <t>pinaverio, dimeticona - DIVELGEL - 16 cap - 100 mg/300 mg - PROGELA</t>
  </si>
  <si>
    <t xml:space="preserve">DUALIVER, NESAJAR </t>
  </si>
  <si>
    <t>metotrexato - AC-VONDA - 50 tab - 2.5 mg - ACCORD</t>
  </si>
  <si>
    <t>METROTEXATO DE ASOFARMA,LEDERTREXATE</t>
  </si>
  <si>
    <t>FIJADOR CAPRICE KIWI y LAVANDA AEROSOL- 316 mL- PALMOLIVE</t>
  </si>
  <si>
    <t>Alopurinol-ALOPURINOL-20 Tabs 300 mg-NEOLPHARMA---PA</t>
  </si>
  <si>
    <t>PURIBEL 300</t>
  </si>
  <si>
    <t>montelukast sodico - MONTELUKAST - 20 tab - 5 mg - NEOLPHARMA</t>
  </si>
  <si>
    <t>AVALIDE, CO APROVEL,IRMEGLOL DUO</t>
  </si>
  <si>
    <t>dipropionato de beclometasona - CLOFHIVEN - 50 µg aerosol p/inhalación - FARM HISPANOAMERICANA</t>
  </si>
  <si>
    <t>bromuro de ipratropio - PROTAISOL - 12.8 g - 20 µg - FARMA HISPANOAMERICANA</t>
  </si>
  <si>
    <t>ESTETOSCOPIO DOBLE NEGRO-VC200N- VITALCARE---</t>
  </si>
  <si>
    <t>AEROCAMARA PREMIUM ADULTO AEROSPACER - +10 años - VITALCARE ---</t>
  </si>
  <si>
    <t>AEROCAMARA PREMIUM JUVENIL AEROSPACER-AC406-VITALCARE---</t>
  </si>
  <si>
    <t>FOTOSUN UV 100 SOLAR BRUSH - pvo facial 4 g - DACLAF</t>
  </si>
  <si>
    <t>hialuronato de sodio - HIALURONATO DE SODIO - 4 mg/ml - GRIN</t>
  </si>
  <si>
    <t xml:space="preserve">LAGRICEL </t>
  </si>
  <si>
    <t>cefixima - BENEVENTOL - susp 100 mg/5 ml - MAVER</t>
  </si>
  <si>
    <t xml:space="preserve">BIOMIX, DENVAR </t>
  </si>
  <si>
    <t>amantadina, clorfenamina, paracetamol - FAYRUS INF - jbe 60 ml - 0.5 g/0.02 g/3 g/100 ml - BRUL-AGO 25---</t>
  </si>
  <si>
    <t>ROSEL, AMPAMIL,ANTUFLUDES JR, FAYRUS.</t>
  </si>
  <si>
    <t>Lactobacilos esporulados-LACTIV GOMITAS-40 gomitas 6g c/u-NATUREX---ENE 25</t>
  </si>
  <si>
    <t>TOALLAS HUMEDAS POCOYO-48 Toallitas-INDELPA---</t>
  </si>
  <si>
    <t>Electrolitos Orales-HYDRASOR PVO CEREZA-28.4g-NOVAG</t>
  </si>
  <si>
    <t>losartan - LOSARTÁN (Medley) - 30 comp - 50 mg - SANOFI</t>
  </si>
  <si>
    <t>guaifesina, dextrometorfano - TUKOL D MIEL INF - jbe 120 ml - 1 g/0.1 g - GENOMMA LAB</t>
  </si>
  <si>
    <t>ibuprofeno - GELUBRÍN - 10 cap - 600 mg - PROGELA</t>
  </si>
  <si>
    <t>bencidamina - BENIFLANT - 30 ml - 0.15 g/100 ml - LOEFFLER</t>
  </si>
  <si>
    <t>nifuroxazida - BRAXIGORT - susp 90 ml - 4.4 g/100 ml - DEGORT´S</t>
  </si>
  <si>
    <t>azitromicina - SICALAN - susp 30 ml - 4 g/100 ml - LOEFFLER</t>
  </si>
  <si>
    <t>dimeticona - DINTREFERGOT SUSP - got 30 ml - 100 mg/1 ml - DEGORT'S</t>
  </si>
  <si>
    <t>bromhexina - BROMICOF AD - sol 100 ml - 160 mg/100 ml - LOEFFLER</t>
  </si>
  <si>
    <t>electrolitos - HYDRASOR PVO LIMÓN - 28.4 g - NOVAG</t>
  </si>
  <si>
    <t>electrolitos en polvo - VOLDRATOL - sabor mango 28.48 g - SOLFRAN---PA</t>
  </si>
  <si>
    <t>Cefalexina, Ambroxol-CEFABROXIL-Susp 75mL-250mg/15mg-MAVER --- TD</t>
  </si>
  <si>
    <t>clindamicina, ketoconazol - FEMITAB - 7 óvulos - 100 mg/400 mg - SONS</t>
  </si>
  <si>
    <t>aciclovir - CICLOFERON - color piel 2 g - crema 5 % - LIOMONT</t>
  </si>
  <si>
    <t>trimetoprima, sulfametoxazol - BATERAL - susp 120 ml - 200 mg/5 ml - ALLEN---</t>
  </si>
  <si>
    <t>bacilus clausii - SINUBERASE 2B - 10 amp - 5 ml - SANOFI</t>
  </si>
  <si>
    <t>difenidol - DIFENIDOL - sol iny c/2 amp - 40 mg/2 ml - AMSA</t>
  </si>
  <si>
    <t>ampicilina - MEXAPIN - susp 60 ml - 250 mg/5 ml - WANDEL</t>
  </si>
  <si>
    <t>Furazolidona, Diyodohidroxiquinoleina-DIALGIN-Tabs 20- 50/200/2/200 mg-COLLINS</t>
  </si>
  <si>
    <t>AJOLOTIUS MORADO - eldelberry - 250 ml - AJOLOTIUS</t>
  </si>
  <si>
    <t>dicloxacilina - AMIFARIN - susp 60 ml - 250 mg/5 ml - WADNDEL</t>
  </si>
  <si>
    <t>metronidazol, diyodohidroxiquinoleína - STOMFFLER PLUS - susp 120 ml - 2.5 g/2.0 g/100 ml - LOEFFLER</t>
  </si>
  <si>
    <t>pravastatina - COLPRADIN - 30 tab - 10 mg - BIOMEP-*FB*</t>
  </si>
  <si>
    <t>benzonatato - TESALON AD PERLAS  - 20 cap -100 mg - GKS</t>
  </si>
  <si>
    <t>Amoxicilina-GIMALXINA-Susp 75 mL -500 mg/5 mL-COLLINS --- TF</t>
  </si>
  <si>
    <t>guaifenesina, citrato de oxolamina - GUAXOQUIM - 60 ml - 2.5 g/1.25 g/100 ml - QUIMPHARMA-PA</t>
  </si>
  <si>
    <t>ampicilina - MEXAPIN - susp 60 ml - 125 mg/5 ml - WANDEL - JUL25</t>
  </si>
  <si>
    <t>salbutamol - BRESALTEC - aerosol p/inhalación c/200 dosis - 100 mcg - BIOSYNTEC</t>
  </si>
  <si>
    <t>Eritromicina-ERITROLAT-Susp 60mL-125mg/5mL-LIFERPAL--- ABR 25</t>
  </si>
  <si>
    <t>Dextrometorfano-BRUDEX- Jbe 120 mL- 15 mg/5 mL-BRULUART---PA</t>
  </si>
  <si>
    <t>levocetirizina - BOCETIX (SANDIA, S/AZÚCAR) - fco 150 ml - 0.5 mg/1 ml - VITAE</t>
  </si>
  <si>
    <t>amoxicilina - VANDIX - 12 cap - 500 mg - WANDEL</t>
  </si>
  <si>
    <t>bromhexina - BROMHEXINA INF - sol 100 ml - 80 mg/100 ml - BIOMEP</t>
  </si>
  <si>
    <t>Quinfamida, Albendazol-FARMIVER -Susp. Inf 10 mL-10-400mg/10ml-FARMA.CONT-PA</t>
  </si>
  <si>
    <t>VENDA ADHESIVA - c/10 - 19 x 72 - DACLAF</t>
  </si>
  <si>
    <t>paracetamol, fenilefrina - VICK PYRENA MIEL LIMON - 5 sobres 5 g c/u - 500 mg/10 mg - P&amp;G---</t>
  </si>
  <si>
    <t>tibolona - LISERTIL - 30 tab - 2.5 mg - SERRAL---</t>
  </si>
  <si>
    <t>neomicina, caolín, pectina - TREDA - 75 ml susp - 0.733mg/10 mg/0.7 mg - SANFER---</t>
  </si>
  <si>
    <t>bromhexina - BROMHEXINA AD - 100 ml - 160 mg/100 ml - BIOMEP</t>
  </si>
  <si>
    <t>lamotrigina - LAMOTRIGINA - 28 tab mast - 100 mg - AMSA</t>
  </si>
  <si>
    <t>trimetoprima, sulfametoxazol - SOLTRIM - susp 120 ml - 40 mg/200 mg/5 ml - BRULUART</t>
  </si>
  <si>
    <t>KF94 NEGRO-MAYFIELD---</t>
  </si>
  <si>
    <t>vitaminas y minerales - GELCAVIT COLORS INF - 30 cap - 0.62 g - PHARMACAPS---</t>
  </si>
  <si>
    <t>vitaminas y minerales - GELCAVIT PLATINUM - 30 cap - 1.39 g - PHARMACAPS</t>
  </si>
  <si>
    <t>vitaminas y minerales - GELCAVIT Q 10 - 30 cap - 1.34 g - PARMACAPS</t>
  </si>
  <si>
    <t>dicloxacilina - AMIFARIN - 20 cap - 500 mg - WANDEL</t>
  </si>
  <si>
    <t>Bifidobacterium lactis BPL1-MICROBIOT-15 Cáps-180 mg-COLUMBIA---</t>
  </si>
  <si>
    <t>GUANTES ESTÉRILES DE EXÁMEN - grande 100 pzas - DL MÉDICA</t>
  </si>
  <si>
    <t>metamizol sódico - MAGNIL JBE INF - 100 ml - 250 mg/5 ml - SONS</t>
  </si>
  <si>
    <t>Rekord Rodillera Meniscos Elast-L/XL-1 Pz-LE ROY---</t>
  </si>
  <si>
    <t>Rekord Rodillera Elastica-L/XL-1Pz-LE ROY---</t>
  </si>
  <si>
    <t>Rekord Tobillera Elastica-S/M-1Pz-LE ROY---</t>
  </si>
  <si>
    <t>Rekord Tobillera Elastica-L/XL-1 Pz-LE ROY---</t>
  </si>
  <si>
    <t>Rekord Muslera Elastica-S/M-1 Pz-LE ROY---</t>
  </si>
  <si>
    <t>Rekord Musllera Elastica-L/XL-1 Pz-LE ROY---</t>
  </si>
  <si>
    <t>condón - MAX FORT SENSIBLE - C/3 pzas-MAX FORT</t>
  </si>
  <si>
    <t>condón - MAX FORT TEXTURIZADO - 3 pzas-MAX FOT</t>
  </si>
  <si>
    <t>oxcarbazepina - SINFONIL - 20 tab - 600 mg - MAVER</t>
  </si>
  <si>
    <t>oxolamina - OXOTUSIN - jbe 118 ml - 1 g/100 ml - AVITUS</t>
  </si>
  <si>
    <t>ENSURE ADVANCE VAINILLA-237 mL-ABBOTT</t>
  </si>
  <si>
    <t>tiamazol - TIAROTEC - 20 tab - 5 mg - TECNOFARMA</t>
  </si>
  <si>
    <t>ondansetrón - SETRONTEC - 3 amp - 8 mg/4 ml - TECNOFARMA</t>
  </si>
  <si>
    <t>sales de potasio - KAPOSALT - 50 tab sol - 766 mg/460 mg/155 mg - TECNOFARMA</t>
  </si>
  <si>
    <t>ambroxol - OXOLVAN - 120 ml - 300 mg/100 ml - BRULUART</t>
  </si>
  <si>
    <t>CONDON MAX FORT SENSIBLE VITROLERO-C/50 CONDONES MASCULINOS-MAX FORT</t>
  </si>
  <si>
    <t>retinol - RETIGEL - 40 cap - 50 mg - GELPHARMA</t>
  </si>
  <si>
    <t>CENTRUM PERFORMANCE - 30 tab - GSK</t>
  </si>
  <si>
    <t>CENTRUM SILVER+5O - 30 tab - GSK</t>
  </si>
  <si>
    <t>ácido mefenámico - NAMIFEN - 20 tab - 500 mg - NOVAG</t>
  </si>
  <si>
    <t>esomeprazol - ESOMEPRAZOL - 14 tab - 40 mg - ULTRA</t>
  </si>
  <si>
    <t>vit A, D, E, oxido de zinc, alantoína - VITACILINA BEBE - 50 g - 500,000 ui/90,000 ui/1,000 ui/25 g/1 g - KSK---</t>
  </si>
  <si>
    <t>vit A, D, E, oxido de zinc, alantoína - VITACILINA BEBE - 110 g - 500,000 ui/90,000 ui/1,000 ui/25 g/1 g - KSK-PA</t>
  </si>
  <si>
    <t>GUANTE PARA EXAMEN NO ESTERIL CHICO - 100 pzas - DL MEDICA</t>
  </si>
  <si>
    <t>GUANTES PARA EXPLORACIÓN NO ESTERIL, DE LATEX - GRANDE - 100 pzas - DL MEDICA</t>
  </si>
  <si>
    <t>GUANTES DE LATEX PARA EXAMEN - mediano no esteril - 100 pzas - DL MEDICA</t>
  </si>
  <si>
    <t>fexofenadina - FEXOFENADINA - 10 comp - 120 mg - AMSA</t>
  </si>
  <si>
    <t>fluoxetina - F-EXINA - 20 tab - 20 mg - NOVAG</t>
  </si>
  <si>
    <t>glucosamina, meloxicam - NOVOVARTALON - 30 sobres - 1500 mg/15 mg - ASOFARMA</t>
  </si>
  <si>
    <t>desodorante para pies - MEXSANA SPRAY - 150 ml - BAYER ---</t>
  </si>
  <si>
    <t>levodropropizina - SUPRATEX - jbe 120 ml - 600 mg/100 ml - MAVI</t>
  </si>
  <si>
    <t>difenhidramina - NYQUIL Z - 30 cap - 25 mg - P&amp;G---</t>
  </si>
  <si>
    <t>pioglitazona - PIOGLITAZONA - 7 tab - 30 mg - AMSA</t>
  </si>
  <si>
    <t>nifuroxazida - ENTERODAR COMPUESTO - 10 tab - 200 mg - STREGER</t>
  </si>
  <si>
    <t>Tadalafil- ALZOCID- 8 tabs- 20 mg- COLLINS---</t>
  </si>
  <si>
    <t>levofloxacino - UNIQUIN - 7 tab - 500 mg - COLLINS</t>
  </si>
  <si>
    <t>Diclofenaco sódico- VOLFENAC- Sol inyectable 2 ampll con 3 mL-  75 mg /3 mL- COLLINS---</t>
  </si>
  <si>
    <t>hidrocortisona - COLLICORT - 60 g - 1 % - COLLINS</t>
  </si>
  <si>
    <t>paracetamol, cafeína - TEMPIRE PFC - 24 com - 500 mg/50 mg - COLLINS</t>
  </si>
  <si>
    <t>amoxicilina - DIMOPEN - susp 75 ml - 250 mg/5 ml - BRULUAGSA---</t>
  </si>
  <si>
    <t>Antitranspirante- STEFANO BLACK- 159 mL- COLGATE</t>
  </si>
  <si>
    <t>Antitranspirante- STEFANO GLADIUS- 159 mL- COLGATE---</t>
  </si>
  <si>
    <t>desodorante en aerosol p/hombre - STEFANO ALPHA - 159 ml - COLGATE-PALMOLIVE ---</t>
  </si>
  <si>
    <t>RASTRILLO BIC COMFORT 3/hojas ADVANCE-1 PIEZA</t>
  </si>
  <si>
    <t>Rastrillo para hombre</t>
  </si>
  <si>
    <t>7501058623201--</t>
  </si>
  <si>
    <t>NAN 3 400 ---NO USR</t>
  </si>
  <si>
    <t>nafazolina - ALPHADINAL - 0.1% sol nasal - gotero 15 ml - ALPHARMA</t>
  </si>
  <si>
    <t>cefalotina - CEFALOTINA INY - 1 amp - 1 g/ 5 ml - AMSA</t>
  </si>
  <si>
    <t>ambroxol, teofilina - FEDRIMIN - 150 ml - 0.700-0.150 g/100 ml - MAVER</t>
  </si>
  <si>
    <t>nistatina - MIBESAN-S - susp got 24 ml - 100,000 UI/1 ml - ALPHARMA</t>
  </si>
  <si>
    <t>GUANTE P/ EXPLORACIÓN DE NITRILO AZUL NO ESTÉRIL - 100 pzas - mediano - DL MEDICA</t>
  </si>
  <si>
    <t>minoxidil - ANACASTEL - 60 ml - 5% - FARMAPIEL</t>
  </si>
  <si>
    <t>7501258204590CC</t>
  </si>
  <si>
    <t>Pentoxifilina-PENSIRAL- 30 Tabs -400 mg- SERRAL--- ABR 25</t>
  </si>
  <si>
    <t>fexofenadina - FEXOFENADINA - 10  comp - 180 mg - AMSA</t>
  </si>
  <si>
    <t>paracetamol - WAMINDEL - got ped 15 ml - 100 mg/ml - BIOMEP</t>
  </si>
  <si>
    <t>7503000422610CC</t>
  </si>
  <si>
    <t>cefalexina - CEFALVER - susp 90 ml - 125 mg/5 ml -MAVER - MAR25---</t>
  </si>
  <si>
    <t>bencidamina sol - BIOBEND - 360 ml - 0.15 g/100 ml - BIOMEP</t>
  </si>
  <si>
    <t>prednisolona - NISOLVER - 100 ml - 1 mg/1 ml - MAVER</t>
  </si>
  <si>
    <t>nafazolina - ALPHADINAL - gotero 15 ml - (0.05%) 0.5mg /1 ml - ALPHARMA</t>
  </si>
  <si>
    <t>Pañal extra jumbo-KLEEN BEBÉ SUAVELASTIC- ETAPA 6- 30 PZAS-KIMBERLY CLARK---</t>
  </si>
  <si>
    <t>Pañal grande-KLEEN BEBÉ SUAVELASTIC- ETAPA 4 - 30 PZAS -KIMBERLY CLARK---</t>
  </si>
  <si>
    <t>valsartán - VERSALVER - 14 comp - 160 mg - MAVER</t>
  </si>
  <si>
    <t>esomeprazol - ESOMEPRAZOL - 7 tab - 40 mg - ULTRA</t>
  </si>
  <si>
    <t>omeprazol - OMEPRAZOL - 120 cap - 20 mg - ULTRA</t>
  </si>
  <si>
    <t>eritromicina - TROPHARMA - 20 tab - 500 mg - ALPHARMA</t>
  </si>
  <si>
    <t>desodorante en aerosol - AXE BLACK NIGHT - 150 ml - UNILEVER</t>
  </si>
  <si>
    <t>desodorante en aerosol - AXE COLLISION - 150 ml - UNILEVER</t>
  </si>
  <si>
    <t>desodorante en aerosol - AXE YOUNG - 150 ml - UNILEVER</t>
  </si>
  <si>
    <t>desodorante en aerosol - AXE FUSION - 150 ml - UNILEVER</t>
  </si>
  <si>
    <t>montelukast - VALTROVER G - granulado/10 sobres - 4 mg - MAVER</t>
  </si>
  <si>
    <t>carbocisteína - CULMINAX AD - sol 150 ml - 375 mg/5 ml - MAVER</t>
  </si>
  <si>
    <t>paracetamol, fenilefrina, carbinoxamina - TEMPRA 24 H - 24 tab - 400 mg/20 mg/4 mg - Reckitt Benckiser</t>
  </si>
  <si>
    <t>talco desodorante - DERMAN AZUL (LAVANDA) - 80 g - KSK</t>
  </si>
  <si>
    <t>piridostigmina - MONAXYL - 20 tab - 60 mg - MAVER</t>
  </si>
  <si>
    <t>timolol - TIMOLOL - sol oft 5 ml - 0.5 % - OPKO</t>
  </si>
  <si>
    <t>ibuprofeno - MOTRIN PED - susp gotas 15 ml - 40 mg/1 ml - J&amp;J</t>
  </si>
  <si>
    <t>cloranfenicol - CLORANFENICOL - sol oft 15 ml - 0.5 % - ALVARTIS PHARMA</t>
  </si>
  <si>
    <t>L-ornitina, L-aspartato - VERSISTOL - 10 sobres - granulado 3 g - MAVER</t>
  </si>
  <si>
    <t>cisaprida - CISAPRIDA - 30 tab - 5 mg - AMSA</t>
  </si>
  <si>
    <t>Antitranspirante- STEFANO BLACK LEGEND- 159 mL- COLGATE---</t>
  </si>
  <si>
    <t>metamizol sódico - BIODOLGYN - got 15 ml - 500 mg/1 ml - EDERKA</t>
  </si>
  <si>
    <t>dropropizina - GANTAMIN - jbe 120 ml - 300 mg/100 ml - LOEFFLER</t>
  </si>
  <si>
    <t>ácido fólico, hierro - QUIMISTREN - 30 tab - 100 mg/800 mcg - QUIMPHARMA</t>
  </si>
  <si>
    <t>rosuvastatina - CROSTOX - 30 tab - 20 mg - MAVI</t>
  </si>
  <si>
    <t>TELA ADHESIVA IMPERMEABLE 2.5X1M - MICROSEDA</t>
  </si>
  <si>
    <t>CINTA MICROPOROSA - piel - 2.5 m X 10 m - 1 pza - MICROSEDA</t>
  </si>
  <si>
    <t>enalapril - ADYTENN - 30 tab - 10 mg - ULTRA</t>
  </si>
  <si>
    <t>Condones texturizados sabores - MAX FORT - c/3</t>
  </si>
  <si>
    <t>Condones texturizados sabores -MAX FORT- Vitrolero c/50</t>
  </si>
  <si>
    <t>Tolterodina - TOLTERODINA - 14 Tabs - 2 mg - ULTRA</t>
  </si>
  <si>
    <t>clotrimazol - TENESCAN - crema 20 g -  10 mg/1 g - MAVER</t>
  </si>
  <si>
    <t>clotrimazol - TENESCAN V - crema 2 %, tubo 20 g - 3 aplicadores - MAVER</t>
  </si>
  <si>
    <t>ALCOHOL AZUL 1 L - DIBAR</t>
  </si>
  <si>
    <t>ALCOHOL AZUL 500 mL -  DIBAR</t>
  </si>
  <si>
    <t>ALCOHOL AZUL 250 mL - DIBAR</t>
  </si>
  <si>
    <t>BOTIQUIN DE PRIMEROS AUXILIOS- LE ROY---</t>
  </si>
  <si>
    <t>Apósito de fibra hidroactivo 10X10 cm - SUPRASORB - LOHMANN RAUSCHER---</t>
  </si>
  <si>
    <t>Apósito de alginato de calcio +Plata - SUPRASORB A + Ag- 10 pzas-10x 10 cm - LOHMANN RAUSCHER---</t>
  </si>
  <si>
    <t>Apósito hidrofóbico 10x 10 cm - LOMUATUELL H - LOHMANN RAUSCHER---</t>
  </si>
  <si>
    <t>venda elástica premium - 7.5 cm x 5 m - LE ROY---</t>
  </si>
  <si>
    <t>venda elástica premium - 5 cm x 5 m - LE ROY---</t>
  </si>
  <si>
    <t>VENDA ELÁSTICA IDEAL - 7.5 cm x 5 m - 1 pza - LE ROY</t>
  </si>
  <si>
    <t>vitamina e - VITAMINA E - 30 cap - 850 mg - PROGELA</t>
  </si>
  <si>
    <t>pravastatina - PRAVASTATINA - 30 tab - 10 mg - AMSA</t>
  </si>
  <si>
    <t>hidroxizina - XYLAM - 30 tab - 10 mg - RAAM</t>
  </si>
  <si>
    <t>magnesio, complejo b, vit d3, Omega 3 - VIT ACTIVE MEN - 30 cap - VIVA FORTE - LOEFFLER ---</t>
  </si>
  <si>
    <t>Magnesio, Complejo B, Vit. D3, Omega 3 - VIT ACTIVE FEM - 30 Caps. - VIVA FORTE-LOEFFLER---</t>
  </si>
  <si>
    <t>paracetamol - WAMINDEL - sol inf 120 ml - 3.2 g/100 ml - WANDEL</t>
  </si>
  <si>
    <t>Loratadina-LARITOL- Sol. Ped. 30 mL - 100 mg/100 mL -MAVER</t>
  </si>
  <si>
    <t>ketorolaco - KETOROLACO - 10 tab - 10 mg - ULTRA</t>
  </si>
  <si>
    <t>ampicilina - AMPICILINA - 10 tab - 1 g - AMSA</t>
  </si>
  <si>
    <t>hidrocortisona - FLEBONADROL - sol iny 500 mg/4 ml - BRULUART</t>
  </si>
  <si>
    <t>omeprazol, bicarbonato de sódio - OMEPRAZOL/BICARBONATO DE SODIO - 30 cap -  20 mg/1100 mg - PHARMAGEN</t>
  </si>
  <si>
    <t>CENTRUM BALANCE - 30 tab - GSK</t>
  </si>
  <si>
    <t>Montelukast -ONTRONON - 20 Tabs masticables -  5 mg -RAAM---</t>
  </si>
  <si>
    <t>med herbolario p/insomnio y estrés - TAFLAVIX - 40 tab - 100 mg/60 mg - SALUD NATURAL</t>
  </si>
  <si>
    <t>hioscina - ESPAFARM - fco 15 ml -  6.67 mg/1 ml - FARMA.CONT.</t>
  </si>
  <si>
    <t>pioglitazona - GLIOZAC - 7 tab -15 mg - MAVER</t>
  </si>
  <si>
    <t>vitaminas y minerales - PHARMATON KIDDI - jbe 100 ml - SANOFI</t>
  </si>
  <si>
    <t>paracetamol -TEMPERAL - got 15 ml - 100 mg/1 ml - AVITUS</t>
  </si>
  <si>
    <t>ciprofloxacino - CIPROFLOXACINO - 14 tab - 500 mg - AMSA</t>
  </si>
  <si>
    <t>dropropizina, bromhexina - CARDOMICIN INF - jbe 120 mL - 150mg /80 mg/100 ml - WESERPHARMA</t>
  </si>
  <si>
    <t>dropropizina, bromhexina - CARDOMICIN AD - jbe 120 ml - 300 mg, 160 mg/100 ml - WESER PHARMA</t>
  </si>
  <si>
    <t>crema corporal - HINDS ROSA CLÁSICA (piel seca) - 90 ml - GRISI</t>
  </si>
  <si>
    <t>ketorolaco - LACDOL-S - 6 tab - 30 mg - WERMAR</t>
  </si>
  <si>
    <t>7502009741746CC</t>
  </si>
  <si>
    <t>Paracetamol, Fenilefrina, Dextrometorfano - EXALVER (PFD) - Jbe. Adulto 120 mL - 2.13, 0.04, 0.1 g/100 mL - MAVER - MAY 25</t>
  </si>
  <si>
    <t>Jabon de tocador - DOVE ORIGINAL - 135 g - UNILEVER</t>
  </si>
  <si>
    <t>Antitranspirante aerosol - REXONA V8- 150 mL - UNILEVER---</t>
  </si>
  <si>
    <t>eritromicina - BIOERTER - susp 100 ml - 250 mg/5 ml - NEOLPHARMA</t>
  </si>
  <si>
    <t>finasterida - STERYX - 30 tab - 5 mg - ACCORD</t>
  </si>
  <si>
    <t>prednisona - NORAPRED - 20 tab - 5 mg - BRULUART</t>
  </si>
  <si>
    <t>CHOCHOS DE CALCAREA -1 PZA-SANTA FE---</t>
  </si>
  <si>
    <t>NATURISTA</t>
  </si>
  <si>
    <t>butilhioscina- BUTILHIOSCINA - 10 tab - 10 mg - LOEFFLER---</t>
  </si>
  <si>
    <t>pirferidona - KITOSCELL - gel c/3.5 g - 8/100 g - CTT</t>
  </si>
  <si>
    <t>PIOKLEAN SHAMPOO - 150 mL - HD MORELIA---</t>
  </si>
  <si>
    <t>SUEROX (FRESA-FRUTOS ROJOS) - 630 ml - GENOMMA LAB fórmula hidratante c/electrolitos  -</t>
  </si>
  <si>
    <t>repelente de piojos - PIOKLEAN SPRAY - 130 ml - HD MORELIA---</t>
  </si>
  <si>
    <t>furazolidona, caolin, pectina - FURADERKA OFERTA - susp 120 ml - .33 g, 20 g, 1.0 g/100 ml - EDERKA---</t>
  </si>
  <si>
    <t>nineka susp</t>
  </si>
  <si>
    <t>Cortador de pastillas- P.A.S 1pza---</t>
  </si>
  <si>
    <t>lidocaína - PISACAINA 2% - 50 ml - 20 mg/ml - PISA</t>
  </si>
  <si>
    <t>naproxeno, carisoprodol - CARIDOXEN - 30 cap - 250 mg/200 mg - MAVI</t>
  </si>
  <si>
    <t>sildenafil - SILDENAFIL - 20 tab - 100 mg - ULTRA</t>
  </si>
  <si>
    <t>bencidamina - BIOBEND - sol. c/atomizador 30 ml - 0.15 g/100 ml - BIOMEP</t>
  </si>
  <si>
    <t>sildenafil - DIONIXOL - 4 tab - 100 mg - BIOMEP</t>
  </si>
  <si>
    <t>levetiracetam - EVICOVAC - 30 tab - 1000 mg - NOVAG</t>
  </si>
  <si>
    <t>fenitoína sódica - FENIFFLER-T - 50 tabs - 100 mg - LOEFFLER----</t>
  </si>
  <si>
    <t>indometacina - INDOMETACINA - 6 sup - 100 mg - LOEFFLER</t>
  </si>
  <si>
    <t>paracetamol - CORIVER - 24 tabs - 650 mg - MAVER</t>
  </si>
  <si>
    <t>CARBONATO DE MAGNESIO PURO - 1 pza - 7 g - COYOACÁN</t>
  </si>
  <si>
    <t>bifidobacterium lactis BPL1 - LACTIV FIT - 15 caps - 427 mg c/u - NATUREX</t>
  </si>
  <si>
    <t>isoconazol - ISOCONAZOL - crema - 1 g / 100 g - ALPHARMA</t>
  </si>
  <si>
    <t>tartrato de metoprolol - METOPROLOL - 20 tab - 100 mg - SCHOEN</t>
  </si>
  <si>
    <t>crema corporal - NIVEA CREMA - lata c/ 20 ml - BDF MEXICO</t>
  </si>
  <si>
    <t>antitranspirante en aerosol - LADY SPEED STICK POWDER FRESH - 150 ml - COLGATE-PALMOLIVE ---</t>
  </si>
  <si>
    <t>suplemento alimenticio - ROCA VIT - 30 caps - VITAE</t>
  </si>
  <si>
    <t>Suspensión Antireflujo-MELOX NOCHE SUSP. frasco180 ml - SANOFI</t>
  </si>
  <si>
    <t>hidroxido de aluminio, magnesio, simeticona - MELOX PLUS CEREZA - 30 tab masticables - 200 mg/ 200 mg/ 25 mg - SANOFI---</t>
  </si>
  <si>
    <t>7502305940065CC</t>
  </si>
  <si>
    <t>GEL LUBRICANTE ÍNTIMO - natural - 75 ml - MAX FORT - AGO25</t>
  </si>
  <si>
    <t>paracetamol - SENSIFAZOL - sol iny 1 amp - 1g/100 ml - JAYOR</t>
  </si>
  <si>
    <t>suplemento alimenticio - ROCA VIT PLATINUM - caja c/30 caps - VITAE</t>
  </si>
  <si>
    <t>jabón de tocador hipoalergénico - NEUTRO GRISI - 100 g/3.5 oz. - GRISI</t>
  </si>
  <si>
    <t>paracetamol - SOLTADOL - 10 tab - 500 mg - AVITUS---</t>
  </si>
  <si>
    <t>BRONCORUB - lata c/12 g - BRONCOLIN</t>
  </si>
  <si>
    <t>IODEX CRISTAL - ungüento - fco c/60 g - GSK</t>
  </si>
  <si>
    <t>ácido ascórbico, zinc - OXITAL-ZN - 10 tab eferv - 1000 mg/ 10 mg - SERRAL-*FB*</t>
  </si>
  <si>
    <t>oxitetraciclina - TERVUTAN - 16 cap - 500 mg - RAAM -</t>
  </si>
  <si>
    <t>metamizol sódico - MESSELFENIL - 10 tab - 500 mg - BIOMEP---</t>
  </si>
  <si>
    <t>amoxicilina, ác. clavulánico - VALCLAN - 14 tab - 875 mg/ 125 mg - WANDEL</t>
  </si>
  <si>
    <t>fenilefrina, loratadina, paracetamol - LARITOL G PED - 120 ml - 33.33 mg/16.66 mg/ 3.2 mg/ 100 ml - MAVER</t>
  </si>
  <si>
    <t>arnica montana - ARN GLOBULOS - 150 glóbulos - NARTEX LABS</t>
  </si>
  <si>
    <t>alfa cetoanálogos de aminoácidos - SOMERAL - 100 tab - NUCITEC</t>
  </si>
  <si>
    <t>itraconazol - ITRACONAZOL - 15 cap - 100 mg - NOVAG</t>
  </si>
  <si>
    <t>POMADA DE LA CAMPANA - lata c/19 g - GENOMMA LAB</t>
  </si>
  <si>
    <t>tadalafil - CHRISALE - 1 tab - 20 mg - ULTRA</t>
  </si>
  <si>
    <t>glutamina, lactobacillus reuteri - GLUTEC - 3 sobres - 15 g c/u - NATUREX---</t>
  </si>
  <si>
    <t>quassia amara l - KILICEL - shampoo 120 ml c/peine - KENER---</t>
  </si>
  <si>
    <t>meclizina, piridoxina - VO-REMI - 5 amp - 25 mg/50 mg - OFFENBACH</t>
  </si>
  <si>
    <t>diclofenaco ác, libre - DOFLATEM - fco 120 ml - 0.18 g/100 ml - LOEFFLER</t>
  </si>
  <si>
    <t>dexametasona - METAX INY - 3 amp - 8 mg/2 ml - SONS---</t>
  </si>
  <si>
    <t>bunesonida - BUDESONIDA SUSP - 5 fcos p/ nebulización c/2 ml - 0.250 mg/2 ml - AMSA</t>
  </si>
  <si>
    <t>sulfato de mg, extracto fluido de hojas - CHOFABOL GRANULADO - fco 100 g - 25 g/1 g - AVITUS---</t>
  </si>
  <si>
    <t>enalapril - ENALAPRIL - 30 tab - 10 mg - ULTRA</t>
  </si>
  <si>
    <t>agua estéril para uso inyectable - EAU CLAIRE - fco 500 ml - NEOLPHARMA---</t>
  </si>
  <si>
    <t>SANITIZANTE - 125 ml - LUMAN---ecatepec</t>
  </si>
  <si>
    <t>ALCOHOL EN GEL - 75 ml - LUMAN---</t>
  </si>
  <si>
    <t>ACETONA KIT - c/lima y algodón - LUMAN---</t>
  </si>
  <si>
    <t>levonorgestrel - POSTDAY - 1 comp - 1.5 mg - IFA CELTICS</t>
  </si>
  <si>
    <t>gentamicina - GENKOVA INY - 5 amp - 80 mg/2 ml - SONS---</t>
  </si>
  <si>
    <t>SOLUCIÓN INY HARTMANN - 500 ml - BIOGALENIC---</t>
  </si>
  <si>
    <t>SUEROX (FRESA-MENTA) - 630 ml - GENOMMA LAB fórmula hidratante c/electrolitos -</t>
  </si>
  <si>
    <t>cepillo dental - DORALDENT CLASICO - 2 PACK</t>
  </si>
  <si>
    <t>trimebutina - ESPABION - 40 tab - 200 mg - DEGORT'S---</t>
  </si>
  <si>
    <t>cloruro de magnesio - CLORURO DE MAGNESIO - 100 G - COYOACÁN QUÍMICA</t>
  </si>
  <si>
    <t>omega 3-6-9, aceite de pescado, linaza y oliva - VIVA OMEGHA - 60 cap - 1.32 g/500 mg/300 mg/200 mg - LOEFFLER</t>
  </si>
  <si>
    <t>floroglucinol/trimetilfloroglucinol - PANCLASA - 20 cap - 80 mg/80 mg - ATLANTIS</t>
  </si>
  <si>
    <t>té de limón - HERBACIL - 25 sacos - 25 g - BRONCOLIN</t>
  </si>
  <si>
    <t>té de manzanilla - HERBACIL - 25 sacos - 25 g - BRONCOLIN</t>
  </si>
  <si>
    <t>té de Hierbabuena - HERBACIL - 25 sacos - 25 g - BRONCOLIN</t>
  </si>
  <si>
    <t>té kita kilos - HERBACIL - 25 sacos - 25 g - BRONCOLIN</t>
  </si>
  <si>
    <t>té verde matcha - HERBACIL - 25 sacos - 25 g - BRONCOLIN</t>
  </si>
  <si>
    <t>vit c, d3, jengibre, cúrcuma, beta glucano de levadura - PUNIC KIDS - jbe mango 250 ml - 70 mg/3 mg/33.33 mg/15 mg - BIOLIFE---</t>
  </si>
  <si>
    <t>ketorolaco - KETOROLACO - 6 tab sublinguales, 30 mg - SALUCOM</t>
  </si>
  <si>
    <t>ibuprofeno - DOLPROFEN - 10 tab - 800 mg - COLLINS -</t>
  </si>
  <si>
    <t>subsalicilato de bismuto - SIPAROX - susp 120 ml - 1.750 g - LOEFFLER---</t>
  </si>
  <si>
    <t>7503001007144CC</t>
  </si>
  <si>
    <t>ampicilina - MEXAPIN - susp 60 ml - 500 mg/5 ml - WANDEL - AGO25---</t>
  </si>
  <si>
    <t>carbocisteina - CULMINAX PED - sol fco 150 ml - 250 mg/5 ml - MAVER</t>
  </si>
  <si>
    <t>atorvastatina - COLLIPROL - 15 tab - 40 mg - COLLINS ---</t>
  </si>
  <si>
    <t>GEL ATM GENTLEMAN (ANTI-CAÍDA) - 230 g - LAFÓN LAUNAY</t>
  </si>
  <si>
    <t>GEL ATM POWER - sin alcohol 250 g - LAFÓN LAUNAY</t>
  </si>
  <si>
    <t>jabón de tocador - ZEST AQUA - 135 g - UNILEVER---</t>
  </si>
  <si>
    <t>shampoo fuerza y reparación - SAVILÉ KERATINA Y SÁBILA - 700 ml - UNILEVER</t>
  </si>
  <si>
    <t>pasta dental - COLGATE TRIPLE ACCIÓN - 75 ml - COLGATE-PALMOLIVE - oportunidad ---</t>
  </si>
  <si>
    <t>dapagliflozina - FORXIGA - 28 tab - 10 mg - ASTRAZENECA</t>
  </si>
  <si>
    <t>risperidona - RISPERIDONA - 40 tab - 2 mg - PSICOFARMA</t>
  </si>
  <si>
    <t>oseltamivir - WERNICROS - 10 cap - 75 mg - WERMAR</t>
  </si>
  <si>
    <t>desodorante en aerosol - AXE BLACK - 150 ml - UNILEVER</t>
  </si>
  <si>
    <t>desodorante en aerosol - AXE APOLLO - 150 ml - UNILEVER</t>
  </si>
  <si>
    <t>desodorante en aerosol - AXE CONVICTION - 150 ml - UNILEVER</t>
  </si>
  <si>
    <t>desodorante en aerosol - AXE ICE CHILL - 150 ml - UNILEVER</t>
  </si>
  <si>
    <t>desodorante en aerosol - AXE EXCITE - 150 ml - UNILEVER</t>
  </si>
  <si>
    <t>desodorante en aerosol - AXE GOLD TEMPTATION - 150 ml - UNILEVER</t>
  </si>
  <si>
    <t>desodorante en aerosol - AXE KILO - 150 ml - UNILEVER</t>
  </si>
  <si>
    <t>desodorante en aerosol - AXE MUSIC - 150 ml - UNILEVER</t>
  </si>
  <si>
    <t>desodorante en aerosol - AXE DARK TEMPTATION (CHOCOLATE) - 150 ml - UNILEVER</t>
  </si>
  <si>
    <t>desodorante en aerosol - AXE EPIC FRESH - 150 ml - UNILEVER</t>
  </si>
  <si>
    <t>desodorante en aerosol - AXE INTENSE - 150 ml - UNILEVER</t>
  </si>
  <si>
    <t>neomicina/caolín/pectina - TREDA - 30 tab (20+10) - 129 mg/280 mg/30 mg - SANFER</t>
  </si>
  <si>
    <t>toallitas húmedas hipoalergénicas - BABY PETIT SUPREME - azul c/70 - 15 x 18 cm - IMP DE MAT PRIMAS</t>
  </si>
  <si>
    <t>toallitas húmedas hipoalergénicas - BABY PETIT SUPREME - rosa c/70 - 15 x 18 cm - IMP DE MAT PRIMAS</t>
  </si>
  <si>
    <t>POMADA P/LABIOS - exhib c/60 pzas - 3 gr p/pza - KURAMEX</t>
  </si>
  <si>
    <t>ác. acetilsalicílico - ÁCIDO ACETILSALICÍLICO - 20 tab eferv - 300 mg - PSICOFARMA</t>
  </si>
  <si>
    <t>sildenafil - VOGUEL - 4 tab - 100 mg - MAVER---</t>
  </si>
  <si>
    <t>jabón de tocador - PALMOLIVE NATURALS - nutrición humectante - 100 g - COLGATE PALMOLIVE</t>
  </si>
  <si>
    <t>shampoo ceramidas, retinol y colágeno - SEDAL INFUSIÓN ACTIVA - 180 ml - UNILEVER---</t>
  </si>
  <si>
    <t>ASPIRINA TRIPACK - 500 mg, 40 tab c/u - BAYER</t>
  </si>
  <si>
    <t>gel - EGO MAGNETIC - fragancia intensa - 200 ml - UNILEVER</t>
  </si>
  <si>
    <t>sildenafil - DIONIXOL - 4 tab - 50 mg - BIOMEP - SAN VIC ---</t>
  </si>
  <si>
    <t>BOLSA P/ILEOSTOMÍA O COLOSTOMÍA AD - 10 pzas - SENSI MEDICAL - ECA ---</t>
  </si>
  <si>
    <t>sildenafil - OSIDEA GL 2X1 OFERTA, 8 tab c/u, 100 mg c/u - AVIVIA---</t>
  </si>
  <si>
    <t>loratadina - LOVARIN - 10 tab - 10 mg - COLLINS---</t>
  </si>
  <si>
    <t>MARELIFG101</t>
  </si>
  <si>
    <t>LIMAS FLEXIBLES - 1 caja c/100 limas - MISS ARELI---</t>
  </si>
  <si>
    <t>PASADORES FINOS JANETTE - caja c/35 pzas - KURAMEX</t>
  </si>
  <si>
    <t>ácido risedrónico - TECNODRON - 4 tab - 35 mg - VALEANT-*FB*</t>
  </si>
  <si>
    <t>PRUDENCE CLÁSICO VITROLERO C/50 - DKT</t>
  </si>
  <si>
    <t>macrogol 3350, cloruro de sodio, bicarbonato de sodio - SULIZOL - 4 sob 109.65 g c/u, sabor natural - 105 g/2.8 g/1.43 g - SUANCA - PED CEDIS ---</t>
  </si>
  <si>
    <t>levonorgestrel - LEVONORGESTREL - 1 tab - 1.5 mg - AVIVIA</t>
  </si>
  <si>
    <t>SUEROX (FRESA) - 630 ml - GENOMMA LAB fórmula hidratante c/electrolitos -</t>
  </si>
  <si>
    <t>cortauñas grande - 1 pza - BUSLA TRADING---</t>
  </si>
  <si>
    <t>ambroxol - AMBROXOL - sol 120 ml - 300 mg/100 ml - LOEFFLER---</t>
  </si>
  <si>
    <t>CINTA MICROPOROSA - blanco - 2.5 m X 10 m - 1 pza - MICROSEDA</t>
  </si>
  <si>
    <t>CINTA MICROPOROSA - blanco - 1.25 m X 10 m - 1 pza - MICROSEDA</t>
  </si>
  <si>
    <t>CINTA MICROPOROSA - piel - 1.25 m X 10 m - 1 pza - MICROSEDA</t>
  </si>
  <si>
    <t>sildenafil - ACTIRAAM - 4 tab - 100 mg - RAAM---</t>
  </si>
  <si>
    <t>sildenafil - VOGUEL - 10 tab - 50 mg - MAVER - SV ---</t>
  </si>
  <si>
    <t>desodorante antitranspirante - PALMOLIVE NEUTRO BALANCE ROLL ON - 1 pza - 65 ml - COLGATE-PLAMOLIVE</t>
  </si>
  <si>
    <t>desodorante antitranspirante roll on - SPEED STICK XTREME NIGHT - 1 pza - 30 ml - COLGATE-PALMOLIVE</t>
  </si>
  <si>
    <t>pasta dental - COLGATE MAXCLEAN ECONOPACK - 2 tubos sabor menta - 81 g c/u - COLGATE-PALMOLIVE</t>
  </si>
  <si>
    <t>hidroxicloroquina - RUQUIMOX - tab 20 - 200 mg - SERRAL ---</t>
  </si>
  <si>
    <t>CORTAUÑAS CHICO - 1 pza - BUSLA TRADING</t>
  </si>
  <si>
    <t>toalla femenina - KOTEX NOCTURNA -c/alas - 8 toallas - KIMBERLY-CLARK</t>
  </si>
  <si>
    <t>desodorante en aerosol p/hombre - STEFANO TRIUMPH - 159 ml - COLGATE-PALMOLIVE ---</t>
  </si>
  <si>
    <t>desodorante en aerosol p/hombre - STEFANO PLAY - 159 ml - COLGATE-PALMOLIVE ---</t>
  </si>
  <si>
    <t>desodorante en aerosol p/hombre - STEFANO MIDNIGHT - 159 ml - COLGATE-PALMOLIVE ---</t>
  </si>
  <si>
    <t>agua isotónica - RINOMAR BEBÉ/ NIÑO PEQUEÑO - 50 ml - DACLAF</t>
  </si>
  <si>
    <t>talco - REXONA EFFICIENT - 100 g - UNILEVER</t>
  </si>
  <si>
    <t>BIBERON (ACUARIO) - 8 oz/240 ml - EVENFLO---</t>
  </si>
  <si>
    <t>crema corporal - NIVEA MILK NUTRITIVA 5 EN 1 - 100 ml - BDF MEXICO</t>
  </si>
  <si>
    <t>CONDONES PRUDENCE - CHICLE C/5 - DKT MEXICO</t>
  </si>
  <si>
    <t>baby shampoo -RICITOS DE ORO - 100 ml Lavanda &amp; Lechuga - GRISI</t>
  </si>
  <si>
    <t>baby shampoo - RICITOS DE ORO - 100 ml Miel &amp; Argán - GRISI---</t>
  </si>
  <si>
    <t>BIBERÓN COLORES - 8 oz/240 ml - EVENFLO---</t>
  </si>
  <si>
    <t>carbamazepina - CARBAMAZEPINA - 20 tab - 200 mg - PSICOFARMA</t>
  </si>
  <si>
    <t>desodorante antitranspirante - PALMOLIVE NEUTRO BALANCE  SPRAY - 150 ml - COLGATE-PALMOLIVE</t>
  </si>
  <si>
    <t>dexametasona - DEXAMETASONA - 20 tab - 0.5 mg - ALLEN</t>
  </si>
  <si>
    <t>dexametasona - DEXAMETASONA - 20 tab - 1 mg - ALLEN</t>
  </si>
  <si>
    <t>ANTIHISTAMINICO</t>
  </si>
  <si>
    <t>PAÑAL HUGGIES SUPREME E4 C/36</t>
  </si>
  <si>
    <t>PALAL HUGGIES SUPREME E5 C/36---</t>
  </si>
  <si>
    <t>PAÑAL HUGGIES ULTRA CONFORT NIÑA E6 C/40---</t>
  </si>
  <si>
    <t>PAÑAL HUGGIES ULTRA CONFORT E3 NIÑO C/40---</t>
  </si>
  <si>
    <t>PAÑAL HUGGIES ULTRA CONFORT E5 NIÑO C/40---</t>
  </si>
  <si>
    <t>Nitrofurantoina-TERFHICID 40 CAPS 100 MG-FARMA HISP</t>
  </si>
  <si>
    <t>SILDENAFIL 2X 1 4 tab 100mg -ULTRA---</t>
  </si>
  <si>
    <t>glucosamina, condroitina KERNOLINE-LESS POLVO C/30 SOBRES 1500mg y 30 sob 15mg</t>
  </si>
  <si>
    <t>Tiamina 100mg+Piridoxina 5mg+Cianocobalamina 50mcg.</t>
  </si>
  <si>
    <t>CREMA TOCADOR NUVEL PIEL NORMAL MIEL Y AVENA  750---</t>
  </si>
  <si>
    <t>AGUA OXIGENADA JALOMA 112 ML</t>
  </si>
  <si>
    <t>AGUA OXIGENADA JALOMA 224 ML</t>
  </si>
  <si>
    <t>AGUA OXIGENADA JALOMA 56 ML</t>
  </si>
  <si>
    <t>7501537100452--</t>
  </si>
  <si>
    <t>TRIBEDOCE-DX-OFERTA---</t>
  </si>
  <si>
    <t>Ibuprofeno, Difenhidramina-EUFENIL NITE 10 CAPS 200/25 MG-PHARMACAPS</t>
  </si>
  <si>
    <t>Cada cápsula contiene: Ibuprofeno 200mg+Difenhidramina 25mg</t>
  </si>
  <si>
    <t>RASTRILLO BIC COMFORT 2 VERDE- 1 PIEZA</t>
  </si>
  <si>
    <t>MINOCICLINA 100MG TAB C/10 -SERRAL</t>
  </si>
  <si>
    <t>Bromuro de Pinaverio-BROMURO DE PINAVERIO- c/14 TABS. 100 MG-LOEFFLER---</t>
  </si>
  <si>
    <t>Bromuro de Pinaverio 100mg</t>
  </si>
  <si>
    <t>GLICERINA PURA 50ML-DIBAR</t>
  </si>
  <si>
    <t>ACEITE DE RICINO 50ML-DIBAR</t>
  </si>
  <si>
    <t>PASTILLERO SEMANAL-P.A.S---</t>
  </si>
  <si>
    <t>LADY SPEED STICK POWDER FRESH 50ML</t>
  </si>
  <si>
    <t>Merthiolate, mertiolate</t>
  </si>
  <si>
    <t>LADY SPEED STICK POWDER FRESH 45G BARRA</t>
  </si>
  <si>
    <t>Desodorante-OBAO FLORAL ROLL ON  65 G-GARNIER</t>
  </si>
  <si>
    <t>JABON DE TOCADOR PALMOLIVE NEUTRO BALANCE DERMOLIMPIADOR 100GRS</t>
  </si>
  <si>
    <t>DESVENLAFAXINA 50MG TAB C/14-ULTRA-</t>
  </si>
  <si>
    <t>clotrimazol-LOZARMIN C- 1.00% (1g/100g) tubo 30g crema -BIOMEP</t>
  </si>
  <si>
    <t>LOZAMIR-V 2.00% (2.0 g / 100 g) 20 g CREMA -BIOMEP</t>
  </si>
  <si>
    <t>dexametasona-ALIN-30 tab- 0.5mg  -CHINOIN---</t>
  </si>
  <si>
    <t>sildenafil-DIONIXOL 100 mg 1 tab-BIOMEP---</t>
  </si>
  <si>
    <t>TERMOMETRO NEUTEK EQP 1</t>
  </si>
  <si>
    <t>metocarbamol, ibuprofeno-CARBAGER PLUS c/10 tabs-</t>
  </si>
  <si>
    <t>alopurinol - PURIBEL 300 nueva presentacion - 20 tab - 300 mg - BRULUART</t>
  </si>
  <si>
    <t>3393370037385CC</t>
  </si>
  <si>
    <t>salmeterol, fluticasona-SERETIDE EVOHALER 120 dosis 12g y disp inh.-GSK DIC 25---</t>
  </si>
  <si>
    <t>CICLOBENZAPRINA/CLONIX DE LISINA C 20 TABS -MAVER</t>
  </si>
  <si>
    <t>glucosamina, condroitina-KERNOLINE C/ 15 sob- 1500mg, 1200mg-ULTRA</t>
  </si>
  <si>
    <t>KLEEN BEBE CREMA CORPORAL C MANZANILLA 250ML</t>
  </si>
  <si>
    <t>JABON HUGGIES MANZANILLA ALOE 80G-KBC</t>
  </si>
  <si>
    <t>SILDENAFIL 100MG 2X1 sobre c/4-ULTRA---</t>
  </si>
  <si>
    <t>progesterona-ANNEMS GEL 1G/100G TUBO C 80G-SONS</t>
  </si>
  <si>
    <t>paracetamol, clorfenamina, fenilefrina - CONTACT ULTRA - 50 tab - 500 mg/5 mg/2 mg - GSK</t>
  </si>
  <si>
    <t>COREGA 30 TABLETAS EFERVESCENTES-GKS</t>
  </si>
  <si>
    <t>KIT GLUCOMETRO INSTANT +SOFTCLICK-ACCU CHEK</t>
  </si>
  <si>
    <t>MATERIAL MEDICO</t>
  </si>
  <si>
    <t>MATERIal MEDICO</t>
  </si>
  <si>
    <t>ginkgo biloba-NEOMORIL 40mg 30cap -GEL PHARMA</t>
  </si>
  <si>
    <t>aciclovir-LANDVIR 200MG. TAB. C/25-LANDSTEINER-*FB*</t>
  </si>
  <si>
    <t>VILDAGLIPTINA 50MG COMP C/28 -ULTRA---</t>
  </si>
  <si>
    <t>CLOTRIMAZOL OV c/1 500mg-SONS-*FB*</t>
  </si>
  <si>
    <t>Calcitriol-GELDEX Capsulas c/50 25ug-GELPHARMA-*FB*</t>
  </si>
  <si>
    <t>vitaminas c, d, complejo b, zinc, antiox-C-BLAST + D UVA 10 SOB 10 G-DLP-*FB*</t>
  </si>
  <si>
    <t>cefalexina-CEFALVER 12 TAB 1 G-MAVER-*FB*</t>
  </si>
  <si>
    <t>Clioquinol, Fluocinolona-BENTIX 40g  3g/0.01g/100g- SONS---</t>
  </si>
  <si>
    <t>subsalicilato de bismuto-ITAMOL C/24tab, 262Mg -MAVI-*FB*</t>
  </si>
  <si>
    <t>glipizida-FLUMEDIL-VICTORY---</t>
  </si>
  <si>
    <t>VALPROATO SEM 30 COMP 250 MG-AMSA-*FB ---</t>
  </si>
  <si>
    <t>acido folico, DHA, suplem alimenticio-VITAFOLE-VITAE</t>
  </si>
  <si>
    <t>desodorante en aerosol - AXE FUSION PAQ C/3- 150 ml - UNILEVER</t>
  </si>
  <si>
    <t>7502001165588CC</t>
  </si>
  <si>
    <t>paracetamol, clorfenamina, amantadina - AMPAMIL JBE - 60 ml - 0.50 g, 0.02 g, 3 g - SONS - MAY25---</t>
  </si>
  <si>
    <t>7502001165724CC</t>
  </si>
  <si>
    <t>neomicina, retinol - RASPISONS - ungûento 28 g - SONS - FEB25---</t>
  </si>
  <si>
    <t>7503004908646CC</t>
  </si>
  <si>
    <t>Albendazol -ALBENDAZOL -20 mL -2g/100mL-ALPHARMA - JUL25---</t>
  </si>
  <si>
    <t>7502004402703CC</t>
  </si>
  <si>
    <t>Neomicina, caolín, pectina- OFERTA NEOXIL-120 mL- 0.710-20.0-1.0 g/100 mL-OFFENBACH - ABR25---</t>
  </si>
  <si>
    <t>nineka</t>
  </si>
  <si>
    <t>7502009740497CC</t>
  </si>
  <si>
    <t>amoxicilina, ácido clavulánico - CLAMOXÍN 12 H PED - susp 40 ml - 200 mg, 28.5 mg/5 ml - MAVER - MAR25</t>
  </si>
  <si>
    <t>tadalafil-STAMINA 20MG C/4 tab-MAVI---</t>
  </si>
  <si>
    <t>omeprazol - OMEPRAZOL INY - 1 amp - 40 mg/10 ml - PHARMAGEN---</t>
  </si>
  <si>
    <t>TAMPON SABA 10PZAS</t>
  </si>
  <si>
    <t>ACIDO RISEDRONICO (Ultra) c/4 TABS. 35 MG-ULTRA---</t>
  </si>
  <si>
    <t>ELECTROLIT te verde limon 625 mL -  1 PZA - PISA</t>
  </si>
  <si>
    <t>Alcanfor Eucalipto Mentol-INHA RUB UNGUENTO 400G- ADN PHARMA-*FB*</t>
  </si>
  <si>
    <t>electrolitos orales-SOLURAL FRESA KIWI 1 PZA 500 ML</t>
  </si>
  <si>
    <t>electrolitos orales-SOLURAL MANZANA  1 PZA 500 ML</t>
  </si>
  <si>
    <t>electrolitos orales-SOLURAL MANDARINA-NARANJA 1 PZA 500 ML</t>
  </si>
  <si>
    <t>electrolitos orales-SOLURAL MORA AZUL 1 PZA 500 ML</t>
  </si>
  <si>
    <t>electrolitos orales-SOLURAL FRESA 1 PZA 500 ML</t>
  </si>
  <si>
    <t>electrolitos orales-SOLURAL UVA 1 PZA 500 ML</t>
  </si>
  <si>
    <t>electrolitos orales-SOLURAL COCO 1 PZA 500 ML</t>
  </si>
  <si>
    <t>electrolitos orales-SOLURAL LIMA LIMON 1 PZA 500 ML</t>
  </si>
  <si>
    <t>ALCOHOL AZUL 125 mL - DIBAR</t>
  </si>
  <si>
    <t>OMEPRAZOL 14 CAP 20MG-BEADVANCE---</t>
  </si>
  <si>
    <t>EXACTON TERMOMETRO DIGITAL PUNTA RIGIDA 1 PZA-ESIGAR</t>
  </si>
  <si>
    <t>Sulfato ferroso-FER-IN-SOL, SOL. PED. 75mg c/50ml-NUTRIBABY</t>
  </si>
  <si>
    <t>Suspensión Antireflujo-MELOX NOCHE SUSP. frasco 360 ml - SANOFI</t>
  </si>
  <si>
    <t>CUBREBOCA DES 3 PLIE ELAS 1 BOL 10 PZA</t>
  </si>
  <si>
    <t>HILO DENTAL 50MTS 1 BLISTER 1PZA---</t>
  </si>
  <si>
    <t>Ac Glutamico,Calcio,Ginkgo Biloba,Vit B1, Vit B2, ,Vit B6,Zinc-MAXIBILOBA 250/40 MG C/60 COM</t>
  </si>
  <si>
    <t>predisona-NOSIPREN 20 MG C/30 TAB-COLLINS</t>
  </si>
  <si>
    <t>ALGODON PLISADO 50 GR- JALOMA</t>
  </si>
  <si>
    <t>ENJUAGE BUCAL TOTAL CLEAN MINT  60 ML- COLGATE</t>
  </si>
  <si>
    <t>VENDA ELASTICA 10cm x 5MCMS PREMIUM -LE ROY---</t>
  </si>
  <si>
    <t>KIT DE TOCADOR PARA MANOS c/5 Pzs-JALOMA</t>
  </si>
  <si>
    <t>Jabón Quirúrgico-ANTIBENZIL NF SOLUCIÓN al 1% Fco. 120 ML.-ALTAMIRANO</t>
  </si>
  <si>
    <t>BISOPROLOL c/30 TABS. 5 MG-APOTEX</t>
  </si>
  <si>
    <t>Enantato de Testosterona-PRIMOTESTON Depot Sol. Iny. c/1 AMPTA. 250 MG/1 ML.-BAYER</t>
  </si>
  <si>
    <t>antitranspirante en aerosol-REXONA TONO PÉRFECTO 150ML</t>
  </si>
  <si>
    <t>ELECTROLIT MARACUYA 625 mL - 1 PZ - PISA</t>
  </si>
  <si>
    <t>CEPILLO DENTAL COLGATE C/2 PZAS *CLT* MEDIO FB ---</t>
  </si>
  <si>
    <t>BIBERON ENSUEÑO 4 OZ. C/1-EVENFLOW</t>
  </si>
  <si>
    <t>7502208894557--</t>
  </si>
  <si>
    <t>CEFTRIAXONA INY - 1 g/3.5 ml - BRULUAGSA-DICIEMBRE 25---</t>
  </si>
  <si>
    <t>PQT C/2 DESENFRIOLITO TAB C/24tab---</t>
  </si>
  <si>
    <t>ESTROGENOS CONJUGADOS 42 TAB 0.625MG-ULTRA---reg</t>
  </si>
  <si>
    <t>dieta polim c/fibra-FRESUBIN FIBRA SABOR FRESA-FRESENIUS KABI</t>
  </si>
  <si>
    <t>dieta polim c/fibra-FRESUBIN FIBRA SABOR CHOCOLATE-FRESENIUS KABI</t>
  </si>
  <si>
    <t>hidroclorotiazida - HIDROCLOROTIAZIDA - 20 tab -25 mg - VICTORY---</t>
  </si>
  <si>
    <t>RESURTIDO INVERNAL (2 XL3 XTRA, 2 NEXT, 2 ALLIVIAX, 1 BIOELECTRO, 1 VR)</t>
  </si>
  <si>
    <t>paracetamol - PORTEM - 10 tab - 500 mg - BRULUART</t>
  </si>
  <si>
    <t>crema corporal - NIVEA CREMA - lata c/ 50 ml - BDF MEXICO</t>
  </si>
  <si>
    <t>PASTA COLGATE MAXIMA PROTECCION ANTICARIES 75 ml</t>
  </si>
  <si>
    <t>paracetamol-MEJORAL 500mg 12tab -GSK</t>
  </si>
  <si>
    <t>tadalafil - CHRISALE - 4 tab - 20 mg - ULTRA</t>
  </si>
  <si>
    <t>medicamento fracción IV</t>
  </si>
  <si>
    <t>7502211789284CC</t>
  </si>
  <si>
    <t>ambroxol, dextrometorfano - FARIBROX TM INF - jbe 150 ml - 150 mg/113 mg/100 ml - LOEFFLER - SEP25---</t>
  </si>
  <si>
    <t>7502006923558CC</t>
  </si>
  <si>
    <t>Amant, Clorf, Parac, Fenile - BREALITAM AV-Sol. -60 mL.-FARMACONT- ABR25---</t>
  </si>
  <si>
    <t>7502009741296CC</t>
  </si>
  <si>
    <t>cefuroxima - CEFAGEN SUSP - 50 ml - 250 mg/5 ml - MAVER - JUL25---</t>
  </si>
  <si>
    <t>7503001008615CC</t>
  </si>
  <si>
    <t>amoxicilina, ácido clavulánico - VALCLAN - susp ped 12H - 40 ml - 200 mg-28.5 mg/5 ml - WANDEL - AGO25---</t>
  </si>
  <si>
    <t>CLAVIPEN, CLAMOXIN,AMOXICLAV,AMOBAY,CLAVULIN</t>
  </si>
  <si>
    <t>7502003381153CC</t>
  </si>
  <si>
    <t>ambroxol, oxeladina - CONNEXUS AD - 120 ml - 225 mg - 200 mg/100 ml - RAYERE - AGO25---</t>
  </si>
  <si>
    <t>Etoricoxib-ETORICOXIB 120 mg, 7 Tab- SALUCOM</t>
  </si>
  <si>
    <t>BOTIQUIN CONVENIENCIA JALOMA---</t>
  </si>
  <si>
    <t>GENERAL</t>
  </si>
  <si>
    <t>catéter intravenoso - PUNZOCAT - 22 g x 0.90 x 25mm (36ml x min) ( azul)  - VIZCARRA</t>
  </si>
  <si>
    <t>catéter intravenoso - PUNZOCAT - 24 g x 0.70 x 20mm (20ml x min) ( amarillo)  - VIZCARRA</t>
  </si>
  <si>
    <t>catéter intravenoso - PUNZOCAT - 23 g x 0.60 x 19mm (13ml x min) ( morado)  - VIZCARRA</t>
  </si>
  <si>
    <t>gel - EGO CONTROL CAIDA ALFA - 200 ml - UNILEVER</t>
  </si>
  <si>
    <t>gel - EGO FRESH - 200 ml - UNILEVER</t>
  </si>
  <si>
    <t>PEDIASURE FRESA - 237 mL - ABBOTT</t>
  </si>
  <si>
    <t>Antitranspirante- STEFANO IMPERIAL - 159 mL- COLGATE</t>
  </si>
  <si>
    <t>Antitranspirante- STEFANO ROYAL - 159 mL- COLGATE</t>
  </si>
  <si>
    <t>desodorante en barra-STEFANO STICK BLACK-COLGATE PALMOLIVE</t>
  </si>
  <si>
    <t>desodorante en barra-STEFANO STICK IMPERIAL 54GR-COLGATE PALMOLIVE</t>
  </si>
  <si>
    <t>Pramoxina, acetato de zinc - CALADRYL CLEAR - locion cutanea - 180 ml - JANSSEN-CILAG---</t>
  </si>
  <si>
    <t>Clorhidrato de difenhidramina Nytol 8 Tableta 50mg ASPEN---</t>
  </si>
  <si>
    <t>TOALLA FEMENINA NATURELA INVISIBLE DÍA CON ALAS 8 PZ P&amp;G</t>
  </si>
  <si>
    <t>7502009740497CCC</t>
  </si>
  <si>
    <t>amoxicilina, ácido clavulánico - CLAMOXÍN 12 H PED - susp 40 ml - 200 mg, 28.5 mg/5 ml - MAVER - JUN25---</t>
  </si>
  <si>
    <t>7502009742835CC</t>
  </si>
  <si>
    <t>Complejo B enriquecido-MAXI B-30 Tabs.-670 mg-NATUREX - JUL25---</t>
  </si>
  <si>
    <t>7502209810358CC</t>
  </si>
  <si>
    <t>dextrometorfano, guaifenesina, paracetamol - TUSILEN JBE PED - 118 ml - 0.150 g -1.2 g - 3.0 g/100 g - ALLEN - JUL25---</t>
  </si>
  <si>
    <t>7502211789888CC</t>
  </si>
  <si>
    <t>7502211789871CC</t>
  </si>
  <si>
    <t>Hioscina, Metamizol Sódico - NEOSEDAL DUO - c/5 amptas 5 ml/20 mg - 2.5 g/5 ml - LOEFFLER - JUL25---</t>
  </si>
  <si>
    <t>7501058623201CC</t>
  </si>
  <si>
    <t>7501109902866-2</t>
  </si>
  <si>
    <t>ibuprofeno - MOTRIN INFANTIL 2 PACK - susp - 2 g/100 ml - J&amp;J---</t>
  </si>
  <si>
    <t>bifonazol - UNESIA DUO PACK- tubo 20 g - 1 g/100 g - GENOMMA LAB</t>
  </si>
  <si>
    <t>Trimebutina LIBERTRIM 100MG COMP C/20 CARNOT</t>
  </si>
  <si>
    <t>TOALLA FEMENINA SABA BUENAS NOCHES CON ALAS 8  PZAS ESSITY</t>
  </si>
  <si>
    <t>7502009740206CC</t>
  </si>
  <si>
    <t>amoxicilina, ácido clavulánico - CLAMOXÍN - susp 60 ml - 125 mg, 31.25 mg/5 ml - MAVER - ABR25</t>
  </si>
  <si>
    <t>7502009740503CC</t>
  </si>
  <si>
    <t>amoxicilina, ácido clavulánico - CLAMOXÍN 12 H JR - susp 50 ml - 400 mg/57 mg/5 ml - MAVER - JUN25</t>
  </si>
  <si>
    <t>7503001008615CCC</t>
  </si>
  <si>
    <t>amoxicilina, ácido clavulánico - VALCLAN - susp ped 12H - 40 ml - 200 mg-28.5 mg/5 ml - WANDEL - MAY25</t>
  </si>
  <si>
    <t>7503001007076CC</t>
  </si>
  <si>
    <t>Amoxicilina-VANDIX*-Susp 75 mL -500mg/5mL - WANDEL - JUN25</t>
  </si>
  <si>
    <t>7501349021808CC</t>
  </si>
  <si>
    <t>cefotaxima - CEFOTAXIMA I.M. - 1 amp iny - 500 mg/2 ml - AMSA - MAY25</t>
  </si>
  <si>
    <t>7502001165595CCC</t>
  </si>
  <si>
    <t>naproxeno, paracetamol - VELSAY S COMPUESTO - susp 100 ml - 125 mg/100 mg/5 ml - SONS - SEP25</t>
  </si>
  <si>
    <t>7502001165588CCC</t>
  </si>
  <si>
    <t>paracetamol, clorfenamina, amantadina - AMPAMIL JBE - 60 ml - 0.50 g, 0.02 g, 3 g - SONS - JUL25---</t>
  </si>
  <si>
    <t>Benzalconio MERTODOL BCO ATOMIZADOR Frasco 40 ml  JALOMA---</t>
  </si>
  <si>
    <t>VENDA ELÁSTICA  20cm/5mt. c/1 Pza IDEAL</t>
  </si>
  <si>
    <t>Norfloxacino/Fenazopiridina JULAB 400MG/100MG TAB C/8 RAM</t>
  </si>
  <si>
    <t>Pravastatina PRASIVER 15 TAB 20 MG MAVER</t>
  </si>
  <si>
    <t>ACETONIDO DE FLUOCINOLONA 0.01G/100GR CREMA 40GR ALP</t>
  </si>
  <si>
    <t>Carbocisteina ARBISTIN AD J 150ML SABOR CANELA EUROFARMA</t>
  </si>
  <si>
    <t>Carbocisteina ARBISTIN PEDIATRICO J 150ML EUROFARMA</t>
  </si>
  <si>
    <t>IBUPROFENO/CAFEINA 10 CAPS 400 MG/100 MG VITAE</t>
  </si>
  <si>
    <t>HUCIUS 250/70 MG C/30 CAP CMD</t>
  </si>
  <si>
    <t>JERINGA AZUL 3ML.(23X25MM) CAJA C/100 JAYOR</t>
  </si>
  <si>
    <t>7501165005594CC</t>
  </si>
  <si>
    <t>Suspensión Antireflujo-(ENE26)MELOX NOCHE SUSP. frasco180 ml - SANOFI -</t>
  </si>
  <si>
    <t>7509546080475CC</t>
  </si>
  <si>
    <t>SHAMPOO CAPRICE RENOVADOR 200MLS - DIC25---</t>
  </si>
  <si>
    <t>7501258208017CC</t>
  </si>
  <si>
    <t>PROTECTOR SOLAR KIDS - FPS 50+UVA/UVB Crema Tubo c/125 g - SERRAL - SEP25---</t>
  </si>
  <si>
    <t>7501033956331CC</t>
  </si>
  <si>
    <t>PEDIASURE FRESA - 237 mL - ABBOTT - OCT25</t>
  </si>
  <si>
    <t>7501065028785CC</t>
  </si>
  <si>
    <t>paracetamol-MEJORAL 500mg 12tab -GSK - DIC25</t>
  </si>
  <si>
    <t>7501065008459CC</t>
  </si>
  <si>
    <t>7501008499689CC</t>
  </si>
  <si>
    <t>7501008499702CC</t>
  </si>
  <si>
    <t>780083149888CC</t>
  </si>
  <si>
    <t>paracetamol, cafeína - TEMPIRE PFC - 24 com - 500 mg/50 mg - COLLINS - NOV25</t>
  </si>
  <si>
    <t>7502240450230CC</t>
  </si>
  <si>
    <t>paracetamol, amantadina, clorfenamina - ROSEL INF - sol 60 ml - 3 g/0.5 g/0.02 g/100 ml - WERMAR - NOV25</t>
  </si>
  <si>
    <t>7502209858077CC</t>
  </si>
  <si>
    <t>paracetamol - SOLTADOL - 10 tab - 500 mg - AVITUS - DIC25---</t>
  </si>
  <si>
    <t>7451079003523CC</t>
  </si>
  <si>
    <t>paracetamol - MEJORALITO PEDIÁTRICO (CEREZA) - 30 tab masticables - 80 mg - GSK -NOV25---</t>
  </si>
  <si>
    <t>7501471897029CC</t>
  </si>
  <si>
    <t>ondansetrón - SETRONTEC - 3 amp - 8 mg/4 ml - TECNOFARMA - NOV25---</t>
  </si>
  <si>
    <t>7502009744891CC</t>
  </si>
  <si>
    <t>norfenefrina - FRINVER - fco got 24 ml - 10 mg/ml - MAVER - OCT25</t>
  </si>
  <si>
    <t>7502211780687CC</t>
  </si>
  <si>
    <t>metamizol sódico - NEOSEDAL JBE -120 ml - 5 g/100 ml - LOEFFLER - DIC25---</t>
  </si>
  <si>
    <t>7501130712625CC</t>
  </si>
  <si>
    <t>Ibuprofeno, Difenhidramina-EUFENIL NITE 10 CAPS 200/25 MG-PHARMACAPS - OCT25---</t>
  </si>
  <si>
    <t>780083141929CC</t>
  </si>
  <si>
    <t>ibuprofeno - DOLPRIN - susp - 2 g/100 ml - COLLINS - OCT25---</t>
  </si>
  <si>
    <t>4104480412103CC</t>
  </si>
  <si>
    <t>7502216796782CC</t>
  </si>
  <si>
    <t>Estrógenos conjugados*-Estrógenos- Crema-62.5/100mg-tubo 43g - ULTRA - DIC25---</t>
  </si>
  <si>
    <t>7501033954061CC</t>
  </si>
  <si>
    <t>ENSURE SABOR CHOCOLATE 237mL*** - ABBOTT - NOV25</t>
  </si>
  <si>
    <t>7501125174841CC</t>
  </si>
  <si>
    <t>ELECTROLIT te verde limon 625 mL -  1 PZA - PISA - OCT25</t>
  </si>
  <si>
    <t>7501123013340CC</t>
  </si>
  <si>
    <t>729514000190CC</t>
  </si>
  <si>
    <t>BOTIQUIN DE PRIMEROS AUXILIOS- LE ROY - JUL25---</t>
  </si>
  <si>
    <t>7506400900474CC</t>
  </si>
  <si>
    <t>Bifidobacterium lactis BPL1-MICROBIOT-15 Cáps-180 mg-COLUMBIA - NOV25</t>
  </si>
  <si>
    <t>7501159580014CC</t>
  </si>
  <si>
    <t>bacillus coagulans - SINUBERASE 1M - 48 comp - SANOFI - JUL25</t>
  </si>
  <si>
    <t>7501385490521CC</t>
  </si>
  <si>
    <t>amoxicillina - AMOXICILINA - 12 cap - 500 mg - HORMONA - FEB26</t>
  </si>
  <si>
    <t>7503000422733CC</t>
  </si>
  <si>
    <t>amoxicilina-PENTICLOX 250MG/5ML SUSP. 60ML-MAVER - DIC25</t>
  </si>
  <si>
    <t>7503001007205CC</t>
  </si>
  <si>
    <t>amoxicilina, ambroxol - VANMOXOL - susp 90 ml - 250-15 mg/5 ml - WANDEL - NOV25</t>
  </si>
  <si>
    <t>7502216804814CC</t>
  </si>
  <si>
    <t>AMLODIPINO - 100 tab - 5 mg - AVIVIA - NOV25</t>
  </si>
  <si>
    <t>7502003381146CC</t>
  </si>
  <si>
    <t>ambroxol. oxeladina - CONNEX US INF - 120 ml - 100 mg/115 mg/100 ml - RAYERE - OCT25---</t>
  </si>
  <si>
    <t>7501088509810CC</t>
  </si>
  <si>
    <t>amantadina, clorfenamina, paracetamol - ANTIFLU-DES PED - sol 30 ml - 2.5 g/0.1 g/15 g/100 ml - CHINOIN - DIC25</t>
  </si>
  <si>
    <t>7501058623201CCC</t>
  </si>
  <si>
    <t>NAN 3 - 400 gr - NESTLÉ - OCT25</t>
  </si>
  <si>
    <t>7501058623201CCCC</t>
  </si>
  <si>
    <t>NAN 3 - 400 gr - NESTLÉ - DIC25</t>
  </si>
  <si>
    <t>DESM AER REXONA ANTIBACTERIAL UNILEVER</t>
  </si>
  <si>
    <t>AER REXONA MEN ACTIVE DRY UNILEVER</t>
  </si>
  <si>
    <t>DESH AER REXONA MEN ANTIBACTERIAL INVISIBLE 150ML UNILEVER</t>
  </si>
  <si>
    <t>AER REXONA MEN XTRACOOL 150ML</t>
  </si>
  <si>
    <t>780083141929CCC</t>
  </si>
  <si>
    <t>ibuprofeno - DOLPRIN - susp - 2 g/100 ml - COLLINS - NOV25---</t>
  </si>
  <si>
    <t>7509546073781CC</t>
  </si>
  <si>
    <t>desodorante en aerosol p/hombre - STEFANO MIDNIGHT - 159 ml - COLGATE-PALMOLIVE - NOV25</t>
  </si>
  <si>
    <t>650240015571CC</t>
  </si>
  <si>
    <t>cloruro de sodio - NASALUB INF - sol 30 ml - GENOMMA LAB - DIC25---</t>
  </si>
  <si>
    <t>7501065053121CC</t>
  </si>
  <si>
    <t>calcio, fosforo, vitaminas a y d - EMULSIÓN SCOTT (NARANJA) - 200 ml - GSK - OCT25</t>
  </si>
  <si>
    <t>7506022330635CC</t>
  </si>
  <si>
    <t>vit c, d3, jengibre, cúrcuma, beta glucano de levadura - PUNIC KIDS - jbe mango 250 ml -BIOLIFE - ENE26---</t>
  </si>
  <si>
    <t>7501563310436CC</t>
  </si>
  <si>
    <t>tetraciclina - BIOTRICINA - 10 tab - 250 mg - BIORESEARCH - NOV25---</t>
  </si>
  <si>
    <t>7501165006430CC</t>
  </si>
  <si>
    <t>Suspensión Antireflujo-MELOX NOCHE SUSP. frasco 360 ml - SANOFI - ENE26</t>
  </si>
  <si>
    <t>7502009746710CC</t>
  </si>
  <si>
    <t>piridostigmina - MONAXYL - 20 tab - 60 mg - MAVER - OCT25</t>
  </si>
  <si>
    <t>7502216796737CC</t>
  </si>
  <si>
    <t>pioglitazona - PIOGLITAZONA - 7 tab - 15 mg - ULTRA - NOV25</t>
  </si>
  <si>
    <t>7502268541095CC</t>
  </si>
  <si>
    <t>paracetamol-SALPIFAR-500mg, 10tab - PISA - SEP25---</t>
  </si>
  <si>
    <t>7501058793393CC</t>
  </si>
  <si>
    <t>7501300407061CC</t>
  </si>
  <si>
    <t>7501058623294CC</t>
  </si>
  <si>
    <t>7501033956133CC</t>
  </si>
  <si>
    <t>7502001037120CC</t>
  </si>
  <si>
    <t>furazolidona, caolin, pectina - FURADERKA OFERTA - susp 120 ml - .33 g, 20 g, 1.0 g/100 ml - EDERKA - AGO 25</t>
  </si>
  <si>
    <t>7502253600493CC</t>
  </si>
  <si>
    <t>7509546068602CC</t>
  </si>
  <si>
    <t>desodorante en barra-STEFANO STICK IMPERIAL 54GR-COLGATE PALMOLIVE - JUL25</t>
  </si>
  <si>
    <t>7501385495380CC</t>
  </si>
  <si>
    <t>claritromicina - CLARITROMICINA - 10 tab - 500 mg - HORMONA - OCT25---</t>
  </si>
  <si>
    <t>7501573906346CC</t>
  </si>
  <si>
    <t>cetirizina - RETIRIX - 100 mg/ 100 ml - frasco c/50 ml - BIOMEP - NOV25</t>
  </si>
  <si>
    <t>7501065095947CC</t>
  </si>
  <si>
    <t>CENTRUM SILVER+5O - 30 tab - GSK - DIC25</t>
  </si>
  <si>
    <t>7501065095978CC</t>
  </si>
  <si>
    <t>CENTRUM PERFORMANCE - 30 tab - GSK - DIC25</t>
  </si>
  <si>
    <t>4021447739687CC</t>
  </si>
  <si>
    <t>Apósito de fibra hidroactivo 10X10 cm - SUPRASORB - LOHMANN RAUSCHER - DIC25</t>
  </si>
  <si>
    <t>4021447930350CC</t>
  </si>
  <si>
    <t>Apósito de alginato de calcio +Plata - SUPRASORB A + Ag- 10 pzas-10x 10 cm - LOHMANN RAUSCHER - OCT25---</t>
  </si>
  <si>
    <t>7509546073743CC</t>
  </si>
  <si>
    <t>Antitranspirante- STEFANO BLACK LEGEND- 159 mL- COLGATE - NOV25</t>
  </si>
  <si>
    <t>JERINGA 10ML  20G X 32MM c/1 Pza AMBIDERM</t>
  </si>
  <si>
    <t>ZUMM AGUA OXIGENADA 110 ML</t>
  </si>
  <si>
    <t>TROXERUTINA/CUMARINA-VENALOT DEPOT -180/30MG. TAB C/30 -EUROFARMA</t>
  </si>
  <si>
    <t>PUNIC DUO PACK CAPSULAS</t>
  </si>
  <si>
    <t>7501349012172CC</t>
  </si>
  <si>
    <t>7502211783527CC</t>
  </si>
  <si>
    <t>azitromicina - SICALAN - susp 30 ml - 4 g/100 ml - LOEFFLER - DIC25</t>
  </si>
  <si>
    <t>7502211783527CCC</t>
  </si>
  <si>
    <t>azitromicina - SICALAN - susp 30 ml - 4 g/100 ml - LOEFFLER - AGO25</t>
  </si>
  <si>
    <t>7501385490521CCC</t>
  </si>
  <si>
    <t>amoxicillina - AMOXICILINA - 12 cap - 500 mg - HORMONA NOV25</t>
  </si>
  <si>
    <t>7501349012172CCC</t>
  </si>
  <si>
    <t>bencilpenicilina procaínica y cristalina - PENIPOT 400,000 UI - 1 amp iny - AMSA OCT25</t>
  </si>
  <si>
    <t>7502001163775CC</t>
  </si>
  <si>
    <t>amoxicilina, bromhexina - ACROXIL C - 12 cap - 500 mg/8 mg - SONS DIC</t>
  </si>
  <si>
    <t>7501349021594CC</t>
  </si>
  <si>
    <t>ampicilina - AMPICILINA - 20 tab - 500 mg - AMSA ENE 26</t>
  </si>
  <si>
    <t>7502009741050CC</t>
  </si>
  <si>
    <t>Cefaclor-FASICLOR *-Susp-250mg/75mL - MAVER NOV 25</t>
  </si>
  <si>
    <t>7502009745126CC</t>
  </si>
  <si>
    <t>cefuroxima - CEFAGEN - 10 tab - 500 mg - MAVER DIC 25</t>
  </si>
  <si>
    <t>7502227870228CC</t>
  </si>
  <si>
    <t>clindamicina - FOSHLENN - 16 cap - 300 mg - RAAM OCT 25</t>
  </si>
  <si>
    <t>650240015366CC</t>
  </si>
  <si>
    <t>cloruro de sodio - NASALUB AD - 30 ml - GENOMMA LAB OCT 25</t>
  </si>
  <si>
    <t>7502223112186CC</t>
  </si>
  <si>
    <t>guaifenesina, citrato de oxolamina - GUAXOQUIM - 60 ml - 2.5 g/1.25 g/100 ml - QUIMPHARMA-PA SEP 25</t>
  </si>
  <si>
    <t>7509546682471CC</t>
  </si>
  <si>
    <t>jabón de tocador - PALMOLIVE NATURALS - nutrición humectante - 120 g - COLGATE PALMOLIVE OCT 25</t>
  </si>
  <si>
    <t>7502225092479CC</t>
  </si>
  <si>
    <t>levofloxacino - CINA - 7 tab - 500 mg - LANDSTEINER SEP 25</t>
  </si>
  <si>
    <t>7501573900016CC</t>
  </si>
  <si>
    <t>metronidazol - MESSELDAZOL - 20 tab - 500 mg - BIOMEP NOV 25</t>
  </si>
  <si>
    <t>7503000422511CC</t>
  </si>
  <si>
    <t>trimetoprima/sulfametoxazol - BACTIVER - susp 120 ml - 200 mg, 40 mg/5 ml - MAVER DIC 25</t>
  </si>
  <si>
    <t>7509546690766CC</t>
  </si>
  <si>
    <t>jabón de tocador - (DIC 25)PALMOLIVE NATURALS - nutrición humectante - 100 g - COLGATE PALMOLIVE</t>
  </si>
  <si>
    <t>7509546063843CC</t>
  </si>
  <si>
    <t>antitranspirante en aerosol -OCT 25 LADY SPEED STICK POWDER FRESH - 150 ml - COLGATE-PALMOLIVE ---</t>
  </si>
  <si>
    <t>7502227879597CC</t>
  </si>
  <si>
    <t>oxitetraciclina SEP 25- TERVUTAN - 16 cap - 500 mg - RAAM -</t>
  </si>
  <si>
    <t>ELECTRODO ECG T815 Tela/Redondo Adulto Paq. c/50 Pzs. AMBIDERM---</t>
  </si>
  <si>
    <t>Ácido Undecilénico, Undecilenato de Zinc, Triclosán TING AEROSOL 80 g SANFER</t>
  </si>
  <si>
    <t>780083148584CC</t>
  </si>
  <si>
    <t>7503000422191CC</t>
  </si>
  <si>
    <t>cisaprida -(ENE 26) PRESISTÍN - 30 tab - 10 mg - MAVER</t>
  </si>
  <si>
    <t>7506306215689CC</t>
  </si>
  <si>
    <t>gel - EGO (ENE 26) CONTROL CAIDA ALFA - 200 ml - UNILEVER</t>
  </si>
  <si>
    <t>7501072300133CC</t>
  </si>
  <si>
    <t>Ácido undecilénico / Undecilenato de Zinc / (ENE 26) Triclosán-TING CREMA 28 g-SANFER</t>
  </si>
  <si>
    <t>7501088505607CC</t>
  </si>
  <si>
    <t>dexametasona-(ENE 26) ALIN-30 tab- 0.5mg  -CHINOIN---</t>
  </si>
  <si>
    <t>650240036385CC</t>
  </si>
  <si>
    <t>7506306249356CC</t>
  </si>
  <si>
    <t>VASELINE TARRO 42GR-UNILEVER (ENE26)</t>
  </si>
  <si>
    <t>354312225164CC</t>
  </si>
  <si>
    <t>vit A, D, E, oxido de zinc, alantoína - (FEB26)VITACILINA BEBE - 50 g - 500,000 ui/90,000 ui/1,000 ui/25 g/1 g - KSK---</t>
  </si>
  <si>
    <t>7502250340255CC</t>
  </si>
  <si>
    <t>vit A, D, E, oxido de zinc, alantoína -(FEB26) VITACILINA BEBE - 110 g - 500,000 ui/90,000 ui/1,000 ui/25 g/1 g - KSK-PA</t>
  </si>
  <si>
    <t>7502240451015CC</t>
  </si>
  <si>
    <t>Amantadina, Clorfenamina, Paracetamol- (FEB26)ROSEL GOTAS PEDIATRICAS 30ML-WERMAR</t>
  </si>
  <si>
    <t>7501471800265CC</t>
  </si>
  <si>
    <t>floroglucinol/trimetilfloroglucinol -(FEB26) PANCLASA - 20 cap - 80 mg/80 mg - ATLANTIS</t>
  </si>
  <si>
    <t>7506306247468CC</t>
  </si>
  <si>
    <t>gel - EGO FRESH -(FEB26) 200 ml - UNILEVER</t>
  </si>
  <si>
    <t>650240031502CC</t>
  </si>
  <si>
    <t>guaifenesina, dextrometorfano -(FEB26)TUKOL D INF - jbe 125 ml - 1 g/0.1 g - GENOMMA LAB</t>
  </si>
  <si>
    <t>7891317019747CC</t>
  </si>
  <si>
    <t>7501070612368CC</t>
  </si>
  <si>
    <t>neomicina, caolín, pectina - (FEB26)TREDA - 20 tab - 129 mg, 280 mg, 30 mg - SANFER</t>
  </si>
  <si>
    <t>650240017100CC</t>
  </si>
  <si>
    <t>paracetamol - (FEB26)XL3 VR - 24 tab - 50/3/375 mg - GENOMMA LAB</t>
  </si>
  <si>
    <t>7501065008473CC</t>
  </si>
  <si>
    <t>paracetamol, feniramina, fenilefrina-(FEB26)THERAFLU LIMÓN NOCHE-c/10 sobres - 650 mg/20 mg/10 mg-GSK</t>
  </si>
  <si>
    <t>7502211782483CC</t>
  </si>
  <si>
    <t>7501072310392CC</t>
  </si>
  <si>
    <t>7502009740213CC</t>
  </si>
  <si>
    <t>amoxicilina, ácido clavulánico -(MAR26)CLAMOXÍN - susp 60 ml -250 mg/62.5 mg/5 ml - MAVER</t>
  </si>
  <si>
    <t>3664798025705CC</t>
  </si>
  <si>
    <t>bacillus clausii - (MAR26) SINUBERASE 4B - 20 amp - 5 ml - SANOFI</t>
  </si>
  <si>
    <t>7501095409059CC</t>
  </si>
  <si>
    <t>benzocaína - GRANEODÍN B - (MAR26)MIEL-LIMÓN - 24 past - 10 mg - RECKITT BENCKISER</t>
  </si>
  <si>
    <t>7501573903246CC</t>
  </si>
  <si>
    <t>7501125175091CC</t>
  </si>
  <si>
    <t>ketorolaco - KETOROLACO -(MAR26) 6 tab sublinguales, 30 mg - SALUCOM</t>
  </si>
  <si>
    <t>7501943480001CC</t>
  </si>
  <si>
    <t>pañuelos desechables sella-pack - (MAR26)KLEENEX paq. ind - KIMBERLY-CLARK</t>
  </si>
  <si>
    <t>20800753067CC</t>
  </si>
  <si>
    <t>subsalicilato de bismuto -(MAR26)PEPTO BISMOL - susp 118 ml - 1.75 g/100 ml - P&amp;G</t>
  </si>
  <si>
    <t>7501258215640CC</t>
  </si>
  <si>
    <t>tadalafil - TADALAFIL(MAR26) - 1 tab - 20 mg - SERRAL---</t>
  </si>
  <si>
    <t>7501020680461CC</t>
  </si>
  <si>
    <t>ZUMM AGUA OXIGENADA 110 ML (MAR26)</t>
  </si>
  <si>
    <t>650240007651CC</t>
  </si>
  <si>
    <t>7503001007069CC</t>
  </si>
  <si>
    <t>amoxicilina susp - (ENE26)VANDIX - 75 ml - 250 mg/5 ml - WANDEL</t>
  </si>
  <si>
    <t>785118753955CC</t>
  </si>
  <si>
    <t>sildenafil - FIGRAL(ENE26) - 10 tab - 50 mg - MAVI</t>
  </si>
  <si>
    <t>7502211781059CC</t>
  </si>
  <si>
    <t>7502009740374CC</t>
  </si>
  <si>
    <t>clotrimazol - TENESCAN V (ENE26)- crema 2 %, tubo 20 g - 3 aplicadores - MAVER</t>
  </si>
  <si>
    <t>650240036378CC</t>
  </si>
  <si>
    <t>guaifenesina, dextrometorfano - (ENE26)TUKOL-D MIEL AD - 120 ml - GENOMMA</t>
  </si>
  <si>
    <t>7501478316189CC</t>
  </si>
  <si>
    <t>acido folico, DHA, suplem alimenticio-(FEB26)VITAFOLE-VITAE</t>
  </si>
  <si>
    <t>7502208891235CC</t>
  </si>
  <si>
    <t>ceftriaxona -(FEB26)TRIXONA I.M. INY - 500 mg - BRULUAGSA</t>
  </si>
  <si>
    <t>7502305940003CC</t>
  </si>
  <si>
    <t>condón - (FEB26) MAX FORT SENSIBLE - C/3 pzas-MAX FORT</t>
  </si>
  <si>
    <t>LUBRIDERM PIEL NORMAL HUMECTACIÓN DIARIA 200ML JOHNSON &amp; JOHNSON</t>
  </si>
  <si>
    <t>KETOROLACO SUBLINGUAL 4 TAB 30 MG BE ADVANCE---</t>
  </si>
  <si>
    <t>7502001160385CC</t>
  </si>
  <si>
    <t>paracetamol - SON´S PIRAL PEDIÁTRICO - jbe 120 ml - 3.2 g/100 ml - SONS-AGO 25</t>
  </si>
  <si>
    <t>7502253073211CC</t>
  </si>
  <si>
    <t>Clorhidrato de difenhidramina Nytol 8 Tableta 50mg ASPEN---OCT25</t>
  </si>
  <si>
    <t>7502213042325CC</t>
  </si>
  <si>
    <t>Nitrofurantoina-TERFHICID 40 CAPS 100 MG-FARMA HISP NOV 25</t>
  </si>
  <si>
    <t>7501064560163CC</t>
  </si>
  <si>
    <t>IODEX CRISTAL - ungüento - fco c/60 g - GSK ENE 26</t>
  </si>
  <si>
    <t>7501058715517CC</t>
  </si>
  <si>
    <t>benzocaína - GRANEODIN B -(ENE26) Menta Eucalipto - 24 pastillas - 10 mg - RECKITT BENCKISER</t>
  </si>
  <si>
    <t>300090275051CC</t>
  </si>
  <si>
    <t>medroxiprogesterona - (ENE26)DEPO-PROVERA INY - 150 mg/ml - PFIZER</t>
  </si>
  <si>
    <t>7501258208000CC</t>
  </si>
  <si>
    <t>7502009745409CC</t>
  </si>
  <si>
    <t>ambroxol, oxeladina -(FEB26) SIRACUX INF - jbe 120 ml - 0.115 g/0.1 g - MAVER</t>
  </si>
  <si>
    <t>75036508CC</t>
  </si>
  <si>
    <t>desodorante antitranspirante roll on - (FEB26) SPEED STICK XTREME NIGHT - 1 pza - 30 ml - COLGATE-PALMOLIVE</t>
  </si>
  <si>
    <t>7502211784241CC</t>
  </si>
  <si>
    <t>7501058715494CC</t>
  </si>
  <si>
    <t>7502001167254CC</t>
  </si>
  <si>
    <t>progesterona-(FEB26) ANNEMS GEL 1G/100G TUBO C 80G-SONS</t>
  </si>
  <si>
    <t>SENSODYNE ORIGINAL Crema Dental Tubo c/ 90 G.</t>
  </si>
  <si>
    <t>Clotrimazol CANESTEN-V 3 DÍas 2% TUBO c/20 G. y 3 Aplics BAYER---</t>
  </si>
  <si>
    <t>AMPICILINA 1 FA 500MG/2 ML AMSA</t>
  </si>
  <si>
    <t>Simeticona, Metoclopramida ESPAVEN MD 40/10MG. CAP C/20 *GRM**</t>
  </si>
  <si>
    <t>KLARICID IV 500MG---</t>
  </si>
  <si>
    <t>MERONNY Sol. Iny. c/1 FCO. AMP. 500 MG.-AUROVIDA---</t>
  </si>
  <si>
    <t>Tadalafil SAII 4 TAB 20 MG MAVER</t>
  </si>
  <si>
    <t>IMPUESTOS</t>
  </si>
  <si>
    <t>UNITARIO BRUTO</t>
  </si>
  <si>
    <t>TOTAL BRUTO</t>
  </si>
  <si>
    <t>REPARTO</t>
  </si>
  <si>
    <t>28 COSMETICS</t>
  </si>
  <si>
    <t>ALEJANDRO MARTINEZ PONCE</t>
  </si>
  <si>
    <t>Alejandro Villagomez Castro</t>
  </si>
  <si>
    <t>BRONCOLIN</t>
  </si>
  <si>
    <t>BRUDIFARMA</t>
  </si>
  <si>
    <t>CARLOS ANTONIO ZUÑIGA ORTEGA</t>
  </si>
  <si>
    <t>CETUS FARMACEUTICA</t>
  </si>
  <si>
    <t>COMERCIAL G.F.C.</t>
  </si>
  <si>
    <t>COMERCIALIZADORA COYOQUIMEX DEL BAJIO</t>
  </si>
  <si>
    <t>COMERCIALIZADORA DIBAR</t>
  </si>
  <si>
    <t>CORPORACION NACIONAL DE ABASTO FARMACEUTICOS</t>
  </si>
  <si>
    <t>Cristobal Mendoza Lopez</t>
  </si>
  <si>
    <t>DENTILAB</t>
  </si>
  <si>
    <t>DIANA ALEJANDRA GUZMAN MIRANDA</t>
  </si>
  <si>
    <t>DIFARMER</t>
  </si>
  <si>
    <t>DISAGS FARMACEUTICA</t>
  </si>
  <si>
    <t>DISTRIBUCION FARMACEUTICA YALESA</t>
  </si>
  <si>
    <t>DISTRIBUCIONES MDMX GDL</t>
  </si>
  <si>
    <t>DISTRIBUIDORA BIOLIFE</t>
  </si>
  <si>
    <t>DISTRIBUIDORA FARMACEUTICA CALDERON</t>
  </si>
  <si>
    <t>Dylan Villagomez Johnson</t>
  </si>
  <si>
    <t>EMANUEL ATAI REYES LEWIS</t>
  </si>
  <si>
    <t>Ecatepec</t>
  </si>
  <si>
    <t>FARMA CRÜE</t>
  </si>
  <si>
    <t>FARMA GENEX</t>
  </si>
  <si>
    <t>FARMACEUTICOS TENORIO</t>
  </si>
  <si>
    <t>FARMACOS NACIONALES</t>
  </si>
  <si>
    <t>FARMAFOR</t>
  </si>
  <si>
    <t>FARMALIVE</t>
  </si>
  <si>
    <t>GANGAFARMA</t>
  </si>
  <si>
    <t>GUILLERMO ESPIRIDION DIAZ LOPEZ</t>
  </si>
  <si>
    <t>Guillermo Andre Ramirez Alvarez</t>
  </si>
  <si>
    <t>HALOMEDIC DE MEXICO</t>
  </si>
  <si>
    <t>IMPULSORA SAHUAYO</t>
  </si>
  <si>
    <t>INSUMOS PARA LA SALUD ROSARIO</t>
  </si>
  <si>
    <t>Iztapalapa F35</t>
  </si>
  <si>
    <t>Iztapalapa F37</t>
  </si>
  <si>
    <t>Iztapalapa GH</t>
  </si>
  <si>
    <t>Jose Luis Cervantes</t>
  </si>
  <si>
    <t>LEVIC</t>
  </si>
  <si>
    <t>LOEFFLER</t>
  </si>
  <si>
    <t>LORENA ALVARADO TORREZ</t>
  </si>
  <si>
    <t>Luis Ortíz Lopez</t>
  </si>
  <si>
    <t>MARIO ENRIQUE LOPEZ CASTRO</t>
  </si>
  <si>
    <t>MEDICINAS ULTRA</t>
  </si>
  <si>
    <t>MEDITEC FARMA</t>
  </si>
  <si>
    <t>MOEDANOS OTC</t>
  </si>
  <si>
    <t>Miguel Angel Reyes Paniagua</t>
  </si>
  <si>
    <t>Miriam Moreno Martínez</t>
  </si>
  <si>
    <t>NADRO</t>
  </si>
  <si>
    <t>Oscar Hernandez Aparicio</t>
  </si>
  <si>
    <t>Osman Rogelio Diaz</t>
  </si>
  <si>
    <t>PHARMA AMIGO</t>
  </si>
  <si>
    <t>REPRESENTACIONES JMP MEXICO</t>
  </si>
  <si>
    <t>SANAMEX</t>
  </si>
  <si>
    <t>SON S PHARMA</t>
  </si>
  <si>
    <t>San Vicente</t>
  </si>
  <si>
    <t>Sandra Esmeralda Reyes Ramirez</t>
  </si>
  <si>
    <t>TIENDAS SORIANA</t>
  </si>
  <si>
    <t>Vivian Sofia Barrera Muñoz</t>
  </si>
  <si>
    <t>WERMAR PHARMACEUTICALS</t>
  </si>
  <si>
    <t>YESSICA GOMEZ MERCADO</t>
  </si>
  <si>
    <t>jopo@odoo.com</t>
  </si>
  <si>
    <t>marcobz_qfb@outlook.com</t>
  </si>
  <si>
    <t>rh@sanamex.com.mx</t>
  </si>
  <si>
    <t>sandrareyesramirez@gmail.com</t>
  </si>
  <si>
    <t>Pago inmediato</t>
  </si>
  <si>
    <t>15 días</t>
  </si>
  <si>
    <t>21 días</t>
  </si>
  <si>
    <t>30 días</t>
  </si>
  <si>
    <t>45 días</t>
  </si>
  <si>
    <t>Fin del siguiente mes</t>
  </si>
  <si>
    <t>10 días después del fin del siguiente mes</t>
  </si>
  <si>
    <t>30% ahora, el resto en 60 días</t>
  </si>
  <si>
    <t>2/7 neto 30</t>
  </si>
  <si>
    <t>90 días, en el día 10</t>
  </si>
  <si>
    <t>13 días</t>
  </si>
  <si>
    <t>7 días</t>
  </si>
  <si>
    <t>60 días</t>
  </si>
  <si>
    <t>CEDIS IZTAPALAPA GH</t>
  </si>
  <si>
    <t>CEDIS San Vicente</t>
  </si>
  <si>
    <t>TAMSULON, UPROSOL, SECOTEX, HIPEBE, FEDROS</t>
  </si>
  <si>
    <t>clindamicina - INDACIL - 16 cap - 300 mg - MAVER</t>
  </si>
  <si>
    <t>Rimantadina - GABIROL - 14 Caps - 100mg -CHINOIN---</t>
  </si>
  <si>
    <t>ambroxol - CLOXAN - 20 comp - 30 mg - BIOMEP-*FB*</t>
  </si>
  <si>
    <t>ESTERICIDE- Solución antiséptica- 75 g - ESTERIPHARMA---</t>
  </si>
  <si>
    <t>loratadina, betametasona - ERISPAN COMPUESTO - 20 tab - 5 mg/0.25 mg - MAVER---</t>
  </si>
  <si>
    <t>propranolol - PROCHOR - 30 tab - 40 mg - APOTEX</t>
  </si>
  <si>
    <t>BOTIQUIN PRIMEROS AUXILIOS CAJA C/22 PRODUCTOS-JALOMA---</t>
  </si>
  <si>
    <t>naproxeno-BRUPROXEN 500MG c 10 tabs-BRULUART</t>
  </si>
  <si>
    <t>ACEMETACINA c/14 CAPS. L.P. 90 MG- ULTRA</t>
  </si>
  <si>
    <t>Cloropiramina - AVAPENA  INY 5 AMP 20MG/2ML- SANDOZ</t>
  </si>
  <si>
    <t>Hioscina, Metamizol Sódico - NEOSEDAL DUO - c/3 amptas 5 ml - 20 mg - 2.5 g/5 ml - LOEFFLER - AGO25---</t>
  </si>
  <si>
    <t>hiedra helix - (MAY26)PANOTO-S - jbe 100 ml - 0.7 g - SIEGFRIED RHEIN -</t>
  </si>
  <si>
    <t>paracetamol, fenilefrina, carbinoxamina - (ABR26)TEMPRA 24 H - 24 tab - 400 mg/20 mg/4 mg - Reckitt Benckiser -</t>
  </si>
  <si>
    <t>Amantadina, clorfenamina, paracetamol(MAR26)-AMPIGRIN PFC PEDIÁTRICO- Sol-2.5, 0.1, 15 g/100 mL - COLLINS</t>
  </si>
  <si>
    <t>GRANEODIN F MIEL/LIMON -(MAY26) flurbiprofeno - caja 16 pastillas - 8.75 mg - RECKITT BENCKISER</t>
  </si>
  <si>
    <t>LOSARTÁN c/15 TABS. 100 MG ULTRA---</t>
  </si>
  <si>
    <t>SITAGLIPTINA c/28 TABS. 100 MG CAMBER---</t>
  </si>
  <si>
    <t>Tadalafil CHRISALE 20MG 2X1 Tab c/8 ULTRA---</t>
  </si>
  <si>
    <t>7501095409004CC</t>
  </si>
  <si>
    <t>780083139759CC</t>
  </si>
  <si>
    <t>7501328979496CC</t>
  </si>
  <si>
    <t>dextrometorfeno, ambroxol -(ABR26) HISTIACIL NF INFANTIL - jbe c/150 ml - SANOFI</t>
  </si>
  <si>
    <t>785120755046CC</t>
  </si>
  <si>
    <t>ketorolaco, tramadol -(ABR26) MAVIDOL TR - iny 3 amp - 10 mg-25 mg/1 ml - MAVI</t>
  </si>
  <si>
    <t>780083139575CC</t>
  </si>
  <si>
    <t>meclozina, piridoxina, lidocaína -(ABR26)BONAZIN INY - 1 amp - 25 mg/50 mg/20 mg /1 ml - COLLINS</t>
  </si>
  <si>
    <t>7501058792792CC</t>
  </si>
  <si>
    <t>7501326004176CC</t>
  </si>
  <si>
    <t>sitagliptina, metformina - (ABR26)JANUMET - caja c/28 comp - 50 mg/850 mg - MERCK</t>
  </si>
  <si>
    <t>7501298221823CC</t>
  </si>
  <si>
    <t>7501070903497CC</t>
  </si>
  <si>
    <t>Trimebutina (ABR26)LIBERTRIM 100MG COMP C/20 CARNOT</t>
  </si>
  <si>
    <t>650240013805CC</t>
  </si>
  <si>
    <t>7501159580182CC</t>
  </si>
  <si>
    <t>bacilus clausii -(MAY26)SINUBERASE 2B - 10 amp - 5 ml - SANOFI</t>
  </si>
  <si>
    <t>7501328980119CC</t>
  </si>
  <si>
    <t>650240010712CC</t>
  </si>
  <si>
    <t>7501318612655CC</t>
  </si>
  <si>
    <t>ácido acetilsalicílico -(MAY26) ASPIRINA PROTEC - 28 tab -100 mg - BAYER</t>
  </si>
  <si>
    <t>7501868941007CC</t>
  </si>
  <si>
    <t>SOLUCION CS Sol. Iny. al 0.9% Plasco 250 ML PISA---</t>
  </si>
  <si>
    <t>CLORURO SÓDICA Sol. Iny. 0.9% Fco. 500 ML-FRESENIUS</t>
  </si>
  <si>
    <t>METOCLOPRAMIDA  Sol. Iny. c/6 AMPTAS. 10 MG/2 ML NEOLPHARMA---</t>
  </si>
  <si>
    <t>MONTELUKAST c/30 TABS. 10 MG. NEOLPHARMA---</t>
  </si>
  <si>
    <t>Difenidol VONTROL LP c/10 TABS. Lib. Prolongada. 100 MG SANFER</t>
  </si>
  <si>
    <t>SOLUC. DX-5 (GLUCOSA) 50ML. PISA---</t>
  </si>
  <si>
    <t>BONADOXINA SOLUCIÓN INYECTABLE 25 MG. C/5</t>
  </si>
  <si>
    <t>BUSCAPINA DUO 10/500MG</t>
  </si>
  <si>
    <t>7501349022515CC</t>
  </si>
  <si>
    <t>cefotoxima sódica - CEFOTAXIMA - iny 1 amp - 4 ml /1 gr - AMSA (MAR26)</t>
  </si>
  <si>
    <t>7501125100130CC</t>
  </si>
  <si>
    <t>SOLUCIÓN CS (CLORURO DE SODIO) - 1000 ml - 0.9 % iny - PISA (MAR26)</t>
  </si>
  <si>
    <t>7503001007137CC</t>
  </si>
  <si>
    <t>ampicilina - MEXAPIN - susp 60 ml - 250 mg/5 ml - WANDEL (MAR26)</t>
  </si>
  <si>
    <t>7501298217659CC</t>
  </si>
  <si>
    <t>complejo B, diclofenaco - DOLO NEUROBIÓN Doble Cám - Iny 3 jeringas - MERCK (MAR26)</t>
  </si>
  <si>
    <t>7503001007090CC</t>
  </si>
  <si>
    <t>dicloxacilina - AMIFARIN - susp 60 ml - 250 mg/5 ml - WADNDEL (MAR26)</t>
  </si>
  <si>
    <t>7502259891468CC</t>
  </si>
  <si>
    <t>aciclovir - CICLOFERON - crema 2 g - 5 % - LIOMONT</t>
  </si>
  <si>
    <t>vit c, d3, jengibre, cúrcuma, beta glucano de levadura - PUNIC KIDS DUO PACK- jbe mango 250 ml - 70 mg/3 mg/33.33 mg/15 mg - BIOLIFE---</t>
  </si>
  <si>
    <t>PREGABALINA c/28 CAPS. 150 MG. AMSA---</t>
  </si>
  <si>
    <t>Amoxicilina- DIMOPEN -12 cáps-500mg - BRULUAGSA---</t>
  </si>
  <si>
    <t>AMOXIL, AMOXIBRON, PENAMOX, AMOBAY, DIMOPEN, GIMALXINA, VANDIX, MOXPHARMA, ORMOCYN T5</t>
  </si>
  <si>
    <t>Omeprazol-AGRIXAL*-28 cáps-20mg -  BRULUAGSA ---</t>
  </si>
  <si>
    <t>Ketorolaco-BRUNACOL - 10 Tabs 10 mg-BRULUART---</t>
  </si>
  <si>
    <t xml:space="preserve">voydol </t>
  </si>
  <si>
    <t>hidroxido de aluminio, magnesio, simeticona - MELOX PLUS MENTA - 30 tab masticables - 200 mg/ 200 mg/ 25 mg - SANOFI---</t>
  </si>
  <si>
    <t>sildenafil - OSIDEA 2X1 - 4 tab c/u - 100 mg c/u - AVIVIA---</t>
  </si>
  <si>
    <t>Metamizol Sódico WESTEPIRON c/10 TABS. 500 MG BRULUART---</t>
  </si>
  <si>
    <t>levonorgestrel - LADIADES - 1 tab - 1.5 mg - ULTRA</t>
  </si>
  <si>
    <t>Amoxicilina, ácido clavulánico- CLAVIPEN- Susp 6o mL-250-62.5 mg/5 mL-BRULUAGSA ---</t>
  </si>
  <si>
    <t>clonixinato de lisina, pargeverina - FIRAC PLUS - 20 tab - 125 mg/10 mg - GROSSMAN</t>
  </si>
  <si>
    <t>GUANTE NITRILO NEGRO TALLA MED -no esteril-DL MEDICA</t>
  </si>
  <si>
    <t>subsalicilato de bismuto - DACLAFIN - susp 120 ml - 262.5 mg/15 ml - DACLAF</t>
  </si>
  <si>
    <t>PEPTO BISMOL, SIPAROX, GASTRO ALIV</t>
  </si>
  <si>
    <t>IV</t>
  </si>
  <si>
    <t>azatioprina - DEXMITRON - 50 tab - 50 mg - RAAM</t>
  </si>
  <si>
    <t>omega 3, tirosina, metionina, vitamina c - GLUTAMAX GOLD - 60 grag - 60 mg/15 mg/15 mg/60 mg  - CMD---</t>
  </si>
  <si>
    <t>NAN 3 - 400 g - NESTLÉ - FEB26</t>
  </si>
  <si>
    <t>guaifesina, dextrometorfano - (MAR 26) TUKOL D MIEL INF - jbe 120 ml - 1 g/0.1 g - GENOMMA LAB</t>
  </si>
  <si>
    <t>Lidocaina, Polidocanol-(MAR26) NENE-DENT PEDIAT. 3.4/3.2mg/1 g, GEL 10 g-EUROFARMA</t>
  </si>
  <si>
    <t>benzocaína - (JUN26)GRANEODÍN B - frambuesa 24 pastillas -10 mg - RECKITT BENCKISER</t>
  </si>
  <si>
    <t>furazolidona - (JUN26)DIALGIN - susp 120 ml - COLLINS</t>
  </si>
  <si>
    <t>Paracetamol, fenilefrina, carbinoxamina-(JUL26)TEMPRA 24 HRS*-12 tabs-400/20/4 mg- Reckitt Benckiser</t>
  </si>
  <si>
    <t>GLICERINA PURA 50ML-DIBAR(JUN26)</t>
  </si>
  <si>
    <t>unesia</t>
  </si>
  <si>
    <t>7501349029200CC</t>
  </si>
  <si>
    <t>electrolitos orales-SOLURAL MANDARINA-NARANJA 1 PZA 500 ML FEB-26</t>
  </si>
  <si>
    <t>7509546073767CC</t>
  </si>
  <si>
    <t>Antitranspirante- STEFANO BLACK- 159 mL- COLGATE MAR-26</t>
  </si>
  <si>
    <t>7509546064697CC</t>
  </si>
  <si>
    <t>desodorante en aerosol p/hombre - STEFANO PLAY - 159 ml - COLGATE-PALMOLIVE ---MAR-26</t>
  </si>
  <si>
    <t>MARELIFG101CC</t>
  </si>
  <si>
    <t>LIMAS FLEXIBLES - 1 caja c/100 limas - MISS ARELI---(MAR26)</t>
  </si>
  <si>
    <t>7501547503168CC</t>
  </si>
  <si>
    <t>7509546060477CC</t>
  </si>
  <si>
    <t>LADY SPEED STICK POWDER FRESH 50ML MAY26</t>
  </si>
  <si>
    <t>7502216805118CC</t>
  </si>
  <si>
    <t>topiramato - TOPIRAMATO - 20 tab - 25 mg - AVIVIA MAY26</t>
  </si>
  <si>
    <t>7501125195105CC</t>
  </si>
  <si>
    <t>cefuroxima - CEFUROXIMA INY - 1 amp - 750 mg/5 ml - AMSA JUN26</t>
  </si>
  <si>
    <t>7502009746321CC</t>
  </si>
  <si>
    <t>7560223314344CC</t>
  </si>
  <si>
    <t>PUNIC DUO PACK CAPSULAS ABR-26</t>
  </si>
  <si>
    <t>7506022331441CC</t>
  </si>
  <si>
    <t>vit c, d3, jengibre, cúrcuma, beta glucano de levadura - PUNIC KIDS DUO PACK- jbe mango 250 ml - 70 mg/3 mg/33.33 mg/15 mg - BIOLIFE--- ABR-26</t>
  </si>
  <si>
    <t>7502216808171CC</t>
  </si>
  <si>
    <t>7501094910570CC</t>
  </si>
  <si>
    <t>benzonatato - TESALON AD PERLAS  - 20 cap -100 mg - GKS JUN-26</t>
  </si>
  <si>
    <t>7502211781189CC</t>
  </si>
  <si>
    <t>650240024931CC</t>
  </si>
  <si>
    <t>ruscus a., lactobacillus s., á. ascórbico - NIKZON - 40 tab masticables - 2 mg, 8.3 mg, 40 mg - GENOMMA LAB JUL-26</t>
  </si>
  <si>
    <t>7501836002969CC</t>
  </si>
  <si>
    <t>ROSUVASTATINA 10MG CAMBER</t>
  </si>
  <si>
    <t>OLANZAPINA 14 TAB 10 MG ULTRA</t>
  </si>
  <si>
    <t>GASA ESTERILIZADA 10X10CM JALOMA Caja c/100</t>
  </si>
  <si>
    <t>QUIRMEX Compresa Para Vientre 70X45Cm 6 Compresas (NO ESTERIL)</t>
  </si>
  <si>
    <t>amoxicilina, ácido clavulánico - CLAMOXÍN - 12 tab - 500 mg/125 mg - MAVER</t>
  </si>
  <si>
    <t xml:space="preserve">CODIGO </t>
  </si>
  <si>
    <t>MULTIPLO DE COMPRA</t>
  </si>
  <si>
    <t>SUCURSAL DESTINO</t>
  </si>
  <si>
    <t xml:space="preserve">CLASE DE MOVIMIENTO </t>
  </si>
  <si>
    <t>PROVEEDOR</t>
  </si>
  <si>
    <t xml:space="preserve">FECHA DE PEDIDO </t>
  </si>
  <si>
    <t>No. DE ORDEN DE COMPRA</t>
  </si>
  <si>
    <t xml:space="preserve">CONDICION DE PAGO </t>
  </si>
  <si>
    <t>FACTOR</t>
  </si>
  <si>
    <t>CLASE DE MOVIMIENTO</t>
  </si>
  <si>
    <t>SANFER</t>
  </si>
  <si>
    <t>FOLIO COTIZACIÓN</t>
  </si>
  <si>
    <t>PRECIO MXN</t>
  </si>
  <si>
    <t>dexametasona/neomicina/fenilefrina - DEXNE NASAL - sol 1 mg/3.5mg/2.5 mg /1 ml - OFFENBACH - flyer</t>
  </si>
  <si>
    <t>vitaminas/minerales - GELCAVIT 9m - 30 cap - 1.59 g c/u - PHARMACAPS-PA</t>
  </si>
  <si>
    <t>ambroxol/levodropropizina - DIZOLVIN FLUX - sol 120 ml - 300/600 mg/100 ml - RAYERE</t>
  </si>
  <si>
    <t>sulfametoxazol/trimetoprima - BACTIVER - 14 tab - 800/160 mg - MAVER</t>
  </si>
  <si>
    <t>paracetamol/naproxeno - BRAX - 10 tab - 300/275 mg - BIOMEP</t>
  </si>
  <si>
    <t>amoxicilina/ácido clavulánico - CLAMOXÍN 12 H JR - susp 50 ml - 400/57 mg/5 ml - MAVER</t>
  </si>
  <si>
    <t>dexametasona/neomicina/lidocaína - DEXNE ÓTICO - sol 10 ml -1 mg/3.5 mg/15 mg - OFFENBACH</t>
  </si>
  <si>
    <t>metoclopramida - DIRPASID - 10 mg - 20 tabs - BRULUAGSA</t>
  </si>
  <si>
    <t>CARNOTPRIM, CIRULA, CONYSMIN, BIOPRAM, DIRPASID</t>
  </si>
  <si>
    <t>paracetamol/amantadina/clorfenamina - ROSEL - 24 cap - 50/3/300 mg - WERMAR</t>
  </si>
  <si>
    <t>paracetamol/amantadina/clorfenamina - ROSEL INF - sol 60 ml - 3 g/0.5 g/0.02 g/100 ml - WERMAR</t>
  </si>
  <si>
    <t>paracetamol/amantadina/clorfenamina - ROSEL T - 15 tab - 50 mg/3 mg/300 mg - WERMAR</t>
  </si>
  <si>
    <t>trimetoprima/sulfametoxazol - SOLTRIM - 14 tab 800/160 mg -BRULUART</t>
  </si>
  <si>
    <t>paracetamol/fenilef/clorf/dextro - XL3 XTRA - 12 cap - 250/5/2/10 mg - GENOMMA LAB</t>
  </si>
  <si>
    <t>telmisartán/hidroclorotiazida - ARCHER COMPUESTO - 14 tab - 80/12.5 mg - MAVER</t>
  </si>
  <si>
    <t>pancreatina/dimeticona/bilis de buey/celulasa - ESPAVÉN ENZIMÁTICO - 50 tab - VALEANT</t>
  </si>
  <si>
    <t>ceftriaxona disódica - AMCEF IM - Iny 1 g/3.5 ml - AMSA</t>
  </si>
  <si>
    <t>paracetamol/clorfenamina/fenilefrina - CONTACT ULTRA - 12 tab - 500/5/2 mg - GSK</t>
  </si>
  <si>
    <t>diclofenaco/complejo B - ALLI TRIPLE - 6 tab - GENOMMA LAB</t>
  </si>
  <si>
    <t>VIOLETA DE GENCIANA - 40 ml c/aplicador - JALOMA</t>
  </si>
  <si>
    <t>subsalicilato de bismuto/hidróx. de mg/carbonato de calcio - ESTOMAQUIL - c/20 sobres - 0.3 g/1.1 g/1.6 g - LAHIG</t>
  </si>
  <si>
    <t>cefalexina/bromhexina - CEPOBROM - susp 100 ml -  250 mg - 4.39 mg/5 ml - MAVER</t>
  </si>
  <si>
    <t>amoxicilina susp -  DIMOPEN - 500 mg/ 5 ml - BRULUAGSA</t>
  </si>
  <si>
    <t>oximetazolina - AFRIN ADULTO - sol. nasal 20 ml - 0.050% - BAYER</t>
  </si>
  <si>
    <t>vildagliptina/metformina - VILDAGLIPTINA/METFORMINA - 60 comp - 50/850 mg - ULTRA</t>
  </si>
  <si>
    <t>pañuelos desechables sella-pack - KLEENEX - paq ind - KIMBERLY-CLARK</t>
  </si>
  <si>
    <t>paracetamol/feniramina/fenilefrina -THERAFLU LIMÓN NOCHE - c/10 sobres - 650/20/10 mg - GSK</t>
  </si>
  <si>
    <t>amantadina/clorfenamina/paracetamol - ROSEL GOT PED - 30 ml - WERMAR</t>
  </si>
  <si>
    <t>AGUA OXIGENADA - 448 ml - JALOMA</t>
  </si>
  <si>
    <t>paracetamol/dextro/doxilamina/fenilefrina - TABCIN NOCHE - 12 cap - BAYER</t>
  </si>
  <si>
    <t>BICARBONATO DE SODIO PURO - 100 g - DIBAR</t>
  </si>
  <si>
    <t>alcohol polivinilico - LUBRIK - sol oft 15 ml - 14 mg/ml - GRIN</t>
  </si>
  <si>
    <t>sol. cloruro de benzalconio - MERTODOL BLANCO - 40 ml - JALOMA</t>
  </si>
  <si>
    <t>AGUA INYECTABLE ESTERIL (uso excusivo irrigacion) - 500 ml - PISA</t>
  </si>
  <si>
    <t>CREMA PONDS CLARANT B3 SECA - 50 gr - UNILEVER</t>
  </si>
  <si>
    <t>dextrometorfano/guaifenesina -TROMEFEN INF - Jbe 120 ml - 100-1500 mg/100ml - BIOMEP</t>
  </si>
  <si>
    <t>AGUA INYECTABLE ESTERIL (exclusivo irrigacion) - 1000 ml - PISA</t>
  </si>
  <si>
    <t>RIVAROXABAN - 28 comp - 20 mg - MAVER</t>
  </si>
  <si>
    <t>CEPILLO DENTAL EXTRA CLEAN TAPETE c/12 - COLGATE</t>
  </si>
  <si>
    <t>hioscina/ibuprofeno - REALDRAX MXD - 10 tab - 20/400 mg - LIFERPAL</t>
  </si>
  <si>
    <t>telmisartán - TELMISARTÁN - 28 tab, 40 mg -AMSA</t>
  </si>
  <si>
    <t>DROPROPIZINA/BROMHEXINA - Infantil fco. 200 ml - 150-80 mg/100 ml - MAVER</t>
  </si>
  <si>
    <t>acetona - ACETONA - 1 fco - 60 ml - JALOMA</t>
  </si>
  <si>
    <t>VASO RECOLECTOR ESTERIL - 100 ml - DIBAR</t>
  </si>
  <si>
    <t>ENVASE ROSCADO ESTERIL (VASO COPRO) - 100 ml - QUALITY INJECTION</t>
  </si>
  <si>
    <t>amoxicilina/ácido clavulánico - CLAVIPEN - 15 tab 500/125 mg - BRULUAGSA</t>
  </si>
  <si>
    <t>metronidazol - KABIZOL Sol. Iny. - 0.5% - envase 100 ml - FRESENIUS ---</t>
  </si>
  <si>
    <t>captopril - BRUCAP - 30 TABS - 25 MG - BRULUART</t>
  </si>
  <si>
    <t>Latanoprost 50 mcg-LATANOPROST Solucion Oftalmica 3 ml-PHARMACOS EXAKTA</t>
  </si>
  <si>
    <t>citalopram-ASILOX 20MG TAB C/28 *AUR*</t>
  </si>
  <si>
    <t>quinfamida/albendazol - LO-BRUQUIN - 200/150 mg - 2 tabs - BRULUAGSA</t>
  </si>
  <si>
    <t>Ibuprofeno - AFLENO - 10 tab / 400 mg - BRULUAGSA</t>
  </si>
  <si>
    <t>paracetamol - PORTEM - 10 tab 750 mg - BRULUAGSA</t>
  </si>
  <si>
    <t>glucosa 50% - SOLUCION DX-50 FLEXOVAL - 50 ml - PISA</t>
  </si>
  <si>
    <t>glucosa 10% - SOLUCION DX-10 FLEXOVAL - 500 ml - PISA</t>
  </si>
  <si>
    <t>dexametasona sol iny - ALIN DEPOT - 2 amp - 4 mg/ml - CHINOIN</t>
  </si>
  <si>
    <t>clorhidrato de tetracaína - PONTI OFTENO GOTAS - sol 5 mg/ ml - fco 10 ml - SOPHIA</t>
  </si>
  <si>
    <t>trinitrato de glicerilo - CARDINIT - 7 parches - 5 mg/dia - ABBOTT</t>
  </si>
  <si>
    <t>soln oftalmica lubricante - EYESTIL - fco got 10 ml - SIFI</t>
  </si>
  <si>
    <t>dinitrato de isosorbida - ISORBID - 40 tab - 5 mg - ARMSTRONG</t>
  </si>
  <si>
    <t>alcanfor/capsaicina/mentol/salicilato de metilo - LUMBOXEN - bolsa 1 parche - MAVER</t>
  </si>
  <si>
    <t>TALCO LOTRIMIN PREVENT - 80 g - BAYER</t>
  </si>
  <si>
    <t>sildenafil - VOGUEL - 10 tab - 100 mg - MAVER</t>
  </si>
  <si>
    <t>sildenafil - ACTIRAAM - 10 tab - 50 mg - RAAM</t>
  </si>
  <si>
    <t>amoxicilina/ácido clavulánico - CLAMOXÍN - 10 tab - 500/125 mg - MAVER</t>
  </si>
  <si>
    <t>tramadol - TRAMADOL INY - 5 amp - 100 mg/2 ml - AMSA</t>
  </si>
  <si>
    <t>metformina/glibenclamida - WADIL - 30 tab - 500/5 mg - BIOMEP</t>
  </si>
  <si>
    <t>metocarbamol/paracetamol - CARBAFEN - 30 tab - 400/350 mg - LIFERPAL</t>
  </si>
  <si>
    <t>nitazoxanida - ROSANIL - 7 tab - 500 mg - LOEFFLER</t>
  </si>
  <si>
    <t>naproxeno/lidocaína - LUMBOXEN AZUL - gel 35 g - 10/2 g - MAVER</t>
  </si>
  <si>
    <t>cefalexina/bromhexina - CEPOBROM - 12 cap - 500/8.782 mg - MAVER</t>
  </si>
  <si>
    <t>cefaclor - FASICLOR - susp - 250 mg/75 ml - MAVER</t>
  </si>
  <si>
    <t>hidroxizina - HIDROXIN - 30 tab - 10 mg - MAVI -*FB*</t>
  </si>
  <si>
    <t>metformina/glibenclamida - MAVIGLIN - 60 tab - 500/5 mg - MAVI</t>
  </si>
  <si>
    <t>tamsulosina - AMZUVAG - 20 cap - 0.4 mg - NOVAG ---</t>
  </si>
  <si>
    <t>ambroxol/teofilina - ATROXOLAM - jbe 150 ml - 7-1.5 mg/ml - NOVAG</t>
  </si>
  <si>
    <t>lactobacilos/sup alimenticio - LACTOPRAM - 20 cap - 430 mg - PROGELA</t>
  </si>
  <si>
    <t>ketorolaco/tramadol - ORDEGAN - 10 cap - 10/25 mg - RAAM</t>
  </si>
  <si>
    <t>ácido nalidíxico/fenazopiridina - NALIXONE - 20 tab - 500/50 mg - SONS</t>
  </si>
  <si>
    <t>trimetropima/sulfametoxazol - BACTROPIN - 14 tab - 160/800 mg - SONS</t>
  </si>
  <si>
    <t>dextro/guaifenesina/clorfenamina - RIDÍN AD - jbe 120 ml - 0.150 g/2 g/0.020 g - SONS</t>
  </si>
  <si>
    <t>pancreatina/bilis de buey - ZIMETON - 20 tab - 30/50/40 mg - SONS</t>
  </si>
  <si>
    <t>trimetropina/sulfametoxazol - BACTROPIN - 20 tab  - 80/400 mg - SONS</t>
  </si>
  <si>
    <t>piroxicam - DOLZYCAM - gel tópico 0.5% - 60 g - SONS -</t>
  </si>
  <si>
    <t>indometacina/betametasona/metocarbamol - ARDOSONS - 20 cap - 25/0.75/215 mg - SON'S</t>
  </si>
  <si>
    <t>amoxicilina/ácido clavulánico - CLAMOXÍN - susp 60 ml -250/62.5 mg/5 ml - MAVER</t>
  </si>
  <si>
    <t>sup alimenticio (fibra/bioflavonoides/lactobacilos/vitaminas) - EXZON - 90 tab sabor uva - 490 mg c/u - BIOMIRAL</t>
  </si>
  <si>
    <t>salbutamol - FARMAREST - aerosol p/inhalación 200 dosis - 125 mg - FARMA.HISP</t>
  </si>
  <si>
    <t>diclofenaco/dietilamonio - FENAGEL - tubo 60 g - gel 1.160 % - MAVI</t>
  </si>
  <si>
    <t>cloropiramina - CLOROPIRAMINA - 20 tab - 25 mg - SCHOEN - *FB*</t>
  </si>
  <si>
    <t>bromuro de pinaverio/dimeticona - NESAJAR - 16 cap - 100/300 mg - GELpharma</t>
  </si>
  <si>
    <t>amoxicilina/ácido clavulánico - CLAMOXÍN - susp 60 ml - 125 mg, 31.25 mg/5 ml - MAVER</t>
  </si>
  <si>
    <t>dextro/guaifenesina/clorfenamina - RIDÍN PED - jbe 120 ml - 0.1/1/0.1 - SONS</t>
  </si>
  <si>
    <t>amoxicilina/ácido clavulánico - CLAMOXÍN 12 H - 10 tab - 875/125 mg - MAVER</t>
  </si>
  <si>
    <t>retinol/ergocalciferol - A-D-KAN - 3 amp -SONS</t>
  </si>
  <si>
    <t>retinol/ác. ascórbico/ergocalciferol - ADEROGYL - sol. 5 amp 3 ml c/u - 3.30/499.65/0.03 mg - SANOFI---</t>
  </si>
  <si>
    <t>ác. acetilsalicílico/ác. ascorbico/sulfadiazina - AGIN - 20 tab - 300/250/300 mg - NORDIN</t>
  </si>
  <si>
    <t>ampi/metamizol/guaife/lido/clorfen - AMPIGRIN AD - 3 amp - 500 mg - COLLINS</t>
  </si>
  <si>
    <t>benzatina bencilpenicilina/procaína - BENZATINA BENCILPENICILINA/PROCAÍNA - iny 1200000 UI - AMSA</t>
  </si>
  <si>
    <t>ác. acetilsalicílico/cafeína - CAFIASPIRINA - 100 tab - 500/30 mg - BAYER</t>
  </si>
  <si>
    <t>amoxicilina/ácido clavulánico - CLAMOXÍN S 12 H - susp 50 ml - 600 mg, 42.9 mg/5 ml - MAVER</t>
  </si>
  <si>
    <t>clindamicina/ketokonazol - LOFFYMIX - 7 óvulos - 100/400 mg - LOEFFLER</t>
  </si>
  <si>
    <t>algestona/estradiol - DIVILTAC - 1 amp 1 ml - 150/10 mg/1 ml - SONS</t>
  </si>
  <si>
    <t>loratadina/betametasona - ERISPAN COMPUESTO - 10 tab - 5/0.25 mg - MAVER</t>
  </si>
  <si>
    <t>dextrometorfano/sulfoguayacol - EUCALIPTINE - 140 ml - SANFER</t>
  </si>
  <si>
    <t>meloxicam - FLEXIVER - 14 tab - 7.5 mg - MAVER</t>
  </si>
  <si>
    <t>glucosamina/condroitina/vitamina c - FLEXTRIN - 30 comp - CMD</t>
  </si>
  <si>
    <t>salbutamol/ambroxol - FLUXOL - sol 120 ml - 40-150 mg/100 ml - MAVER</t>
  </si>
  <si>
    <t>ácido fólico - GEADITE - 30 cap - PROGELA ---</t>
  </si>
  <si>
    <t>guaifenesina/oxolamina - GUAXOQUIM - jbe 140 ml - 2/1 g/100 ml - QUIMPHARMA</t>
  </si>
  <si>
    <t>paracetamol/loratadina/dextro - LADEXGEL - 12 cap - 300/2/10 mg - PROGELA</t>
  </si>
  <si>
    <t>clindamicina/ketoconazol - MAVIFEM - crema vag 30 g - 2-8/100 g y 6 aplics - MAVI</t>
  </si>
  <si>
    <t>neomicina/caolín/pectina - NINEKA - 20 tab - 129/280/30 mg - NOVAG</t>
  </si>
  <si>
    <t>diosmina/hesperidina - ROVEMAX - 20 tab - 450/ 50 mg - NOVAG</t>
  </si>
  <si>
    <t>itraconazol - SEPIA - 16 cap - 33.3/166.6 mg - WERMAR</t>
  </si>
  <si>
    <t>alcanfor/mentol/aceite de eucalipto - VICK VAPORUB LATA - lata 12 gr - P&amp;G</t>
  </si>
  <si>
    <t>guaifesina/dextrometorfano - VICK 44 - jbe 120 ml - 1.33/0 .133 g/100 ml - P&amp;G</t>
  </si>
  <si>
    <t>betametasona/gentamicina/clotrimazol - GELMICIN - crema 40 g - 0.05/0.10/1/100g - COLLINS</t>
  </si>
  <si>
    <t>clonixinato de lisina/hioscina - DOLTRIX - 10 tab - 250/10 mg - MAVER</t>
  </si>
  <si>
    <t>loratadina/betametasona - TAMEX - 10 tab - 5/0.25 mg - SERRAL</t>
  </si>
  <si>
    <t>bencilpenicilina procaínica/cristalina - PENIPOT 400,000 UI - 1 amp iny - AMSA</t>
  </si>
  <si>
    <t>loratadina/ambroxol - LARITOL EX  - sol 120 ml -100/600 mg/100 ml - MAVER-PA</t>
  </si>
  <si>
    <t>guaifenesina/dextrometorfano - TUKOL D INF - jbe 125 ml - 1/0.1 g - GENOMMA LAB</t>
  </si>
  <si>
    <t>ruscus a./lactobacillus s./á. ascórbico - NIKZON - 40 tab mast - 2/8.3/40 mg - GENOMMA LAB</t>
  </si>
  <si>
    <t>complejo B/ác. fólico/vit C/rutina - BEDOYECTA - 30 cap - 0.5/100/5 mg - GROSSMAN</t>
  </si>
  <si>
    <t>dexametasona/clorfenamina - LERGOSIN A - 15 tab - 0.25 mg/2 mg - DEGORT'S ---PA</t>
  </si>
  <si>
    <t>dexametasona - BRULIN INY - 1 amp - 8 mg/2 ml - BRULUART</t>
  </si>
  <si>
    <t>ELECTROLIT MANZANA - 1 pza - 625 ml - PISA</t>
  </si>
  <si>
    <t>ELECTROLIT UVA - 1 pza - 625 ml - PISA</t>
  </si>
  <si>
    <t>ELECTROLIT FRESA - 1 pza - 625 ml - PISA</t>
  </si>
  <si>
    <t>ibuprofeno - ADVIL MAX - 10 cap - 400 mg - PFIZER</t>
  </si>
  <si>
    <t>azitromicina - ZERTALIN - 3 tab - 500 mg - COLLINS</t>
  </si>
  <si>
    <t>ENSURE SABOR CHOCOLATE - 237 ml - ABBOTT</t>
  </si>
  <si>
    <t>paracetamol/cafeína/fenilefrina - SEDALMERCK - 20 tab - 500/50/5 mg - MERCK</t>
  </si>
  <si>
    <t>losartán/hidroclorotiazida - LOSARTÁN/HIDROCLOROTIAZIDA - 30 tab - 50/12.5 mg - ULTRA</t>
  </si>
  <si>
    <t>Estrógenos conjugados - ESTROGENOS - crema tub 43 g - 62.5/100mg - ULTRA ---</t>
  </si>
  <si>
    <t>neomicina/caolín/pectina - TREDA - 20 tab - 129/280/30 mg - SANFER</t>
  </si>
  <si>
    <t>meclozina/piridoxina/lidocaína - BONAZIN INY - 1 amp - 25/50/20 mg /1 ml - COLLINS</t>
  </si>
  <si>
    <t>pregabalina - BIPALVER - 14 cap - 75 mg - MAVER</t>
  </si>
  <si>
    <t>metocarbamol/ibuprofeno - ML-PRIM - 12 cap - 375/200 mg - GELpharma</t>
  </si>
  <si>
    <t>bicarbonato de sodio/ac. tartárico/ac. cítrico - SAL DE UVAS PICOT - exhib c/50 sobres - RECKITT BENCKISER</t>
  </si>
  <si>
    <t>clorzoxazona/ketoprofeno - REUMOPHAN - 20 tab - 250/50 mg - GRISI - ctf</t>
  </si>
  <si>
    <t>aluminio/magnesio/dimeticona - MELOX PLUS MENTA - susp 360 ml ---</t>
  </si>
  <si>
    <t>aluminio/magnesio/dimeticona - MELOX PLUS CEREZA - susp 360 ml ---</t>
  </si>
  <si>
    <t>paracetamol/fenilefrina/carbinoxamina - TEMPRA 24 HRS - 12 tab - 400/20/4 mg - RECKITT BENCKISER</t>
  </si>
  <si>
    <t>neomicina/retinol - VITACILINA - 16 g - KSK</t>
  </si>
  <si>
    <t>dextrometorfano/guaifenesina - EPICOL ADULTO - sol fco 120 ml -</t>
  </si>
  <si>
    <t>GLUCERNA - SABOR VAINILLA - 237 ml - ABBOTT</t>
  </si>
  <si>
    <t>paracetamol/cafeína - SEDALMERCK MAX - 24 tab - 650/65 mg - MERCK</t>
  </si>
  <si>
    <t>senósidos A y B/medicamento herbolario - LAXACAPS - 30 cap - 12/50 mg - PHARMACAPS</t>
  </si>
  <si>
    <t>neomicina/caolín/pectina - NINEKA - susp 75 ml - 0.733 g/10 g/0.700 g /100 ml - NOVAG</t>
  </si>
  <si>
    <t>GLUCERNA - SABOR FRESA 237 ml - ABBOTT</t>
  </si>
  <si>
    <t>lincomicina  - LINCOMICINA INY - 6 amp - 300 mg/1 ml - AMSA</t>
  </si>
  <si>
    <t>loratadina/betametasona - TAMEX - sol 60 ml -  100-5 mg/100 ml - SERRAL</t>
  </si>
  <si>
    <t>neomicina/retinol - RASPISONS - ungûento 28 g - SONS-PA</t>
  </si>
  <si>
    <t>ácido alendrónico - OXIVAG - 4 tab - 70 mg - NOVAG</t>
  </si>
  <si>
    <t>ácido acetilsalicílico/cafeína - CAFIASPIRINA FORTE - 24 tab - 650/65 mg - BAYER</t>
  </si>
  <si>
    <t>dimenhidranato - DRAMAMINE - 24 tab - 50 mg - JOHNSON &amp; JOHNSON ---</t>
  </si>
  <si>
    <t>hidrocortisona/cloranfenicol/benzocaína - PORAL ÓTICO - sol 10 ml - 10/25/20 mg/1 ml -  SONS</t>
  </si>
  <si>
    <t>bromhexina - NORMOFLEX INF - sol 100 ml - 80 mg/100 ml - DEGORT´S</t>
  </si>
  <si>
    <t>dextrometorfeno/ambroxol - HISTIACIL NF INFANTIL - jbe 150 ml - SANOFI</t>
  </si>
  <si>
    <t>diclofenaco/vitamina B - FORTICAL FORTE - 30 tab - 50/50/50/1 mg - SERRAL</t>
  </si>
  <si>
    <t>diclofenaco/vitamina B - FORTICAL - 30 tab - 50/50/50/0.25 mg - SERRAL</t>
  </si>
  <si>
    <t>parace/fenilefrina/clorfenamina/guaifenesina - CO-EXALIV - sol 120 ml - 0.1/0.02/2/2.5 g/100 ml - MAVER</t>
  </si>
  <si>
    <t>dexametasona/neomicina - GOTADEX - 5 ml - COLLINS</t>
  </si>
  <si>
    <t>ciprofloxacino - KENZOFLEX - fco got 5 ml - 3 mg/1 ml - COLLINS</t>
  </si>
  <si>
    <t>ULTRA COREGA - S/SABOR - 40g ***</t>
  </si>
  <si>
    <t>paracetamol/fenilefrina/loratadina - LARITOL G - gran. manzana 6 sob - 6 g - MAVER</t>
  </si>
  <si>
    <t>rastrillo dama - BIC SOLEIL LAMINAS - BIC</t>
  </si>
  <si>
    <t>carbonato de calcio/ergocalciferol - CALTRON 600+D - 60 tab - 600 mg/150 UI - SALUD NATL---</t>
  </si>
  <si>
    <t>AJOLOTIUS AZUL - sin azúcar - 250 ml - AJOLOTIUS</t>
  </si>
  <si>
    <t>caseína/lactobacilos/vit E - LACTOPRAM INF - chocolate 20 cap - 150 mg - PROGELA</t>
  </si>
  <si>
    <t>dextrometorfano/guaifenesina/paracetamol - TUSILEN JBE PED - 118 ml - 0.150-1.2- 3.0 g/100 g - ALLEN</t>
  </si>
  <si>
    <t>amantadina/clorfenamina/paracetamol - AMPIGRIN PFC - 24 cap - 3/50/300 mg - COLLINS</t>
  </si>
  <si>
    <t>ác. acetilsalicílico/fenilefrina/clorfenamina - TABCIN EFERVESCENTE AZUL - 12 tab - 324/8/2 mg - BAYER---</t>
  </si>
  <si>
    <t>ampicilina/metamizol/guaif - AMPIGRIN INF - 3 amp/ 3 jeringas - 250 mg - COLLINS</t>
  </si>
  <si>
    <t>cetilpiridinio/benzocaína - TROCILETAS B LIMON - 12 tab - 2.5/10 mg - STREGER</t>
  </si>
  <si>
    <t>dextrometorfano/guaifenesina - DEBEQUIN-C AD - jbe 120 ml - 0.3 - 2.0 g/100 ml - DEGORT´S</t>
  </si>
  <si>
    <t>diclofenaco sódico/paracetamol - TOFEL - 10 tab - 50/500 mg - VICTORY</t>
  </si>
  <si>
    <t>dextrometorfano/guaifenesina - DEBEQUIN-C JBE INF - 120 ml - 0.15-1 g/100 ml - DEGORT'S</t>
  </si>
  <si>
    <t>amoxicilina/bromhexina - ACROXIL C - 12 cap - 500/8 mg - SONS</t>
  </si>
  <si>
    <t>guaifenesina/oxolamina - FENOCOL - jbe 140 ml - 2.0 - 1.0 g/100 ml - BIOMEP</t>
  </si>
  <si>
    <t>clorfenamina/fenilefrina - CAPSIFLU GRIPE - 12 tab - 2/5/500 mg - GELCAPS</t>
  </si>
  <si>
    <t>amoxicilina - VANDIX - susp 75 ml - 500 mg/5 ml - WANDEL - *FB*</t>
  </si>
  <si>
    <t>quinfamida/albendazol - FARMIVER Jr - Fco 20 ml - 200-400 mg/20 ml - FARMA.CONT - PA</t>
  </si>
  <si>
    <t>levonorgestrel/etinilestradiol - LEVONORGESTREL/ETINILESTRADIOL - 28 tab - 0.15/0.03 mg - PERRIGO</t>
  </si>
  <si>
    <t>lactato gluconato de calcio - CALCIO - 12 comp eferv - 500 mg - RANDALL</t>
  </si>
  <si>
    <t>ciprofloxacino/dexametasona - KENZOFLEX DUO - sol. oft gotero 5 ml - 3.5 mg, 1 mg/1 ml - COLLINS</t>
  </si>
  <si>
    <t>hidroxipropilmetilcelulosa/dextran 70 - OPTALAG - sol oft 15 ml - 3/1 mg/1 ml - COLLINS</t>
  </si>
  <si>
    <t>amantadina/clorfenamina/paracetamol - ANTIFLU-DES PED - sol 30 ml - 2.5/0.1/15 g/100 ml - CHINOIN</t>
  </si>
  <si>
    <t>oxcarbazepina - SINFONIL - 20 tab - 300 mg - MAVER</t>
  </si>
  <si>
    <t>ibuprofeno/cafeína - BRYSBAL - 10 cap - 400/100 mg - GELpharma</t>
  </si>
  <si>
    <t>DERMAN KIDS - talco aroma chicle - 80 g - KSK</t>
  </si>
  <si>
    <t>metronidazol/nistatina - METRONIDAZOL/NISTATINA - 10 ov - 500 mg/100,000 UI - LOEFFLER ---</t>
  </si>
  <si>
    <t>naproxeno sódico/paracetamol - BRUNADOL INF - 100 ml -100/125 mg/5 ml - BRULUART</t>
  </si>
  <si>
    <t>oxitetraciclina/polimixina B - TERRAMICINA - unguento oft 10 g - 0.005 g/10000 U - PFIZER</t>
  </si>
  <si>
    <t>vit y min p/diabetico - DIBENEL -  30 cap - 0.940 g - CMD</t>
  </si>
  <si>
    <t>glucosamina/MSM/condroitina/colágeno - G-FX - 30 cap - 500 mg - FORTIFARMA</t>
  </si>
  <si>
    <t>vitamina a y d/glucosamina/MSM/condroitina/colageno - G-FX PLUS - 30 cap - 500 mg - NATUTECH</t>
  </si>
  <si>
    <t>neomicina/polimixina B/bacitracina - NEOMICINA/PLMXNA-B/BACTNA - ung 3.5 g - 3. 5 mg/5000 ui/400 ui/1 g - OPKO</t>
  </si>
  <si>
    <t>dextro/guaifenesina/fenilefrina - EXALVER (GFD) - sol Inf 120 ml - 5/0.25/0.5 g/100 ml - MAVER</t>
  </si>
  <si>
    <t>Jabon de tocador - DOVE PINK - 135 g - UNILEVER</t>
  </si>
  <si>
    <t>vildagliptina/metformina - VILDAGLIPTINA/METFORMINA - 30 comps.  - 50/850 mg- ULTRA</t>
  </si>
  <si>
    <t>tiamina/piridoxina/cianocobalamina - COMPLEJO B DIABETICO - 30 tab - 100/5/0.05 - AVIVIA</t>
  </si>
  <si>
    <t>cloroquina - CLOROPRON - 30 tab - 150 mg - APOTEX -</t>
  </si>
  <si>
    <t>deflazacort - CARIDEN - 20 tab - 6 mg - MAVER ---</t>
  </si>
  <si>
    <t>salicilato de metilo/mentol - ROCAINOL - 45 g - 16/8 g - KSK</t>
  </si>
  <si>
    <t>tramadol/paracetamol - LARACINTOL - 20 tab - 37.5/325 mg - OFFENBACH ---</t>
  </si>
  <si>
    <t>tiamina/piridoxina/cianocobalamina - ZEBETYN GEL - 30 cap - 100 mg/5 mg/50 mcg - GELPHARMA -SV</t>
  </si>
  <si>
    <t>irbesartán/hidroclorotiazida - IRBESARTÁN/HIDROCLOROTIAZIDA - 28 tab - 150/12.5 mg - ULTRA</t>
  </si>
  <si>
    <t>ketorolaco - MAVIDOL SL - 4 tab - 30 mg - MAVI ---</t>
  </si>
  <si>
    <t>proteína de soya/probióticos - LACTIV KIDS - 6 sob - 5 g c/u - NATUREX</t>
  </si>
  <si>
    <t>talco desodorante - O-DOLEX AMARILLO - 150 g - AVANT</t>
  </si>
  <si>
    <t>TRIMEBUTINA/SIMETICONA - susp 26 ml - 0.60/0.60 g - MAVER</t>
  </si>
  <si>
    <t>dropropizina/bromhexina - NINTILIX (MIEL) - sol 200 ml - 0.3/0.160 g - WERMAR</t>
  </si>
  <si>
    <t>talco desodorante - O-DOLEX VERDE NATURALS - 150 g - AVANT</t>
  </si>
  <si>
    <t>fluticasona - FHISFLUNAL - 120 dosis p/inhalacion - 50 mcg - FARMA HISP</t>
  </si>
  <si>
    <t>HISOPOS TARRO - 100 pzas - QUIRMEX</t>
  </si>
  <si>
    <t>VASELINE TARRO - 42 gr - UNILEVER</t>
  </si>
  <si>
    <t>ALGODON TORUNDA - 75 gr - QRM</t>
  </si>
  <si>
    <t>ALGODON PLISADO - 50 gr - QUIRMEX</t>
  </si>
  <si>
    <t>ACIDO ACETILSALICILICO - 30 tab - 100 mg - ULTRA</t>
  </si>
  <si>
    <t>RASTRILLO GILLETE PRESTO - 1 pza c/3 nav - P&amp;G</t>
  </si>
  <si>
    <t>BIBERÓN ENSUEÑO 8 oz - EVENFLO</t>
  </si>
  <si>
    <t>ABATELENGUAS DE MADERA - 1 paq c/25 pzas - AMBIDERM</t>
  </si>
  <si>
    <t>dextrometorfano/guaifenesina - TROMEFEN AD - jbe 120 ml - 150-2000 mg/100 ml - BIOMEP</t>
  </si>
  <si>
    <t>ruscus aculeatus+hesperidina/ ac ascórbico - ULTRADRAE - 30 cap - 150/150/100 mg - ULTRA</t>
  </si>
  <si>
    <t>paracetamol/feniramina/fenilefrina - THERAFLU TD ROJO sabor limon NVA PRESENT - caja c/ 10 sobres - 650/2/10 mg - GSK</t>
  </si>
  <si>
    <t>orlistat - AMSAFAST - 21 cap - 120 mg - AMSA</t>
  </si>
  <si>
    <t>CREMA PONDS AZUL - 50 g - UNILEVER</t>
  </si>
  <si>
    <t>ácido undecilénico/undecilenato de zinc/triclosán - TING - crema 28 g - SANFER</t>
  </si>
  <si>
    <t>nifedipino - GEL PRIM - 20 cap - 10 mg - GEL PHARMA</t>
  </si>
  <si>
    <t>sildenafil - SILDENAFIL - 1 tab - 50 mg - ULTRA - *FB*</t>
  </si>
  <si>
    <t>TOALLA FEM. SABA BUENAS NOCHES C/ALAS - 8 pzas - ESSITY</t>
  </si>
  <si>
    <t>QUETIAPINA - 30 tab - 25 mg - VIEJO - CAMBER</t>
  </si>
  <si>
    <t>ketoconazol - KETOCONAZOL - tubo 30 g - 20 mg  (2%) - BIOMEP - *FB*</t>
  </si>
  <si>
    <t>fumarato ferroso - FUMARATO FERROSO - 50 tab - 200 mg - RANDALL -</t>
  </si>
  <si>
    <t>ibesartan hidroclorotiazida - PABESORAG - 28 tab - 150/12.5 mg - NOVAG - *FB*</t>
  </si>
  <si>
    <t>LABIAL LABELLO AZUL - 4.8 gr</t>
  </si>
  <si>
    <t>LAPIZ LABIAL LABELLO - CEREZA - 1 pza - 4.7 g</t>
  </si>
  <si>
    <t>paracetamol/tramadol - SANZADOLL DUO - MAVER - *FB*</t>
  </si>
  <si>
    <t>cloruro de sodio - SOLUCIÓN CS - 250 ml - 0.9% - SALT CLAIRE</t>
  </si>
  <si>
    <t>TELMISARTÁN - 28 tab - 80 mg - AMSA</t>
  </si>
  <si>
    <t>clopidogrel - CIDORIX - 28 tab - 75 mg - AVITUS</t>
  </si>
  <si>
    <t>toallitas humedas - ABSORSEC - 120 toallas hipoalergenicas - KLEENBEBE</t>
  </si>
  <si>
    <t>AMLODIPINO - 100 tab - 5 mg - ULTRA</t>
  </si>
  <si>
    <t>lidocaina/polidocanol - NENE-DENT PED - gel 10 g  - 3.4/3.2mg/1 g - EUROFARMA</t>
  </si>
  <si>
    <t>norfloxacino - NORQUINOL - 20 grag - 400 mg - MAVI</t>
  </si>
  <si>
    <t>dieta polim c/fibra - FRESUBIN FIBRA LÍQUIDO - Vainilla 236 ml - FRESENIUS KABI</t>
  </si>
  <si>
    <t>ACTIRAAM - 10 tab - 100 mg - RAAM ---</t>
  </si>
  <si>
    <t>bicarbonato de sodio - ALKA SELTZER - 12 tab - BAYER</t>
  </si>
  <si>
    <t>sertralina - SERTRALINA - 14 tab - 50 mg - AMSA</t>
  </si>
  <si>
    <t>zetimiba/simvastatina - EZETIMIBA/SIMVASTATINA - 14 tab - 10/20 mg - AMSA</t>
  </si>
  <si>
    <t>complejo b/lidocaina/dexametasona - TRIBEDOCE DX - sol iny c/3 - BRULUART</t>
  </si>
  <si>
    <t>TINTURA DE YODO - 40 ml - JALOMA</t>
  </si>
  <si>
    <t>SUERO CLORURO DE SODIO - fco 500 ml - 0.9% - ALPHARMA</t>
  </si>
  <si>
    <t>ácido fólico+hierro - FERLOR A.F. - 30 tab - 600 mg - LOREN</t>
  </si>
  <si>
    <t>levocetirizina - BOCETIX - 10 tab - 5 mg - VITAE</t>
  </si>
  <si>
    <t>empagliflozina - JARDIANZ - tab 30 - 25 mg</t>
  </si>
  <si>
    <t>dropropizina/bromhexina - NINTILIX INF - 150-80 mg/100-200 ml - WERMAR</t>
  </si>
  <si>
    <t>LUBRIDERM REPARACION INTENSIVA - 200 ml - JOHNSON &amp; JOHNSON</t>
  </si>
  <si>
    <t>quetiapina - GAELORAX - 60 tab - 100 mg - NOVAG -</t>
  </si>
  <si>
    <t>DAPAGLIFLOZINA - 28 tab - 10 mg - CAMBER</t>
  </si>
  <si>
    <t>VENDALASTIC - 1 pza - 10 cm X 5 m - DEGASA</t>
  </si>
  <si>
    <t>VENDALASTIC - 1 pza - 5 cm X 5 m - DEGASA</t>
  </si>
  <si>
    <t>clindamicina/ketoconazol - KIARA - 7 cap vag - 100/400 mg - PROGELA ---</t>
  </si>
  <si>
    <t>ceftriaxona - TRIXONA I.V. - sol. Iny. 1 fco amp. - 1 g/10 ml - BRULUAGSA---</t>
  </si>
  <si>
    <t>amantadina/clorfenamina/paracetamol - FAYRUS - 24 cap - 50/3/300 mg - BRULUART---</t>
  </si>
  <si>
    <t>ácido acetilsalicílico - ASPIRINA TAB - 80 tab - BAYER</t>
  </si>
  <si>
    <t>SITAGLIPTINA/METFORMINA - 56 tab - 50/850 mg - CAMBER</t>
  </si>
  <si>
    <t>JANUMET</t>
  </si>
  <si>
    <t>QUETIAPINA - 30 tab - 25 mg - CAMBER ---</t>
  </si>
  <si>
    <t>BIOELECTRO</t>
  </si>
  <si>
    <t>aceite lino/aceite olivo/aceite salmon - AMEGON OMEGA 3,6,9 KIDS - 60 cap - 267/133/550 mg - HD LAB</t>
  </si>
  <si>
    <t>loratadina - GRIMERAL - 10 tab - 10 mg - BIOMEP</t>
  </si>
  <si>
    <t>bromuro de ipratropio/salbutamol - LONVITOL - 10 amp - 0.5/2.5 mg c/2.5 ml c/u - MAVER</t>
  </si>
  <si>
    <t>budesonida - BUDENOVA - 5 amp p/nebulizar - 0.125 mg/2 ml - NOVAG</t>
  </si>
  <si>
    <t>budesonida - BUDENOVA - 5 amp p/nebulizar - 0.250 mg/2 ml - NOVAG</t>
  </si>
  <si>
    <t>fluoxetina - FLUOXETINA - 14 cap - 20 mg - AMSA</t>
  </si>
  <si>
    <t>ketorolaco - VOYDOL-S - 4 tab - 30 mg - RAAM</t>
  </si>
  <si>
    <t>loratadina - LARITOL - 20 tab - 10 mg - MAVER -</t>
  </si>
  <si>
    <t>meloxicam - FLEXIVER - 10 tab - 15 mg - MAVER -</t>
  </si>
  <si>
    <t>moxifloxacino - CRESCRIN - 7 tab - 400 mg - RAAM -</t>
  </si>
  <si>
    <t>olanzapina - EFLECON - 14 tab - 10 mg - RAAM -</t>
  </si>
  <si>
    <t>warfarina - WARFARINA - 25 tab - 5 mg - QUIFA</t>
  </si>
  <si>
    <t>indometacina-dexametasona - DEXIMET - 30 grag - 25/0.25 mg - SON'S</t>
  </si>
  <si>
    <t>valproato de magnesio - CRIAM - 30 tab - 600 mg - PSICOFARMA</t>
  </si>
  <si>
    <t>dextrometorfano/ambroxol - OXOLBRUL INF - sol 120 ml - 150/113 mg - BRULUART</t>
  </si>
  <si>
    <t>sildenafil - OSIDEA GL 2X1 - 4 sob c/u - 20 mg c/u - AVIVIA</t>
  </si>
  <si>
    <t>ácido ursodeoxicólico - NILAMSEL - 50 cap - 250 mg - NOVAG</t>
  </si>
  <si>
    <t>IRBESARTÁN/AMLODIPINO - 28 tab - 300/5 mg - ULTRA</t>
  </si>
  <si>
    <t>levocetirizina - BOCETIX - 150 ml - 0.5 mg/ml - VITAE</t>
  </si>
  <si>
    <t>valsartan - AVALRAAM - 30 comp - 80 mg - RAAM</t>
  </si>
  <si>
    <t>tramadol/paracetamol - FEXIBRUL - 20 tab - 37.5/325 mg - BRULUAGSA</t>
  </si>
  <si>
    <t>electrolitos orales - HYDRASOR - 1 sob sabor natural - 27.9 gr - NOVAG</t>
  </si>
  <si>
    <t>paracetamol - ACETIF - 10 tab - 500 mg - NOVAG</t>
  </si>
  <si>
    <t>hioscina/ibuprofeno - ESPADIVA - 10 tab - 20/400 mg - APOTEX</t>
  </si>
  <si>
    <t>levonorgestrel - LEVONORGESTREL - 1 tab - 1.5 mg - DKT</t>
  </si>
  <si>
    <t>neomicina - NEOMICINA/POLIMIXINA B/GRAMICIDINA - sol oft 15 ml - 1.75 mg - OPKO</t>
  </si>
  <si>
    <t>naproxeno/lidocaína - LUMBOXEN ROJO - gel 35 g - 10/2 g - MAVER</t>
  </si>
  <si>
    <t>amoxicilina/ácido clavulánico - CLAMOXÍN 12 H PED - susp 40 ml - 200/28.5 mg/5 ml - MAVER</t>
  </si>
  <si>
    <t>paracetamol/fenilefrina/clorfenamina - EXALIV - 24 tab - 325/5/2 mg - MAVER</t>
  </si>
  <si>
    <t>paracetamol/fenilefrina/dextro - EXALVER - 10 tab - 500/5/15 mg - MAVER</t>
  </si>
  <si>
    <t>telmisartán/hidroclorotiazida - TELMISARTÁN HIDROCLOROTIAZIDA - 14 tab - 80/12.5 mg - ULTRA</t>
  </si>
  <si>
    <t>fenilbutazona/dexametasona/metocarbamol - VENGESIC - 20 grageas -100/0.5/200/200 mg - COLLINS</t>
  </si>
  <si>
    <t>clorfenamina - DOCSI - 20 tab - 4 mg - BIOMEP</t>
  </si>
  <si>
    <t>LANCETAS SOFTCLIX - 200 lancetas - ACCU-CHEK</t>
  </si>
  <si>
    <t>losartán - ALDERÁN - 30 tab - 50 mg - MAVER</t>
  </si>
  <si>
    <t>trimetoprima/sulfametoxazol - BACTROPIN - susp 120 ml - 40/200 mg/5 ml - SONS</t>
  </si>
  <si>
    <t>betametasona/clotrimazol/gentamicina - BARMICIL COMP - crema 40 g - 50 mg/ 1/0.1g - SONS</t>
  </si>
  <si>
    <t>paracetamol/ác. ácetilsalicílico/cafeína - BIOELECTRO - 24 tab - 250/250/65 mg - GENOMMA LAB</t>
  </si>
  <si>
    <t>butilhioscina/metamizol sódico - BIOMESINA COMPUESTA - 10 grag - 10/250 mg - BIOMEP</t>
  </si>
  <si>
    <t>losartán/hidroclorotiazida - CO-TARSAN - 30 comp - 50/12.5 mg - MAVER</t>
  </si>
  <si>
    <t>complejo B/diclofenaco - DOLO NEUROBIÓN (Doble Cám) - Iny 3 jer - MERCK</t>
  </si>
  <si>
    <t>nafazolina/feniramina - FAZOLIN-F - sol oft 15 ml - 3.0-0.16 mg/1 ml - COLLINS</t>
  </si>
  <si>
    <t>diosmina/hesperidina - FLAUSIVER - 20 tab - 450/50 mg - MAVER</t>
  </si>
  <si>
    <t>naproxeno sódico - FLAXENDOL - 12 tab - 550 mg - VITAE</t>
  </si>
  <si>
    <t>meloxicam/metacarbamol - FLEXIVER COMPUESTO - 10 cap - 15/215 mg - MAVER</t>
  </si>
  <si>
    <t>loratadina/ambroxol - LARITOL EX - 10 tab - 5/30 mg - MAVER</t>
  </si>
  <si>
    <t>hioscina/paracetamol - PRECICOL - 20 tab - 10/500 mg - LIFERPAL MD</t>
  </si>
  <si>
    <t>levofloxacino - PROXSAFLO - 7 tab - 500 mg - FARMA. HISP</t>
  </si>
  <si>
    <t>óxido de zinc - ROSATIL - tarro 30 g - 25/100 g - NOVAG</t>
  </si>
  <si>
    <t>TIRAS ACTIVE - 50 tiras - ACCU-CHEK</t>
  </si>
  <si>
    <t>complejo B/diclofenaco - TRIBEDOCE COMPUESTO - 3 amp iny - BRULUART</t>
  </si>
  <si>
    <t>complejo B/diclofenaco - DOLO NEUROBION - 10 tab - P&amp;G</t>
  </si>
  <si>
    <t>quinfamida/albendazol - FARMIVER - 2 tab - 150/200 mg - FARMA CONT</t>
  </si>
  <si>
    <t>naproxeno sódico/paracetamol - FEBRAX SUSP - pvo p/100 ml - SIEGFRIED RHEIN - PA</t>
  </si>
  <si>
    <t>naproxeno/lidocaína/mentol - ULTRA BENGUE ROJO - gel 35 g - GENOMMA LAB</t>
  </si>
  <si>
    <t>metformina - GLUNOVAG - 60 tab - 500 mg - NOVAG</t>
  </si>
  <si>
    <t>ESTERICIDE - antiséptico - sol antiséptica 60 ml - ESTERIPHARMA ---</t>
  </si>
  <si>
    <t>paracetamol - DESENFRIOL D - 30 tab - 2/5/ 500 mg - BAYER</t>
  </si>
  <si>
    <t>TIRAS PERFORMA - 50 tiras - ACCU-CHEK</t>
  </si>
  <si>
    <t>TIRAS INSTANT - 50 tiras - ACCU-CHEK</t>
  </si>
  <si>
    <t>ENSURE SABOR FRESA - 237 ml - ABBOTT</t>
  </si>
  <si>
    <t>complejo B/lidocaína/dexametasona - NEURALIN INY - 2 amp - CHINOIN</t>
  </si>
  <si>
    <t>homeopatía/fenolftaleína amarilla - SIMILAXOL - 50 tab - SIMILIA</t>
  </si>
  <si>
    <t>ambroxol/dextrometorfano - FARIBROX TM INF - jbe 150 ml - 150/113/100 ml - LOEFFLER</t>
  </si>
  <si>
    <t>trobramicina/dexametasona - TOBRAMICINA/DEXAMETASONA - sol oft got 5 ml - 3-1 mg/1 ml - GRIN</t>
  </si>
  <si>
    <t>neomicina/retinol - VITACILINA - 28 g - KSK</t>
  </si>
  <si>
    <t>ungüento oftálmico - CLORANFENICOL - tubo 5 g - OPKO</t>
  </si>
  <si>
    <t>GLUCERNA SABOR CHOCOLATE - 237 ml - ABBOTT</t>
  </si>
  <si>
    <t>naproxeno/paracetamol - PROXALIN PLUS - 16 tab - 300/250 mg - DEGORT'S</t>
  </si>
  <si>
    <t>ácido undecilénico/zinc - DERMAN - crema 50 g - 20.36/100 g - KSK</t>
  </si>
  <si>
    <t>naproxeno/paracetamol - PROXALIN PLUS - susp 100 ml -100 mg/5 ml - DEGORT'S</t>
  </si>
  <si>
    <t>oxitetraciclina - TERRAMICINA - 24 trocisco - 125 mg - PFIZER</t>
  </si>
  <si>
    <t>amoxicilina/ácido clavulánico - CLAMOXÍN 12 H - 14 tab - 875/125 mg - MAVER</t>
  </si>
  <si>
    <t>amatadina/clorfenamina/paracetamol - AMPIGRIN PFC INF - 0.5/0.02/3 g/100 ml - COLLINS</t>
  </si>
  <si>
    <t>complejo B/diclofenaco - DOLO NEUROBION - 20 tab - MERCK</t>
  </si>
  <si>
    <t>PEDIASURE CHOCOLATE - 237 ml - ABBOTT</t>
  </si>
  <si>
    <t>Ideal Venda Elastica - 1 pza - 5 cm X 5 m - LE ROY</t>
  </si>
  <si>
    <t>Ideal Venda Elastica - 1 pza - 10 cm X 5 m - LE ROY</t>
  </si>
  <si>
    <t>irbesartán/hidroclorotiazida - IRBESARTÁN/HIDROCLOROTIAZIDA - 14 tab - 150/12.5 mg - ULTRA -</t>
  </si>
  <si>
    <t>hidróx de al/mg/dimeticona - EXHANTIL SUSP - menta/limón - 320 ml - 3.7/4/0.5 g/100 ml - SONS</t>
  </si>
  <si>
    <t>complejo b/diclofenaco - DOLO NEUROBION FORTE - 10 tab - P &amp; G</t>
  </si>
  <si>
    <t>ambroxol/levodropropizina - SUPRATEX DAC - sol 120 ml - 300/600 mg/100 ml - MAVI</t>
  </si>
  <si>
    <t>hioscina/paracetamol - PASMODIL DUO - 24 tab - 10/500 mg - COLLINS</t>
  </si>
  <si>
    <t>trimetoprima/sulfametoxazol - BACTIVER - susp 120 ml - 200/40 mg/5 ml - MAVER</t>
  </si>
  <si>
    <t>tiamina/pitidoxina/cianocobalamina - NEUROBION DC - sol. 3 jer prellenada 2 ml c/u - 100/100/10 mg - MERCK</t>
  </si>
  <si>
    <t>dextrometorfano/sulfoguayacol - OXIN INF - 120 ml - 0.1/1.5 g/100 ml - SONS</t>
  </si>
  <si>
    <t>paracetamol/fenilefrina/bromfeniramina/dextrometorfano - CAPSIFLU TOTAL - 12 cap - 250/10/5/2 mg - GELCAPS</t>
  </si>
  <si>
    <t>dextro/fenilefrina/clorfenamina/paracetamol - ANTIGRIPAL X-TRID - 12 cap - 15/5/2/250 mg - GELPHARMA</t>
  </si>
  <si>
    <t>aluminio/magnesio/dimeticona - PLUSGEL (MENTA-LIMÓN) - 50 tab mast - 200/200/20 mg - COLLINS</t>
  </si>
  <si>
    <t>TRIBEDOCE (NVA PRES) - 30 tab - 100/5 mg/50 mcg - BRULUART</t>
  </si>
  <si>
    <t>ALGODON PLISADO - 100 g - QUIRMEX</t>
  </si>
  <si>
    <t>tetraciclina/fenazopiridina/sulfametoxazol - UROVEC - 24 cap - 50/250/125 mg - COLLINS</t>
  </si>
  <si>
    <t>ácido undecilénico - DERMAN - 25 g - VITACILINA</t>
  </si>
  <si>
    <t>DEXPANTENOL (TATTOO) - crema 30 g - 50/100 g, (5 %) - SON'S</t>
  </si>
  <si>
    <t>metoprolol - NIPRESOL (NVA PRES) - 20 tab -100 mg - BRULUART</t>
  </si>
  <si>
    <t>BAÑO COLOIDE POLVO - sob 90 g - 96.5-2.0/100 g, ph 5.75 - SUANCA</t>
  </si>
  <si>
    <t>ambroxol/clenbuterol - EBROMIN-P - fco 120 ml - 150 mg - 100 mcg/100 ml - DEGORT'S</t>
  </si>
  <si>
    <t>dalvear</t>
  </si>
  <si>
    <t>DROPROPIZINA/BROMHEXINA AD - jab 200 ml - 300/160 mg/100 ml - MAVER</t>
  </si>
  <si>
    <t>TERBINAFINA - spray 30 ml - 1% - ALPHARMA</t>
  </si>
  <si>
    <t>VENDALASTIC - 1 pza - 30 cm X 5 m - DEGASA</t>
  </si>
  <si>
    <t>VENDALASTIC - 1 pza - 7 cm X 5 cm - DEGASA</t>
  </si>
  <si>
    <t>colecalciferol - LOREFIC-D 4000 UI - 30 cap - 0.1 mg - PROGELA</t>
  </si>
  <si>
    <t>bifonazol - MIBIFON - ungüento tubo 20 g -  1/100 g - KENER</t>
  </si>
  <si>
    <t>paracetamol/naproxeno - BRUNADOL - 10 tab - 300/275 mg - BRULUART (nva pres)</t>
  </si>
  <si>
    <t>acido acetilsalicilico/paracetamol/cafeina - BRULUAQUIL - 24 tab - 250/250/65 mg - BRULUAGSA</t>
  </si>
  <si>
    <t>mifepristona - MEFAPRIX - 1 tab - 200 mg - BIOPHARMEX</t>
  </si>
  <si>
    <t>electrolitos cereza - HYDRASOR - sob 28.4 g/ 90 meq - NOVAG</t>
  </si>
  <si>
    <t>electrolitos limon - HYDRASOR - sob 28.4 g/ 90 meq - NOVAG</t>
  </si>
  <si>
    <t>electrolitos naranja - HYDRASOR - 28.4 g/ 90 meq - NOVAG</t>
  </si>
  <si>
    <t>5</t>
  </si>
  <si>
    <t>6</t>
  </si>
  <si>
    <t>16.000000</t>
  </si>
  <si>
    <t>11.000000</t>
  </si>
  <si>
    <t>10.000000</t>
  </si>
  <si>
    <t>5.000</t>
  </si>
  <si>
    <t>9.800000</t>
  </si>
  <si>
    <t>10.000</t>
  </si>
  <si>
    <t>0.0000</t>
  </si>
  <si>
    <t>364</t>
  </si>
  <si>
    <t>727</t>
  </si>
  <si>
    <t>55.000000</t>
  </si>
  <si>
    <t>10</t>
  </si>
  <si>
    <t>20</t>
  </si>
  <si>
    <t>50.000000</t>
  </si>
  <si>
    <t>ibuprofeno - ALGIDOL - 10 cap - 200 mg - GELpharma</t>
  </si>
  <si>
    <t>56</t>
  </si>
  <si>
    <t>111</t>
  </si>
  <si>
    <t>13.000000</t>
  </si>
  <si>
    <t>12.000000</t>
  </si>
  <si>
    <t>523</t>
  </si>
  <si>
    <t>1046</t>
  </si>
  <si>
    <t>6.630</t>
  </si>
  <si>
    <t>19.000000</t>
  </si>
  <si>
    <t>bencidamina - BENIFLANT - 360 ml - sol 0.15 g/100 ml - LOEFFLER</t>
  </si>
  <si>
    <t>151</t>
  </si>
  <si>
    <t>301</t>
  </si>
  <si>
    <t>67.000000</t>
  </si>
  <si>
    <t>47.000000</t>
  </si>
  <si>
    <t>46.000000</t>
  </si>
  <si>
    <t>45.000000</t>
  </si>
  <si>
    <t>34</t>
  </si>
  <si>
    <t>68</t>
  </si>
  <si>
    <t>36.360</t>
  </si>
  <si>
    <t>43.000000</t>
  </si>
  <si>
    <t>42.500000</t>
  </si>
  <si>
    <t>42</t>
  </si>
  <si>
    <t>83</t>
  </si>
  <si>
    <t>35.000000</t>
  </si>
  <si>
    <t>28.000000</t>
  </si>
  <si>
    <t>27.500000</t>
  </si>
  <si>
    <t>27.000000</t>
  </si>
  <si>
    <t>41</t>
  </si>
  <si>
    <t>82</t>
  </si>
  <si>
    <t>37.000000</t>
  </si>
  <si>
    <t>29.000000</t>
  </si>
  <si>
    <t>28.500000</t>
  </si>
  <si>
    <t>levotiroxina sódica - LEVOTIROXINA - 100 tab - 100 mcg - TEMPUSPHARMA</t>
  </si>
  <si>
    <t>0</t>
  </si>
  <si>
    <t>37.740</t>
  </si>
  <si>
    <t>58.000000</t>
  </si>
  <si>
    <t>49.000000</t>
  </si>
  <si>
    <t>20.000</t>
  </si>
  <si>
    <t>48.000000</t>
  </si>
  <si>
    <t>37</t>
  </si>
  <si>
    <t>74</t>
  </si>
  <si>
    <t>10.160</t>
  </si>
  <si>
    <t>20.000000</t>
  </si>
  <si>
    <t>15.000000</t>
  </si>
  <si>
    <t>14.000000</t>
  </si>
  <si>
    <t>130</t>
  </si>
  <si>
    <t>259</t>
  </si>
  <si>
    <t>39.500000</t>
  </si>
  <si>
    <t>30.500000</t>
  </si>
  <si>
    <t>30.000000</t>
  </si>
  <si>
    <t>29.500000</t>
  </si>
  <si>
    <t>89</t>
  </si>
  <si>
    <t>177</t>
  </si>
  <si>
    <t>9.000</t>
  </si>
  <si>
    <t>48</t>
  </si>
  <si>
    <t>95</t>
  </si>
  <si>
    <t>17.360</t>
  </si>
  <si>
    <t>22.000000</t>
  </si>
  <si>
    <t>21.000000</t>
  </si>
  <si>
    <t>97</t>
  </si>
  <si>
    <t>193</t>
  </si>
  <si>
    <t>16.500000</t>
  </si>
  <si>
    <t>15.500000</t>
  </si>
  <si>
    <t>33</t>
  </si>
  <si>
    <t>65</t>
  </si>
  <si>
    <t>40.000000</t>
  </si>
  <si>
    <t>39.000000</t>
  </si>
  <si>
    <t>37.500000</t>
  </si>
  <si>
    <t>23</t>
  </si>
  <si>
    <t>46</t>
  </si>
  <si>
    <t>25.000000</t>
  </si>
  <si>
    <t>13.500000</t>
  </si>
  <si>
    <t>247</t>
  </si>
  <si>
    <t>494</t>
  </si>
  <si>
    <t>23.000000</t>
  </si>
  <si>
    <t>18.000000</t>
  </si>
  <si>
    <t>17.000000</t>
  </si>
  <si>
    <t>162</t>
  </si>
  <si>
    <t>324</t>
  </si>
  <si>
    <t>13.050</t>
  </si>
  <si>
    <t>58</t>
  </si>
  <si>
    <t>115</t>
  </si>
  <si>
    <t>69.350</t>
  </si>
  <si>
    <t>94.000000</t>
  </si>
  <si>
    <t>83.000000</t>
  </si>
  <si>
    <t>80.000000</t>
  </si>
  <si>
    <t>105</t>
  </si>
  <si>
    <t>209</t>
  </si>
  <si>
    <t>7.120</t>
  </si>
  <si>
    <t>62</t>
  </si>
  <si>
    <t>124</t>
  </si>
  <si>
    <t>15.350</t>
  </si>
  <si>
    <t>19.500000</t>
  </si>
  <si>
    <t>33.000000</t>
  </si>
  <si>
    <t>159</t>
  </si>
  <si>
    <t>317</t>
  </si>
  <si>
    <t>36.000000</t>
  </si>
  <si>
    <t>24.000000</t>
  </si>
  <si>
    <t>116</t>
  </si>
  <si>
    <t>17.500000</t>
  </si>
  <si>
    <t>39</t>
  </si>
  <si>
    <t>77</t>
  </si>
  <si>
    <t>14.500000</t>
  </si>
  <si>
    <t>13.800000</t>
  </si>
  <si>
    <t>12</t>
  </si>
  <si>
    <t>ambroxol - OXOLVAN - 20 tab - 30 mg - BRULUART</t>
  </si>
  <si>
    <t>108</t>
  </si>
  <si>
    <t>8.620</t>
  </si>
  <si>
    <t>9.500000</t>
  </si>
  <si>
    <t>19</t>
  </si>
  <si>
    <t>38</t>
  </si>
  <si>
    <t>18.320</t>
  </si>
  <si>
    <t>22.500000</t>
  </si>
  <si>
    <t>21.500000</t>
  </si>
  <si>
    <t>3</t>
  </si>
  <si>
    <t>50.830</t>
  </si>
  <si>
    <t>73.276000</t>
  </si>
  <si>
    <t>59.483000</t>
  </si>
  <si>
    <t>18</t>
  </si>
  <si>
    <t>35</t>
  </si>
  <si>
    <t>113.793000</t>
  </si>
  <si>
    <t>100.000000</t>
  </si>
  <si>
    <t>57</t>
  </si>
  <si>
    <t>113</t>
  </si>
  <si>
    <t>18.500000</t>
  </si>
  <si>
    <t>0.100</t>
  </si>
  <si>
    <t>27.900000</t>
  </si>
  <si>
    <t>27.400000</t>
  </si>
  <si>
    <t>0.000000</t>
  </si>
  <si>
    <t>66</t>
  </si>
  <si>
    <t>132</t>
  </si>
  <si>
    <t>26.000000</t>
  </si>
  <si>
    <t>220</t>
  </si>
  <si>
    <t>439</t>
  </si>
  <si>
    <t>24.500000</t>
  </si>
  <si>
    <t>221</t>
  </si>
  <si>
    <t>15.330</t>
  </si>
  <si>
    <t>19.900000</t>
  </si>
  <si>
    <t>114</t>
  </si>
  <si>
    <t>47</t>
  </si>
  <si>
    <t>94</t>
  </si>
  <si>
    <t>92</t>
  </si>
  <si>
    <t>54.000000</t>
  </si>
  <si>
    <t>52.000000</t>
  </si>
  <si>
    <t>63</t>
  </si>
  <si>
    <t>125</t>
  </si>
  <si>
    <t>18.000</t>
  </si>
  <si>
    <t>260</t>
  </si>
  <si>
    <t>17.000</t>
  </si>
  <si>
    <t>32.000000</t>
  </si>
  <si>
    <t>291</t>
  </si>
  <si>
    <t>581</t>
  </si>
  <si>
    <t>23.390</t>
  </si>
  <si>
    <t>26.500000</t>
  </si>
  <si>
    <t>135</t>
  </si>
  <si>
    <t>270</t>
  </si>
  <si>
    <t>14.180</t>
  </si>
  <si>
    <t>22.414000</t>
  </si>
  <si>
    <t>70</t>
  </si>
  <si>
    <t>31.000000</t>
  </si>
  <si>
    <t>25</t>
  </si>
  <si>
    <t>50</t>
  </si>
  <si>
    <t>31.550</t>
  </si>
  <si>
    <t>7</t>
  </si>
  <si>
    <t>13</t>
  </si>
  <si>
    <t>44.000000</t>
  </si>
  <si>
    <t>42.000000</t>
  </si>
  <si>
    <t>44.500000</t>
  </si>
  <si>
    <t>29</t>
  </si>
  <si>
    <t>11</t>
  </si>
  <si>
    <t>21</t>
  </si>
  <si>
    <t>75.000000</t>
  </si>
  <si>
    <t>46.800000</t>
  </si>
  <si>
    <t>45.500000</t>
  </si>
  <si>
    <t>2</t>
  </si>
  <si>
    <t>4</t>
  </si>
  <si>
    <t>52</t>
  </si>
  <si>
    <t>104</t>
  </si>
  <si>
    <t>137</t>
  </si>
  <si>
    <t>274</t>
  </si>
  <si>
    <t>144</t>
  </si>
  <si>
    <t>287</t>
  </si>
  <si>
    <t>7.500000</t>
  </si>
  <si>
    <t>7.000000</t>
  </si>
  <si>
    <t>64</t>
  </si>
  <si>
    <t>128</t>
  </si>
  <si>
    <t>6.750</t>
  </si>
  <si>
    <t>9.000000</t>
  </si>
  <si>
    <t>8.500000</t>
  </si>
  <si>
    <t>8.000000</t>
  </si>
  <si>
    <t>mupirocina - BERNIVER - ung 15 g - 2% - MAVER</t>
  </si>
  <si>
    <t>105.000000</t>
  </si>
  <si>
    <t>95.000000</t>
  </si>
  <si>
    <t>93.000000</t>
  </si>
  <si>
    <t>120</t>
  </si>
  <si>
    <t>240</t>
  </si>
  <si>
    <t>28.680</t>
  </si>
  <si>
    <t>34.000000</t>
  </si>
  <si>
    <t>15.000</t>
  </si>
  <si>
    <t>41.000000</t>
  </si>
  <si>
    <t>39.900000</t>
  </si>
  <si>
    <t>cefixima - BENEVENTOL - 6 cap - 400 mg - MAVER</t>
  </si>
  <si>
    <t>165.000000</t>
  </si>
  <si>
    <t>140.000000</t>
  </si>
  <si>
    <t>129</t>
  </si>
  <si>
    <t>257</t>
  </si>
  <si>
    <t>70.000000</t>
  </si>
  <si>
    <t>51.000000</t>
  </si>
  <si>
    <t>178</t>
  </si>
  <si>
    <t>20.030</t>
  </si>
  <si>
    <t>49</t>
  </si>
  <si>
    <t>96</t>
  </si>
  <si>
    <t>64.000000</t>
  </si>
  <si>
    <t>63.000000</t>
  </si>
  <si>
    <t>62.000000</t>
  </si>
  <si>
    <t>75</t>
  </si>
  <si>
    <t>150</t>
  </si>
  <si>
    <t>11.900</t>
  </si>
  <si>
    <t>1</t>
  </si>
  <si>
    <t>26.700</t>
  </si>
  <si>
    <t>cefixima - BENEVENTOL - 3 cap - 400 mg - MAVER</t>
  </si>
  <si>
    <t>90.000000</t>
  </si>
  <si>
    <t>85.000000</t>
  </si>
  <si>
    <t>82.000000</t>
  </si>
  <si>
    <t>DENVAR, BIOMICS, DEFALOX, ETICEFA, AMIXBRU</t>
  </si>
  <si>
    <t>36</t>
  </si>
  <si>
    <t>71</t>
  </si>
  <si>
    <t>59.500000</t>
  </si>
  <si>
    <t>87</t>
  </si>
  <si>
    <t>174</t>
  </si>
  <si>
    <t>99.000000</t>
  </si>
  <si>
    <t>0.000</t>
  </si>
  <si>
    <t>84.000000</t>
  </si>
  <si>
    <t>100</t>
  </si>
  <si>
    <t>200</t>
  </si>
  <si>
    <t>38.000000</t>
  </si>
  <si>
    <t>35.900000</t>
  </si>
  <si>
    <t>55</t>
  </si>
  <si>
    <t>110</t>
  </si>
  <si>
    <t>80</t>
  </si>
  <si>
    <t>56.000000</t>
  </si>
  <si>
    <t>76</t>
  </si>
  <si>
    <t>79.000000</t>
  </si>
  <si>
    <t>78.000000</t>
  </si>
  <si>
    <t>36.900000</t>
  </si>
  <si>
    <t>53</t>
  </si>
  <si>
    <t>77.000000</t>
  </si>
  <si>
    <t>59.000000</t>
  </si>
  <si>
    <t>8</t>
  </si>
  <si>
    <t>16</t>
  </si>
  <si>
    <t>373</t>
  </si>
  <si>
    <t>745</t>
  </si>
  <si>
    <t>6.590</t>
  </si>
  <si>
    <t>54</t>
  </si>
  <si>
    <t>107</t>
  </si>
  <si>
    <t>12.310</t>
  </si>
  <si>
    <t>14.300000</t>
  </si>
  <si>
    <t>32.100</t>
  </si>
  <si>
    <t>30.000</t>
  </si>
  <si>
    <t>173</t>
  </si>
  <si>
    <t>345</t>
  </si>
  <si>
    <t>25.470</t>
  </si>
  <si>
    <t>14.740</t>
  </si>
  <si>
    <t>14</t>
  </si>
  <si>
    <t>27</t>
  </si>
  <si>
    <t>120.000000</t>
  </si>
  <si>
    <t>104.000000</t>
  </si>
  <si>
    <t>pregabalina - ANIERNOV - 28 cap - 150 mg - NOVAG</t>
  </si>
  <si>
    <t>102.000000</t>
  </si>
  <si>
    <t>72.000000</t>
  </si>
  <si>
    <t>115.000000</t>
  </si>
  <si>
    <t>17</t>
  </si>
  <si>
    <t>18.560</t>
  </si>
  <si>
    <t>64.655000</t>
  </si>
  <si>
    <t>255</t>
  </si>
  <si>
    <t>509</t>
  </si>
  <si>
    <t>16.590</t>
  </si>
  <si>
    <t>43</t>
  </si>
  <si>
    <t>86</t>
  </si>
  <si>
    <t>21.350</t>
  </si>
  <si>
    <t>25.500000</t>
  </si>
  <si>
    <t>91</t>
  </si>
  <si>
    <t>29.310000</t>
  </si>
  <si>
    <t>73</t>
  </si>
  <si>
    <t>43.500000</t>
  </si>
  <si>
    <t>87.000000</t>
  </si>
  <si>
    <t>86.000000</t>
  </si>
  <si>
    <t>85</t>
  </si>
  <si>
    <t>66.000000</t>
  </si>
  <si>
    <t>32</t>
  </si>
  <si>
    <t>6.420</t>
  </si>
  <si>
    <t>paracetamol/tramadol - ROMINSOL - 20 tab - 25/37.5 mg - RAAM</t>
  </si>
  <si>
    <t>153</t>
  </si>
  <si>
    <t>305</t>
  </si>
  <si>
    <t>34.500000</t>
  </si>
  <si>
    <t>24.400</t>
  </si>
  <si>
    <t>78</t>
  </si>
  <si>
    <t>156</t>
  </si>
  <si>
    <t>175</t>
  </si>
  <si>
    <t>349</t>
  </si>
  <si>
    <t>61</t>
  </si>
  <si>
    <t>122</t>
  </si>
  <si>
    <t>140</t>
  </si>
  <si>
    <t>hioscina/metamizol sódico - BUSCONET - 1 amp iny - 20/2.5 mg/5 ml - SONS</t>
  </si>
  <si>
    <t>277</t>
  </si>
  <si>
    <t>553</t>
  </si>
  <si>
    <t>28.890</t>
  </si>
  <si>
    <t>487</t>
  </si>
  <si>
    <t>973</t>
  </si>
  <si>
    <t>65.000000</t>
  </si>
  <si>
    <t>21.940</t>
  </si>
  <si>
    <t>37.800</t>
  </si>
  <si>
    <t>53.000000</t>
  </si>
  <si>
    <t>99</t>
  </si>
  <si>
    <t>198</t>
  </si>
  <si>
    <t>12.500000</t>
  </si>
  <si>
    <t>123</t>
  </si>
  <si>
    <t>57.000000</t>
  </si>
  <si>
    <t>31</t>
  </si>
  <si>
    <t>229</t>
  </si>
  <si>
    <t>458</t>
  </si>
  <si>
    <t>189</t>
  </si>
  <si>
    <t>378</t>
  </si>
  <si>
    <t>16.270</t>
  </si>
  <si>
    <t>84.483000</t>
  </si>
  <si>
    <t>98</t>
  </si>
  <si>
    <t>248</t>
  </si>
  <si>
    <t>45</t>
  </si>
  <si>
    <t>25.414</t>
  </si>
  <si>
    <t>56.897000</t>
  </si>
  <si>
    <t>125.000</t>
  </si>
  <si>
    <t>34.740</t>
  </si>
  <si>
    <t>126</t>
  </si>
  <si>
    <t>78.370</t>
  </si>
  <si>
    <t>90</t>
  </si>
  <si>
    <t>180</t>
  </si>
  <si>
    <t>573</t>
  </si>
  <si>
    <t>234</t>
  </si>
  <si>
    <t>468</t>
  </si>
  <si>
    <t>13.300000</t>
  </si>
  <si>
    <t>52.400</t>
  </si>
  <si>
    <t>60.000000</t>
  </si>
  <si>
    <t>ambroxol/dextro - FARIBROX TM ADULTO - jbe 150 ml - 225 mg/100 ml - LOEFFLER</t>
  </si>
  <si>
    <t>21.000</t>
  </si>
  <si>
    <t>245</t>
  </si>
  <si>
    <t>10.840</t>
  </si>
  <si>
    <t>213</t>
  </si>
  <si>
    <t>426</t>
  </si>
  <si>
    <t>7.820</t>
  </si>
  <si>
    <t>383</t>
  </si>
  <si>
    <t>766</t>
  </si>
  <si>
    <t>24</t>
  </si>
  <si>
    <t>149</t>
  </si>
  <si>
    <t>298</t>
  </si>
  <si>
    <t>172.410</t>
  </si>
  <si>
    <t>386</t>
  </si>
  <si>
    <t>771</t>
  </si>
  <si>
    <t>93</t>
  </si>
  <si>
    <t>130.000000</t>
  </si>
  <si>
    <t>128.000000</t>
  </si>
  <si>
    <t>694</t>
  </si>
  <si>
    <t>1387</t>
  </si>
  <si>
    <t>16.560</t>
  </si>
  <si>
    <t>26</t>
  </si>
  <si>
    <t>120.780</t>
  </si>
  <si>
    <t>145.000000</t>
  </si>
  <si>
    <t>143.000000</t>
  </si>
  <si>
    <t>43.000</t>
  </si>
  <si>
    <t>224</t>
  </si>
  <si>
    <t>448</t>
  </si>
  <si>
    <t>163</t>
  </si>
  <si>
    <t>325</t>
  </si>
  <si>
    <t>70.000</t>
  </si>
  <si>
    <t>315.000000</t>
  </si>
  <si>
    <t>247.500000</t>
  </si>
  <si>
    <t>21.630</t>
  </si>
  <si>
    <t>417</t>
  </si>
  <si>
    <t>380</t>
  </si>
  <si>
    <t>760</t>
  </si>
  <si>
    <t>91.000000</t>
  </si>
  <si>
    <t>121</t>
  </si>
  <si>
    <t>34.330</t>
  </si>
  <si>
    <t>paracetamol/amantadina/clorfenamina - ANTIFLUDES - 24 cap - 50/3/30 mg - CHINOIN</t>
  </si>
  <si>
    <t>106</t>
  </si>
  <si>
    <t>212</t>
  </si>
  <si>
    <t>65.930</t>
  </si>
  <si>
    <t>82.759000</t>
  </si>
  <si>
    <t>335.000000</t>
  </si>
  <si>
    <t>310.000000</t>
  </si>
  <si>
    <t>148</t>
  </si>
  <si>
    <t>176.000000</t>
  </si>
  <si>
    <t>379</t>
  </si>
  <si>
    <t>757</t>
  </si>
  <si>
    <t>101</t>
  </si>
  <si>
    <t>201</t>
  </si>
  <si>
    <t>350</t>
  </si>
  <si>
    <t>1363</t>
  </si>
  <si>
    <t>2725</t>
  </si>
  <si>
    <t>496.770</t>
  </si>
  <si>
    <t>672.414000</t>
  </si>
  <si>
    <t>408.840</t>
  </si>
  <si>
    <t>538.793000</t>
  </si>
  <si>
    <t>487.069000</t>
  </si>
  <si>
    <t>195</t>
  </si>
  <si>
    <t>197</t>
  </si>
  <si>
    <t>394</t>
  </si>
  <si>
    <t>74.000000</t>
  </si>
  <si>
    <t>216</t>
  </si>
  <si>
    <t>268</t>
  </si>
  <si>
    <t>536</t>
  </si>
  <si>
    <t>188</t>
  </si>
  <si>
    <t>375</t>
  </si>
  <si>
    <t>67</t>
  </si>
  <si>
    <t>133</t>
  </si>
  <si>
    <t>185</t>
  </si>
  <si>
    <t>170.000000</t>
  </si>
  <si>
    <t>153.000000</t>
  </si>
  <si>
    <t>149.000000</t>
  </si>
  <si>
    <t>183</t>
  </si>
  <si>
    <t>51</t>
  </si>
  <si>
    <t>16.800000</t>
  </si>
  <si>
    <t>5.920</t>
  </si>
  <si>
    <t>22</t>
  </si>
  <si>
    <t>44</t>
  </si>
  <si>
    <t>440</t>
  </si>
  <si>
    <t>187</t>
  </si>
  <si>
    <t>15</t>
  </si>
  <si>
    <t>62.500000</t>
  </si>
  <si>
    <t>43.870</t>
  </si>
  <si>
    <t>253</t>
  </si>
  <si>
    <t>506</t>
  </si>
  <si>
    <t>20.350</t>
  </si>
  <si>
    <t>23.700000</t>
  </si>
  <si>
    <t>376</t>
  </si>
  <si>
    <t>28.360</t>
  </si>
  <si>
    <t>40</t>
  </si>
  <si>
    <t>79</t>
  </si>
  <si>
    <t>1151</t>
  </si>
  <si>
    <t>2301</t>
  </si>
  <si>
    <t>8.200000</t>
  </si>
  <si>
    <t>127</t>
  </si>
  <si>
    <t>34.100</t>
  </si>
  <si>
    <t>dexametasona/neomicina - DEXNE OFTÁLMICO - got 5 ml -100/500 mg - OFFENBACH</t>
  </si>
  <si>
    <t>199</t>
  </si>
  <si>
    <t>22.730</t>
  </si>
  <si>
    <t>131</t>
  </si>
  <si>
    <t>262</t>
  </si>
  <si>
    <t>251</t>
  </si>
  <si>
    <t>501</t>
  </si>
  <si>
    <t>16.370</t>
  </si>
  <si>
    <t>6.200</t>
  </si>
  <si>
    <t>28</t>
  </si>
  <si>
    <t>10.500000</t>
  </si>
  <si>
    <t>9.700000</t>
  </si>
  <si>
    <t>29.960</t>
  </si>
  <si>
    <t>complejo B/diclofenaco - DOLO NEUROBION FORTE - 30 tab - MERCK</t>
  </si>
  <si>
    <t>604.000000</t>
  </si>
  <si>
    <t>complejo B/diclofenaco - DOLO NEUROBION FORTE INY - 1 jer - MERCK</t>
  </si>
  <si>
    <t>403.000000</t>
  </si>
  <si>
    <t>ibuprofeno - DOLPROFEN - 10 tab - 400 mg - COLLINS</t>
  </si>
  <si>
    <t>134</t>
  </si>
  <si>
    <t>267</t>
  </si>
  <si>
    <t>81</t>
  </si>
  <si>
    <t>20.730</t>
  </si>
  <si>
    <t>852</t>
  </si>
  <si>
    <t>1704</t>
  </si>
  <si>
    <t>25.890</t>
  </si>
  <si>
    <t>31.810</t>
  </si>
  <si>
    <t>515.000000</t>
  </si>
  <si>
    <t>405.000000</t>
  </si>
  <si>
    <t>382.370</t>
  </si>
  <si>
    <t>523.000000</t>
  </si>
  <si>
    <t>413.000000</t>
  </si>
  <si>
    <t>135.000000</t>
  </si>
  <si>
    <t>127.000000</t>
  </si>
  <si>
    <t>125.000000</t>
  </si>
  <si>
    <t>245.000000</t>
  </si>
  <si>
    <t>198.000000</t>
  </si>
  <si>
    <t>123.450</t>
  </si>
  <si>
    <t>173.000000</t>
  </si>
  <si>
    <t>136.000000</t>
  </si>
  <si>
    <t>170</t>
  </si>
  <si>
    <t>152.000000</t>
  </si>
  <si>
    <t>141.000000</t>
  </si>
  <si>
    <t>60</t>
  </si>
  <si>
    <t>169</t>
  </si>
  <si>
    <t>200.000000</t>
  </si>
  <si>
    <t>185.000000</t>
  </si>
  <si>
    <t>180.000000</t>
  </si>
  <si>
    <t>29.470</t>
  </si>
  <si>
    <t>165</t>
  </si>
  <si>
    <t>330</t>
  </si>
  <si>
    <t>136</t>
  </si>
  <si>
    <t>230.000000</t>
  </si>
  <si>
    <t>210.000000</t>
  </si>
  <si>
    <t>118</t>
  </si>
  <si>
    <t>236</t>
  </si>
  <si>
    <t>76.000000</t>
  </si>
  <si>
    <t>20.070</t>
  </si>
  <si>
    <t>66.500000</t>
  </si>
  <si>
    <t>fluconazol - FLUCONAZOL - 1 cap - 150 mg - AMSA</t>
  </si>
  <si>
    <t>23.950</t>
  </si>
  <si>
    <t>228</t>
  </si>
  <si>
    <t>215</t>
  </si>
  <si>
    <t>magaldrato/dimeticona - GALAVER - gel jbe 250 ml - 8/1 mg/100 ml - MAVER</t>
  </si>
  <si>
    <t>68.000000</t>
  </si>
  <si>
    <t>metformina - METFORMINA - 30 tab - 850 mg - ALPHARMA</t>
  </si>
  <si>
    <t>94.820</t>
  </si>
  <si>
    <t>120.690000</t>
  </si>
  <si>
    <t>72</t>
  </si>
  <si>
    <t>9</t>
  </si>
  <si>
    <t>375.860</t>
  </si>
  <si>
    <t>249</t>
  </si>
  <si>
    <t>16.900</t>
  </si>
  <si>
    <t>95.000</t>
  </si>
  <si>
    <t>118.103000</t>
  </si>
  <si>
    <t>108.621000</t>
  </si>
  <si>
    <t>107.759000</t>
  </si>
  <si>
    <t>146.550</t>
  </si>
  <si>
    <t>202.586000</t>
  </si>
  <si>
    <t>147.000</t>
  </si>
  <si>
    <t>174.022000</t>
  </si>
  <si>
    <t>164.206000</t>
  </si>
  <si>
    <t>161.082000</t>
  </si>
  <si>
    <t>158.405000</t>
  </si>
  <si>
    <t>241</t>
  </si>
  <si>
    <t>154</t>
  </si>
  <si>
    <t>dextrometorfano/ambroxol - HISTIACIL NF ADULTO - jbe 150 ml - AMBISOME</t>
  </si>
  <si>
    <t>142</t>
  </si>
  <si>
    <t>116.250</t>
  </si>
  <si>
    <t>167.000000</t>
  </si>
  <si>
    <t>283.280</t>
  </si>
  <si>
    <t>325.000000</t>
  </si>
  <si>
    <t>218</t>
  </si>
  <si>
    <t>435</t>
  </si>
  <si>
    <t>4.480</t>
  </si>
  <si>
    <t>6.000000</t>
  </si>
  <si>
    <t>119</t>
  </si>
  <si>
    <t>45.420</t>
  </si>
  <si>
    <t>46.840000</t>
  </si>
  <si>
    <t>675.640</t>
  </si>
  <si>
    <t>850.000000</t>
  </si>
  <si>
    <t>780.000000</t>
  </si>
  <si>
    <t>750.000000</t>
  </si>
  <si>
    <t>321</t>
  </si>
  <si>
    <t>641</t>
  </si>
  <si>
    <t>7.450</t>
  </si>
  <si>
    <t>171</t>
  </si>
  <si>
    <t>341</t>
  </si>
  <si>
    <t>150.000000</t>
  </si>
  <si>
    <t>118.000000</t>
  </si>
  <si>
    <t>clorfenamina compuesta - KY6 - 10 tab - 500/25/5/4 mg - BRULUART</t>
  </si>
  <si>
    <t>4780</t>
  </si>
  <si>
    <t>9560</t>
  </si>
  <si>
    <t>7.590</t>
  </si>
  <si>
    <t>ketorolaco trometamina - LACDOL S - 4 tab sublinguales - 30 mg - WERMAR ---</t>
  </si>
  <si>
    <t>436</t>
  </si>
  <si>
    <t>871</t>
  </si>
  <si>
    <t>17.120</t>
  </si>
  <si>
    <t>LANCETAS SOFTCLIX - 25 lancetas - ACCU-CHEK</t>
  </si>
  <si>
    <t>56.900</t>
  </si>
  <si>
    <t>72.414000</t>
  </si>
  <si>
    <t>65.086000</t>
  </si>
  <si>
    <t>63.793000</t>
  </si>
  <si>
    <t>loratadina - LARITOL - 10 tab - 10 mg - MAVER</t>
  </si>
  <si>
    <t>6.240</t>
  </si>
  <si>
    <t>7.200000</t>
  </si>
  <si>
    <t>loratadina/fenilefrina - LARITOL D - 10 tab - 5/30 mg - MAVER</t>
  </si>
  <si>
    <t>157</t>
  </si>
  <si>
    <t>313</t>
  </si>
  <si>
    <t>38.200000</t>
  </si>
  <si>
    <t>222</t>
  </si>
  <si>
    <t>18.280</t>
  </si>
  <si>
    <t>147</t>
  </si>
  <si>
    <t>16.760</t>
  </si>
  <si>
    <t>115.420</t>
  </si>
  <si>
    <t>137.931000</t>
  </si>
  <si>
    <t>372</t>
  </si>
  <si>
    <t>743</t>
  </si>
  <si>
    <t>226</t>
  </si>
  <si>
    <t>190</t>
  </si>
  <si>
    <t>ketorolaco/tramadol - MAVIDOL TR - 10 cap - 10/25 mg - MAVI</t>
  </si>
  <si>
    <t>ketorolaco/tramadol - MAVIDOL TR S.L. - 4 tab - 10/25 mg - MAVI</t>
  </si>
  <si>
    <t>18.090</t>
  </si>
  <si>
    <t>19.090000</t>
  </si>
  <si>
    <t>meclizina/piridoxina - MECLISON - 20 tab - 25/50 mg - SONS</t>
  </si>
  <si>
    <t>30</t>
  </si>
  <si>
    <t>19.260</t>
  </si>
  <si>
    <t>69.000000</t>
  </si>
  <si>
    <t>54.500000</t>
  </si>
  <si>
    <t>389</t>
  </si>
  <si>
    <t>778</t>
  </si>
  <si>
    <t>minoxidil - MINOXIDIL 5% - fco 60ml - sol 5% - ANACASTEL</t>
  </si>
  <si>
    <t>111.630</t>
  </si>
  <si>
    <t>149.800000</t>
  </si>
  <si>
    <t>132.000000</t>
  </si>
  <si>
    <t>192</t>
  </si>
  <si>
    <t>384</t>
  </si>
  <si>
    <t>10.650</t>
  </si>
  <si>
    <t>302</t>
  </si>
  <si>
    <t>604</t>
  </si>
  <si>
    <t>413</t>
  </si>
  <si>
    <t>825</t>
  </si>
  <si>
    <t>14.400000</t>
  </si>
  <si>
    <t>239</t>
  </si>
  <si>
    <t>107.480</t>
  </si>
  <si>
    <t>122.000000</t>
  </si>
  <si>
    <t>69</t>
  </si>
  <si>
    <t>138</t>
  </si>
  <si>
    <t>234.380</t>
  </si>
  <si>
    <t>350.000000</t>
  </si>
  <si>
    <t>300.000000</t>
  </si>
  <si>
    <t>270.000000</t>
  </si>
  <si>
    <t>260.000000</t>
  </si>
  <si>
    <t>bencilpenicilina - PENIPOT 800,000 UI - 1 amp - 2 ml - AMSA</t>
  </si>
  <si>
    <t>826</t>
  </si>
  <si>
    <t>20.900000</t>
  </si>
  <si>
    <t>12.000</t>
  </si>
  <si>
    <t>aluminio/magnesio/dimeticona - PLUSGEL - susp 360 ml - COLLINS</t>
  </si>
  <si>
    <t>284</t>
  </si>
  <si>
    <t>103</t>
  </si>
  <si>
    <t>206</t>
  </si>
  <si>
    <t>83.621000</t>
  </si>
  <si>
    <t>68.966000</t>
  </si>
  <si>
    <t>18.170</t>
  </si>
  <si>
    <t>447</t>
  </si>
  <si>
    <t>169.000000</t>
  </si>
  <si>
    <t>789</t>
  </si>
  <si>
    <t>1578</t>
  </si>
  <si>
    <t>5.000000</t>
  </si>
  <si>
    <t>4.900000</t>
  </si>
  <si>
    <t>281</t>
  </si>
  <si>
    <t>561</t>
  </si>
  <si>
    <t>8.900000</t>
  </si>
  <si>
    <t>378.360</t>
  </si>
  <si>
    <t>533.621000</t>
  </si>
  <si>
    <t>164</t>
  </si>
  <si>
    <t>1179</t>
  </si>
  <si>
    <t>2358</t>
  </si>
  <si>
    <t>348</t>
  </si>
  <si>
    <t>696</t>
  </si>
  <si>
    <t>19.890</t>
  </si>
  <si>
    <t>272</t>
  </si>
  <si>
    <t>544</t>
  </si>
  <si>
    <t>19.200000</t>
  </si>
  <si>
    <t>46.960</t>
  </si>
  <si>
    <t>1699</t>
  </si>
  <si>
    <t>3398</t>
  </si>
  <si>
    <t>99.000</t>
  </si>
  <si>
    <t>16.379000</t>
  </si>
  <si>
    <t>12.845000</t>
  </si>
  <si>
    <t>12.586000</t>
  </si>
  <si>
    <t>12.328000</t>
  </si>
  <si>
    <t>10.420</t>
  </si>
  <si>
    <t>1500</t>
  </si>
  <si>
    <t>355</t>
  </si>
  <si>
    <t>250.000000</t>
  </si>
  <si>
    <t>271</t>
  </si>
  <si>
    <t>541</t>
  </si>
  <si>
    <t>495.000000</t>
  </si>
  <si>
    <t>143</t>
  </si>
  <si>
    <t>285</t>
  </si>
  <si>
    <t>59.670</t>
  </si>
  <si>
    <t>415</t>
  </si>
  <si>
    <t>829</t>
  </si>
  <si>
    <t>609</t>
  </si>
  <si>
    <t>220.000000</t>
  </si>
  <si>
    <t>300</t>
  </si>
  <si>
    <t>54.950</t>
  </si>
  <si>
    <t>80.730</t>
  </si>
  <si>
    <t>99.500000</t>
  </si>
  <si>
    <t>93.500000</t>
  </si>
  <si>
    <t>237</t>
  </si>
  <si>
    <t>21.552000</t>
  </si>
  <si>
    <t>17.241000</t>
  </si>
  <si>
    <t>15.517000</t>
  </si>
  <si>
    <t>4.850</t>
  </si>
  <si>
    <t>111.000000</t>
  </si>
  <si>
    <t>109.000000</t>
  </si>
  <si>
    <t>930</t>
  </si>
  <si>
    <t>1859</t>
  </si>
  <si>
    <t>12.790</t>
  </si>
  <si>
    <t>347</t>
  </si>
  <si>
    <t>112</t>
  </si>
  <si>
    <t>223</t>
  </si>
  <si>
    <t>161</t>
  </si>
  <si>
    <t>21.600000</t>
  </si>
  <si>
    <t>tocofersolán (vit E) - E-FERTOC - 30 cap - 400 mg - VITAE</t>
  </si>
  <si>
    <t>oximetazolina - COLLIFRIN INFANTIL - 20 ml - sol .025 %  - COLLINS -</t>
  </si>
  <si>
    <t>28.690</t>
  </si>
  <si>
    <t>247.000000</t>
  </si>
  <si>
    <t>205.000000</t>
  </si>
  <si>
    <t>450.000</t>
  </si>
  <si>
    <t>620.000000</t>
  </si>
  <si>
    <t>tramadol - DESIGORT - 10 tab - 100 mg - DEGORT'S</t>
  </si>
  <si>
    <t>40.860</t>
  </si>
  <si>
    <t>318</t>
  </si>
  <si>
    <t>337</t>
  </si>
  <si>
    <t>14.590</t>
  </si>
  <si>
    <t>184</t>
  </si>
  <si>
    <t>367</t>
  </si>
  <si>
    <t>47.400</t>
  </si>
  <si>
    <t>48.000</t>
  </si>
  <si>
    <t>227</t>
  </si>
  <si>
    <t>454</t>
  </si>
  <si>
    <t>88</t>
  </si>
  <si>
    <t>176</t>
  </si>
  <si>
    <t>133.000000</t>
  </si>
  <si>
    <t>132.950</t>
  </si>
  <si>
    <t>195.000000</t>
  </si>
  <si>
    <t>158.000000</t>
  </si>
  <si>
    <t>155.000000</t>
  </si>
  <si>
    <t>633</t>
  </si>
  <si>
    <t>397</t>
  </si>
  <si>
    <t>794</t>
  </si>
  <si>
    <t>122.000</t>
  </si>
  <si>
    <t>144.000000</t>
  </si>
  <si>
    <t>285.000000</t>
  </si>
  <si>
    <t>249.000000</t>
  </si>
  <si>
    <t>248.000000</t>
  </si>
  <si>
    <t>210</t>
  </si>
  <si>
    <t>420</t>
  </si>
  <si>
    <t>112.000</t>
  </si>
  <si>
    <t>134.000000</t>
  </si>
  <si>
    <t>478</t>
  </si>
  <si>
    <t>243.000000</t>
  </si>
  <si>
    <t>240.000000</t>
  </si>
  <si>
    <t>139.000</t>
  </si>
  <si>
    <t>200.669000</t>
  </si>
  <si>
    <t>185.986000</t>
  </si>
  <si>
    <t>180.113000</t>
  </si>
  <si>
    <t>175.218000</t>
  </si>
  <si>
    <t>233.810</t>
  </si>
  <si>
    <t>331.897000</t>
  </si>
  <si>
    <t>275.000000</t>
  </si>
  <si>
    <t>446</t>
  </si>
  <si>
    <t>16.120</t>
  </si>
  <si>
    <t>465.267</t>
  </si>
  <si>
    <t>590.000000</t>
  </si>
  <si>
    <t>580.000000</t>
  </si>
  <si>
    <t>115.280</t>
  </si>
  <si>
    <t>162.000000</t>
  </si>
  <si>
    <t>114.000000</t>
  </si>
  <si>
    <t>117.000000</t>
  </si>
  <si>
    <t>70.980</t>
  </si>
  <si>
    <t>59</t>
  </si>
  <si>
    <t>73.670</t>
  </si>
  <si>
    <t>89.000000</t>
  </si>
  <si>
    <t>4.310</t>
  </si>
  <si>
    <t>8.621000</t>
  </si>
  <si>
    <t>51.164000</t>
  </si>
  <si>
    <t>40.517000</t>
  </si>
  <si>
    <t>24.190</t>
  </si>
  <si>
    <t>37.931000</t>
  </si>
  <si>
    <t>41.379000</t>
  </si>
  <si>
    <t>34.483000</t>
  </si>
  <si>
    <t>32.759000</t>
  </si>
  <si>
    <t>40.000</t>
  </si>
  <si>
    <t>14.990</t>
  </si>
  <si>
    <t>ELECTROLIT HORCHATA - 625 ml  - 1 pza - PISA</t>
  </si>
  <si>
    <t>479</t>
  </si>
  <si>
    <t>ELECTROLIT NARANJA-MANDARINA - 625 ml  - 1 pza - PISA</t>
  </si>
  <si>
    <t>ELECTROLIT LIMA LIMÓN - 625 ml - 1 pza - PISA</t>
  </si>
  <si>
    <t>ELECTROLIT MORA AZUL - 625 ml - 1 pza - PISA</t>
  </si>
  <si>
    <t>ELECTROLIT COCO - 625 ml - 1 pza - PISA</t>
  </si>
  <si>
    <t>ELECTROLIT FRESA-KIWI - 625 ml - 1 pza - PISA</t>
  </si>
  <si>
    <t>265.000000</t>
  </si>
  <si>
    <t>203.000000</t>
  </si>
  <si>
    <t>879</t>
  </si>
  <si>
    <t>43.010</t>
  </si>
  <si>
    <t>54.310000</t>
  </si>
  <si>
    <t>1000</t>
  </si>
  <si>
    <t>77.250000</t>
  </si>
  <si>
    <t>75.700000</t>
  </si>
  <si>
    <t>74.190000</t>
  </si>
  <si>
    <t>94.828000</t>
  </si>
  <si>
    <t>7.400</t>
  </si>
  <si>
    <t>8.100000</t>
  </si>
  <si>
    <t>210.160</t>
  </si>
  <si>
    <t>234.000000</t>
  </si>
  <si>
    <t>256</t>
  </si>
  <si>
    <t>90.000</t>
  </si>
  <si>
    <t>235</t>
  </si>
  <si>
    <t>470</t>
  </si>
  <si>
    <t>98.000000</t>
  </si>
  <si>
    <t>239.660</t>
  </si>
  <si>
    <t>magaldrato/dimeticona - RIOPAN - gel 10 sob - 80/10 mg/1 ml - TAKEDA ---</t>
  </si>
  <si>
    <t>160.000000</t>
  </si>
  <si>
    <t>327</t>
  </si>
  <si>
    <t>225.860</t>
  </si>
  <si>
    <t>264.655000</t>
  </si>
  <si>
    <t>472</t>
  </si>
  <si>
    <t>16.000</t>
  </si>
  <si>
    <t>22.720</t>
  </si>
  <si>
    <t>110.390</t>
  </si>
  <si>
    <t>98.707000</t>
  </si>
  <si>
    <t>122.414000</t>
  </si>
  <si>
    <t>360</t>
  </si>
  <si>
    <t>88.000</t>
  </si>
  <si>
    <t>110.000000</t>
  </si>
  <si>
    <t>108.000000</t>
  </si>
  <si>
    <t>106.000000</t>
  </si>
  <si>
    <t>362.140</t>
  </si>
  <si>
    <t>550.000000</t>
  </si>
  <si>
    <t>410.000000</t>
  </si>
  <si>
    <t>61.000000</t>
  </si>
  <si>
    <t>38.490</t>
  </si>
  <si>
    <t>43.010000</t>
  </si>
  <si>
    <t>160</t>
  </si>
  <si>
    <t>320</t>
  </si>
  <si>
    <t>159.000000</t>
  </si>
  <si>
    <t>720</t>
  </si>
  <si>
    <t>1439</t>
  </si>
  <si>
    <t>15.450</t>
  </si>
  <si>
    <t>242</t>
  </si>
  <si>
    <t>26.550</t>
  </si>
  <si>
    <t>113.000000</t>
  </si>
  <si>
    <t>7.570</t>
  </si>
  <si>
    <t>VICK VAPORUB - 1 inhalador - 197 mg - P&amp;G</t>
  </si>
  <si>
    <t>155</t>
  </si>
  <si>
    <t>309</t>
  </si>
  <si>
    <t>49.138000</t>
  </si>
  <si>
    <t>109.870</t>
  </si>
  <si>
    <t>184.000000</t>
  </si>
  <si>
    <t>147.000000</t>
  </si>
  <si>
    <t>62.000</t>
  </si>
  <si>
    <t>126.000000</t>
  </si>
  <si>
    <t>202.590</t>
  </si>
  <si>
    <t>72.950</t>
  </si>
  <si>
    <t>97.000000</t>
  </si>
  <si>
    <t>186</t>
  </si>
  <si>
    <t>22.370</t>
  </si>
  <si>
    <t>24.000</t>
  </si>
  <si>
    <t>39.890</t>
  </si>
  <si>
    <t>42.440000</t>
  </si>
  <si>
    <t>84</t>
  </si>
  <si>
    <t>168</t>
  </si>
  <si>
    <t>152</t>
  </si>
  <si>
    <t>23.470</t>
  </si>
  <si>
    <t>28.820</t>
  </si>
  <si>
    <t>551</t>
  </si>
  <si>
    <t>1101</t>
  </si>
  <si>
    <t>268.900</t>
  </si>
  <si>
    <t>363.000000</t>
  </si>
  <si>
    <t>296.900000</t>
  </si>
  <si>
    <t>290.900000</t>
  </si>
  <si>
    <t>85.500000</t>
  </si>
  <si>
    <t>12.931000</t>
  </si>
  <si>
    <t>9.483000</t>
  </si>
  <si>
    <t>9.052000</t>
  </si>
  <si>
    <t>76.920</t>
  </si>
  <si>
    <t>96.000000</t>
  </si>
  <si>
    <t>7.340</t>
  </si>
  <si>
    <t>8.190000</t>
  </si>
  <si>
    <t>34.870</t>
  </si>
  <si>
    <t>37.400000</t>
  </si>
  <si>
    <t>8.490</t>
  </si>
  <si>
    <t>manzanilla/hialuronato - OPTIMILA H - fco got 15 ml - GRIN</t>
  </si>
  <si>
    <t>60.345000</t>
  </si>
  <si>
    <t>53.448000</t>
  </si>
  <si>
    <t>10.345000</t>
  </si>
  <si>
    <t>9.914000</t>
  </si>
  <si>
    <t>418</t>
  </si>
  <si>
    <t>24.630</t>
  </si>
  <si>
    <t>24.620</t>
  </si>
  <si>
    <t>26.100000</t>
  </si>
  <si>
    <t>75.250</t>
  </si>
  <si>
    <t>79.852000</t>
  </si>
  <si>
    <t>57.640</t>
  </si>
  <si>
    <t>15.790</t>
  </si>
  <si>
    <t>32.520</t>
  </si>
  <si>
    <t>93.690</t>
  </si>
  <si>
    <t>101.481000</t>
  </si>
  <si>
    <t>167.370</t>
  </si>
  <si>
    <t>194.444000</t>
  </si>
  <si>
    <t>ácido acetilsalicílico/cafeína - ALKA SELTZER BOOST - 10 tab - BAYER</t>
  </si>
  <si>
    <t>102</t>
  </si>
  <si>
    <t>203</t>
  </si>
  <si>
    <t>0.776</t>
  </si>
  <si>
    <t>25.860</t>
  </si>
  <si>
    <t>28.450000</t>
  </si>
  <si>
    <t>39.130</t>
  </si>
  <si>
    <t>314</t>
  </si>
  <si>
    <t>16.630</t>
  </si>
  <si>
    <t>214</t>
  </si>
  <si>
    <t>219.220</t>
  </si>
  <si>
    <t>427</t>
  </si>
  <si>
    <t>17.240</t>
  </si>
  <si>
    <t>24.140000</t>
  </si>
  <si>
    <t>20.690000</t>
  </si>
  <si>
    <t>258</t>
  </si>
  <si>
    <t>41.800000</t>
  </si>
  <si>
    <t>158.621</t>
  </si>
  <si>
    <t>171.550000</t>
  </si>
  <si>
    <t>8.730</t>
  </si>
  <si>
    <t>157.000000</t>
  </si>
  <si>
    <t>cloropiramina - AVAPENA - 20 tab - 25 mg - SANDOZ</t>
  </si>
  <si>
    <t>206.080</t>
  </si>
  <si>
    <t>amoxicilina/ambroxol - VANMOXOL - 12 cap - 500/30 mg - WANDEL</t>
  </si>
  <si>
    <t>paracetamol/fenilefrina/clorfenamina - XL3 ANTIGRIPAL - 10 tab - 325/10/4 mg - GENOMMA LAB</t>
  </si>
  <si>
    <t>368</t>
  </si>
  <si>
    <t>20.900</t>
  </si>
  <si>
    <t>175.000000</t>
  </si>
  <si>
    <t>154.000000</t>
  </si>
  <si>
    <t>12.647</t>
  </si>
  <si>
    <t>ceftriaxona/lidocaína - TRIXONA I.M. - iny 3.5 ml/1 g - BRULUAGSA</t>
  </si>
  <si>
    <t>246</t>
  </si>
  <si>
    <t>492</t>
  </si>
  <si>
    <t>29.080</t>
  </si>
  <si>
    <t>429</t>
  </si>
  <si>
    <t>139</t>
  </si>
  <si>
    <t>22.550</t>
  </si>
  <si>
    <t>45.980</t>
  </si>
  <si>
    <t>450.000000</t>
  </si>
  <si>
    <t>375.000000</t>
  </si>
  <si>
    <t>paracetamol - PARACETAMOL MEDLEY - 10 tab - 500 mg - SANOFI ---</t>
  </si>
  <si>
    <t>6.230</t>
  </si>
  <si>
    <t>202.000000</t>
  </si>
  <si>
    <t>121.420</t>
  </si>
  <si>
    <t>163.000000</t>
  </si>
  <si>
    <t>133.400000</t>
  </si>
  <si>
    <t>130.700000</t>
  </si>
  <si>
    <t>111.280</t>
  </si>
  <si>
    <t>207</t>
  </si>
  <si>
    <t>20.950</t>
  </si>
  <si>
    <t>31.450</t>
  </si>
  <si>
    <t>ceftriaxona -TRIXONA I.M. INY - 1 amp - 500 mg/2 ml - BRULUAGSA</t>
  </si>
  <si>
    <t>15.430</t>
  </si>
  <si>
    <t>47.500</t>
  </si>
  <si>
    <t>66.379000</t>
  </si>
  <si>
    <t>155.172</t>
  </si>
  <si>
    <t>207.759000</t>
  </si>
  <si>
    <t>80.000</t>
  </si>
  <si>
    <t>119.000000</t>
  </si>
  <si>
    <t>235.150</t>
  </si>
  <si>
    <t>314.655000</t>
  </si>
  <si>
    <t>179</t>
  </si>
  <si>
    <t>134.060</t>
  </si>
  <si>
    <t>119.900</t>
  </si>
  <si>
    <t>161.000000</t>
  </si>
  <si>
    <t>56.034000</t>
  </si>
  <si>
    <t>43.966000</t>
  </si>
  <si>
    <t>288</t>
  </si>
  <si>
    <t>471.830</t>
  </si>
  <si>
    <t>517.030000</t>
  </si>
  <si>
    <t>506.690000</t>
  </si>
  <si>
    <t>491.490000</t>
  </si>
  <si>
    <t>460</t>
  </si>
  <si>
    <t>920</t>
  </si>
  <si>
    <t>66.000</t>
  </si>
  <si>
    <t>72.700000</t>
  </si>
  <si>
    <t>guaifenesina/dextrometorfano - EPICOL INFANTIL - sol 120 ml -</t>
  </si>
  <si>
    <t>391</t>
  </si>
  <si>
    <t>781</t>
  </si>
  <si>
    <t>27.260</t>
  </si>
  <si>
    <t>476</t>
  </si>
  <si>
    <t>952</t>
  </si>
  <si>
    <t>103.640</t>
  </si>
  <si>
    <t>clonixinato de lisina/hioscina - DOLTRIX - iny 3 amp - 100/20 mg - MAVER</t>
  </si>
  <si>
    <t>475.000</t>
  </si>
  <si>
    <t>999.000000</t>
  </si>
  <si>
    <t>700.000000</t>
  </si>
  <si>
    <t>52.586000</t>
  </si>
  <si>
    <t>77.500000</t>
  </si>
  <si>
    <t>141.770</t>
  </si>
  <si>
    <t>51.724000</t>
  </si>
  <si>
    <t>47.414000</t>
  </si>
  <si>
    <t>46.552000</t>
  </si>
  <si>
    <t>45.690000</t>
  </si>
  <si>
    <t>2140</t>
  </si>
  <si>
    <t>4280</t>
  </si>
  <si>
    <t>150.862</t>
  </si>
  <si>
    <t>38.390</t>
  </si>
  <si>
    <t>45.000</t>
  </si>
  <si>
    <t>57.340</t>
  </si>
  <si>
    <t>603</t>
  </si>
  <si>
    <t>11.350</t>
  </si>
  <si>
    <t>14.655000</t>
  </si>
  <si>
    <t>13.190000</t>
  </si>
  <si>
    <t>306</t>
  </si>
  <si>
    <t>10.930</t>
  </si>
  <si>
    <t>279</t>
  </si>
  <si>
    <t>558</t>
  </si>
  <si>
    <t>11.340</t>
  </si>
  <si>
    <t>1050</t>
  </si>
  <si>
    <t>2100</t>
  </si>
  <si>
    <t>181</t>
  </si>
  <si>
    <t>47.500000</t>
  </si>
  <si>
    <t>168.241</t>
  </si>
  <si>
    <t>FOTOSUN UV 100 PROT SOLAR CREMA FACIAL &amp; CORPORAL USO DIARIO - 60 ml - DACLAF</t>
  </si>
  <si>
    <t>77.586000</t>
  </si>
  <si>
    <t>103.448000</t>
  </si>
  <si>
    <t>81.897000</t>
  </si>
  <si>
    <t>112.069000</t>
  </si>
  <si>
    <t>101.724000</t>
  </si>
  <si>
    <t>99.138000</t>
  </si>
  <si>
    <t>54.000</t>
  </si>
  <si>
    <t>TALCO MENNEN ROSA - 100 g - COLGATE PALMOLIVE</t>
  </si>
  <si>
    <t>42.241000</t>
  </si>
  <si>
    <t>33.621000</t>
  </si>
  <si>
    <t>CAPRICE NATURALS FIJADOR SÁBILA SPRAY - 316 ml - COLGATE</t>
  </si>
  <si>
    <t>paracetamol - SYNCOL MAX - 12 tab - 650/60/15 mg - SANFER</t>
  </si>
  <si>
    <t>86.900000</t>
  </si>
  <si>
    <t>glicerol - SUPOSITORIOS BEBÉ - 10 sup - 1478 mg - SENOSIAIN</t>
  </si>
  <si>
    <t>57.850</t>
  </si>
  <si>
    <t>glicerol - SUPOSITORIOS AD - 10 sup - 2632 mg - SENOSIAIN</t>
  </si>
  <si>
    <t>86.207000</t>
  </si>
  <si>
    <t>67.241000</t>
  </si>
  <si>
    <t>106.034000</t>
  </si>
  <si>
    <t>100.733000</t>
  </si>
  <si>
    <t>834</t>
  </si>
  <si>
    <t>1667</t>
  </si>
  <si>
    <t>18.930</t>
  </si>
  <si>
    <t>15.490</t>
  </si>
  <si>
    <t>22.020</t>
  </si>
  <si>
    <t>22.080</t>
  </si>
  <si>
    <t>912</t>
  </si>
  <si>
    <t>1824</t>
  </si>
  <si>
    <t>paracetamol/amantadina/clorfenamina - ANTIFLUDES Jr - jbe 60 ml - 0.5/0.02/3 g/100 ml - CHINOIN</t>
  </si>
  <si>
    <t>330.000000</t>
  </si>
  <si>
    <t>263</t>
  </si>
  <si>
    <t>151.500000</t>
  </si>
  <si>
    <t>1.724</t>
  </si>
  <si>
    <t>5.172000</t>
  </si>
  <si>
    <t>235.000000</t>
  </si>
  <si>
    <t>193.000000</t>
  </si>
  <si>
    <t>189.000000</t>
  </si>
  <si>
    <t>19.560</t>
  </si>
  <si>
    <t>26.700000</t>
  </si>
  <si>
    <t>101.000000</t>
  </si>
  <si>
    <t>28.448000</t>
  </si>
  <si>
    <t>12.810</t>
  </si>
  <si>
    <t>18.966000</t>
  </si>
  <si>
    <t>13.103000</t>
  </si>
  <si>
    <t>18.103000</t>
  </si>
  <si>
    <t>14.483000</t>
  </si>
  <si>
    <t>14.138000</t>
  </si>
  <si>
    <t>13.793000</t>
  </si>
  <si>
    <t>14.224000</t>
  </si>
  <si>
    <t>36.750</t>
  </si>
  <si>
    <t>40.948000</t>
  </si>
  <si>
    <t>340.210</t>
  </si>
  <si>
    <t>654</t>
  </si>
  <si>
    <t>19.210</t>
  </si>
  <si>
    <t>30.172000</t>
  </si>
  <si>
    <t>CUBREBOCAS AZUL (desechable, no esteril, tricapa) - 50 pzas - DL</t>
  </si>
  <si>
    <t>27.720</t>
  </si>
  <si>
    <t>50.862000</t>
  </si>
  <si>
    <t>36.207000</t>
  </si>
  <si>
    <t>35.345000</t>
  </si>
  <si>
    <t>24.940</t>
  </si>
  <si>
    <t>26.897000</t>
  </si>
  <si>
    <t>26.293000</t>
  </si>
  <si>
    <t>11.207000</t>
  </si>
  <si>
    <t>28.350</t>
  </si>
  <si>
    <t>38.793000</t>
  </si>
  <si>
    <t>39.655000</t>
  </si>
  <si>
    <t>6.560</t>
  </si>
  <si>
    <t>91.890</t>
  </si>
  <si>
    <t>124.000000</t>
  </si>
  <si>
    <t>26.710</t>
  </si>
  <si>
    <t>17.130</t>
  </si>
  <si>
    <t>19.390</t>
  </si>
  <si>
    <t>23.276000</t>
  </si>
  <si>
    <t>proteina c/vitamina c - ANIMALÍN GOMITAS - 60 gomitas - NATUREX</t>
  </si>
  <si>
    <t>19.800</t>
  </si>
  <si>
    <t>57.870</t>
  </si>
  <si>
    <t>84.180000</t>
  </si>
  <si>
    <t>242.000000</t>
  </si>
  <si>
    <t>414</t>
  </si>
  <si>
    <t>7.220</t>
  </si>
  <si>
    <t>255.000</t>
  </si>
  <si>
    <t>388.000000</t>
  </si>
  <si>
    <t>305.000000</t>
  </si>
  <si>
    <t>35.480</t>
  </si>
  <si>
    <t>13.210</t>
  </si>
  <si>
    <t>36.380</t>
  </si>
  <si>
    <t>18.060</t>
  </si>
  <si>
    <t>24.760000</t>
  </si>
  <si>
    <t>21.900000</t>
  </si>
  <si>
    <t>51.710</t>
  </si>
  <si>
    <t>17.700</t>
  </si>
  <si>
    <t>69.440</t>
  </si>
  <si>
    <t>50.510</t>
  </si>
  <si>
    <t>457</t>
  </si>
  <si>
    <t>37.060</t>
  </si>
  <si>
    <t>40.983000</t>
  </si>
  <si>
    <t>40.086000</t>
  </si>
  <si>
    <t>67.620</t>
  </si>
  <si>
    <t>44.650</t>
  </si>
  <si>
    <t>62.069000</t>
  </si>
  <si>
    <t>50.345000</t>
  </si>
  <si>
    <t>49.310000</t>
  </si>
  <si>
    <t>48.276000</t>
  </si>
  <si>
    <t>19.170</t>
  </si>
  <si>
    <t>26.724000</t>
  </si>
  <si>
    <t>25.862000</t>
  </si>
  <si>
    <t>dextrom/guaifenesina/fenilefrina - TUSILEN JBE AD - 118 ml - 0.300/2.4/0.050 g/100 ml - ALLEN</t>
  </si>
  <si>
    <t>218.103000</t>
  </si>
  <si>
    <t>168.100000</t>
  </si>
  <si>
    <t>163.790000</t>
  </si>
  <si>
    <t>67.500</t>
  </si>
  <si>
    <t>budesonida/formoterol - VANNAIR - inh 120 dosis - 160/4.5 mcg - ASTRA ZENECA</t>
  </si>
  <si>
    <t>1011.340</t>
  </si>
  <si>
    <t>1300.000000</t>
  </si>
  <si>
    <t>1200.000000</t>
  </si>
  <si>
    <t>SYMBICORT,BIDESYNT</t>
  </si>
  <si>
    <t>cefotaxima sódica - CEFOTAXIMA I.V. -  1 amp - 1 g/4 ml - AMSA --- (MAY25)</t>
  </si>
  <si>
    <t>16.400</t>
  </si>
  <si>
    <t>41.900</t>
  </si>
  <si>
    <t>22.900</t>
  </si>
  <si>
    <t>109</t>
  </si>
  <si>
    <t>126.000</t>
  </si>
  <si>
    <t>172.414000</t>
  </si>
  <si>
    <t>168.970000</t>
  </si>
  <si>
    <t>152.250</t>
  </si>
  <si>
    <t>184.800</t>
  </si>
  <si>
    <t>232.759000</t>
  </si>
  <si>
    <t>188.793000</t>
  </si>
  <si>
    <t>215.517000</t>
  </si>
  <si>
    <t>189.000</t>
  </si>
  <si>
    <t>241.379000</t>
  </si>
  <si>
    <t>199.500</t>
  </si>
  <si>
    <t>245.690000</t>
  </si>
  <si>
    <t>224.138000</t>
  </si>
  <si>
    <t>722</t>
  </si>
  <si>
    <t>1443</t>
  </si>
  <si>
    <t>19.950</t>
  </si>
  <si>
    <t>168.000000</t>
  </si>
  <si>
    <t>166.000000</t>
  </si>
  <si>
    <t>paracetamol/cafeina - SARIDON - 20 comp - 500/50 mg - BAYER</t>
  </si>
  <si>
    <t>61.000</t>
  </si>
  <si>
    <t>QUIMOFEINA,TEMPRA BOST</t>
  </si>
  <si>
    <t>23.280000</t>
  </si>
  <si>
    <t>146</t>
  </si>
  <si>
    <t>45.950</t>
  </si>
  <si>
    <t>52.700000</t>
  </si>
  <si>
    <t>67.350</t>
  </si>
  <si>
    <t>amlodipino - AMLODIPINO (Medley) - 30 tab - 5 mg - SANOFI</t>
  </si>
  <si>
    <t>24.830</t>
  </si>
  <si>
    <t>7501058623294CCC</t>
  </si>
  <si>
    <t>NAN 3 - 800 gr - NESTLÉ - SEPTIEMBRE 26</t>
  </si>
  <si>
    <t>196.000000</t>
  </si>
  <si>
    <t>15.440</t>
  </si>
  <si>
    <t>15.760</t>
  </si>
  <si>
    <t>22.222000</t>
  </si>
  <si>
    <t>15.820</t>
  </si>
  <si>
    <t>23.148000</t>
  </si>
  <si>
    <t>68.500000</t>
  </si>
  <si>
    <t>131.550</t>
  </si>
  <si>
    <t>17.730</t>
  </si>
  <si>
    <t>3.300</t>
  </si>
  <si>
    <t>6.034000</t>
  </si>
  <si>
    <t>7.759000</t>
  </si>
  <si>
    <t>venda elastica - IDEAL - 30 cm X 5 m - LE ROY</t>
  </si>
  <si>
    <t>16.170</t>
  </si>
  <si>
    <t>19.828000</t>
  </si>
  <si>
    <t>11.180</t>
  </si>
  <si>
    <t>guaifenesina/oxolamina - OTOFEN - jbe 140 ml - 0.1/0.05 g/5 ml - ARLEX</t>
  </si>
  <si>
    <t>FIJADOR CAPRICE CERAMIDAS - 316 ml - COLGATE PALMOLIVE ---</t>
  </si>
  <si>
    <t>42.240000</t>
  </si>
  <si>
    <t>41.810000</t>
  </si>
  <si>
    <t>238.000000</t>
  </si>
  <si>
    <t>190.000000</t>
  </si>
  <si>
    <t>22.060</t>
  </si>
  <si>
    <t>695</t>
  </si>
  <si>
    <t>35.140</t>
  </si>
  <si>
    <t>29.520</t>
  </si>
  <si>
    <t>58.621000</t>
  </si>
  <si>
    <t>87.931000</t>
  </si>
  <si>
    <t>290.000</t>
  </si>
  <si>
    <t>352.586000</t>
  </si>
  <si>
    <t>127.930</t>
  </si>
  <si>
    <t>184.483000</t>
  </si>
  <si>
    <t>81.860</t>
  </si>
  <si>
    <t>20.400</t>
  </si>
  <si>
    <t>14.655</t>
  </si>
  <si>
    <t>9.830</t>
  </si>
  <si>
    <t>17.224000</t>
  </si>
  <si>
    <t>11.630000</t>
  </si>
  <si>
    <t>4.670</t>
  </si>
  <si>
    <t>75.000</t>
  </si>
  <si>
    <t>208</t>
  </si>
  <si>
    <t>490</t>
  </si>
  <si>
    <t>17.660</t>
  </si>
  <si>
    <t>21.800000</t>
  </si>
  <si>
    <t>73.500000</t>
  </si>
  <si>
    <t>26.880</t>
  </si>
  <si>
    <t>533</t>
  </si>
  <si>
    <t>1066</t>
  </si>
  <si>
    <t>19.860</t>
  </si>
  <si>
    <t>3.990</t>
  </si>
  <si>
    <t>4.720</t>
  </si>
  <si>
    <t>4.990000</t>
  </si>
  <si>
    <t>38.760</t>
  </si>
  <si>
    <t>salbutamol/ambroxol - WEXPEC - sol 120 ml - 2/7.5/5 ml - BIOMEP</t>
  </si>
  <si>
    <t>14.900</t>
  </si>
  <si>
    <t>cetirizina - RETIRIX - 100 mg/ 100 ml - frasco 50 ml - BIOMEP</t>
  </si>
  <si>
    <t>294.000000</t>
  </si>
  <si>
    <t>244.700</t>
  </si>
  <si>
    <t>290.000000</t>
  </si>
  <si>
    <t>216.000000</t>
  </si>
  <si>
    <t>12.630</t>
  </si>
  <si>
    <t>68.200</t>
  </si>
  <si>
    <t>indometacina/dexametasona - INDARZONA - 30 cap - 25/0.5 mg - STREGER</t>
  </si>
  <si>
    <t>498</t>
  </si>
  <si>
    <t>56.660</t>
  </si>
  <si>
    <t>78.448000</t>
  </si>
  <si>
    <t>61.207000</t>
  </si>
  <si>
    <t>42.900</t>
  </si>
  <si>
    <t>0.010</t>
  </si>
  <si>
    <t>120.300</t>
  </si>
  <si>
    <t>31.740</t>
  </si>
  <si>
    <t>18.900</t>
  </si>
  <si>
    <t>12.120</t>
  </si>
  <si>
    <t>13.600000</t>
  </si>
  <si>
    <t>6.150</t>
  </si>
  <si>
    <t>15.380</t>
  </si>
  <si>
    <t>56.570</t>
  </si>
  <si>
    <t>261</t>
  </si>
  <si>
    <t>14.340</t>
  </si>
  <si>
    <t>88.110</t>
  </si>
  <si>
    <t>139.480</t>
  </si>
  <si>
    <t>118.950</t>
  </si>
  <si>
    <t>15.010</t>
  </si>
  <si>
    <t>3.080</t>
  </si>
  <si>
    <t>42.845000</t>
  </si>
  <si>
    <t>41.983000</t>
  </si>
  <si>
    <t>70.690000</t>
  </si>
  <si>
    <t>vitaminas/minerales - GELCAVIT GEM - 30 cap - 1.28 g - PHARMACAPS ---</t>
  </si>
  <si>
    <t>97.414000</t>
  </si>
  <si>
    <t>254.870</t>
  </si>
  <si>
    <t>58.230</t>
  </si>
  <si>
    <t>49.660</t>
  </si>
  <si>
    <t>54.280</t>
  </si>
  <si>
    <t>60.780</t>
  </si>
  <si>
    <t>63.310000</t>
  </si>
  <si>
    <t>11.080</t>
  </si>
  <si>
    <t>25.871000</t>
  </si>
  <si>
    <t>22.150</t>
  </si>
  <si>
    <t>111.610</t>
  </si>
  <si>
    <t>19.900</t>
  </si>
  <si>
    <t>46.010</t>
  </si>
  <si>
    <t>vitaminas/minerales - GELCAVIT HO - 30 cap - 1.13 g - PHARMACAPS ---</t>
  </si>
  <si>
    <t>55.930</t>
  </si>
  <si>
    <t>103.380</t>
  </si>
  <si>
    <t>11.930</t>
  </si>
  <si>
    <t>215.000</t>
  </si>
  <si>
    <t>226.523000</t>
  </si>
  <si>
    <t>192.000000</t>
  </si>
  <si>
    <t>187.500000</t>
  </si>
  <si>
    <t>34.397</t>
  </si>
  <si>
    <t>39.655</t>
  </si>
  <si>
    <t>7.790</t>
  </si>
  <si>
    <t>90.517000</t>
  </si>
  <si>
    <t>Neomicina, retinol- VITACILINA- 32 gr- KSK-</t>
  </si>
  <si>
    <t>vitaminas/minerales - TRIBEKIDS - 240 ml - BRULUART -</t>
  </si>
  <si>
    <t>850.000</t>
  </si>
  <si>
    <t>1100.000000</t>
  </si>
  <si>
    <t>975.000000</t>
  </si>
  <si>
    <t>955.000000</t>
  </si>
  <si>
    <t>899.000000</t>
  </si>
  <si>
    <t>41.160</t>
  </si>
  <si>
    <t>46.550000</t>
  </si>
  <si>
    <t>aluminio/magnesio/dimeticona/metoclopramida - ESPRADEN - 30 tab - 200/200/50/10 mg - DEGORT'S</t>
  </si>
  <si>
    <t>232</t>
  </si>
  <si>
    <t>464</t>
  </si>
  <si>
    <t>199.590</t>
  </si>
  <si>
    <t>213.000000</t>
  </si>
  <si>
    <t>212.000000</t>
  </si>
  <si>
    <t>111.450</t>
  </si>
  <si>
    <t>129.310000</t>
  </si>
  <si>
    <t>nifuroxazida - TOPRON - 16 cap - 400 mg - CHINOIN</t>
  </si>
  <si>
    <t>140.040</t>
  </si>
  <si>
    <t>34.630</t>
  </si>
  <si>
    <t>vitaminas/minerales - GELCAVIT MULIER - 200 mg - 30 cap - PHARMACAPS</t>
  </si>
  <si>
    <t>bromhexina/amoxicilina - ACROXIL-C - 60 ml - 250/8 mg/5 ml - SONS</t>
  </si>
  <si>
    <t>117</t>
  </si>
  <si>
    <t>amoxicilina/ácido clavulánico - CLAVIPEN 12 H - 10 tab - 875/125 mg - BRULUAGSA</t>
  </si>
  <si>
    <t>33.690</t>
  </si>
  <si>
    <t>16.290</t>
  </si>
  <si>
    <t>ácido acetilsalicílico - ASPIRINA EFERVESCENTE - 12 tab - 500 mg - BAYER</t>
  </si>
  <si>
    <t>14.360</t>
  </si>
  <si>
    <t>44.120</t>
  </si>
  <si>
    <t>38.790</t>
  </si>
  <si>
    <t>41.129000</t>
  </si>
  <si>
    <t>39.510</t>
  </si>
  <si>
    <t>84.000</t>
  </si>
  <si>
    <t>14.500</t>
  </si>
  <si>
    <t>36.330</t>
  </si>
  <si>
    <t>110.230</t>
  </si>
  <si>
    <t>8.250</t>
  </si>
  <si>
    <t>2.900</t>
  </si>
  <si>
    <t>145</t>
  </si>
  <si>
    <t>41.720</t>
  </si>
  <si>
    <t>44.800000</t>
  </si>
  <si>
    <t>166</t>
  </si>
  <si>
    <t>146.819</t>
  </si>
  <si>
    <t>155.172000</t>
  </si>
  <si>
    <t>121.655</t>
  </si>
  <si>
    <t>141.379000</t>
  </si>
  <si>
    <t>complejo B/diclofenaco - ARIFLAM FORTE - 30 tab - 50/50/50/1.0 mg - ULTRA</t>
  </si>
  <si>
    <t>68.670</t>
  </si>
  <si>
    <t>45.259000</t>
  </si>
  <si>
    <t>68.790</t>
  </si>
  <si>
    <t>379.830</t>
  </si>
  <si>
    <t>500.000000</t>
  </si>
  <si>
    <t>435.000000</t>
  </si>
  <si>
    <t>430.000000</t>
  </si>
  <si>
    <t>426.000000</t>
  </si>
  <si>
    <t>27.586000</t>
  </si>
  <si>
    <t>32.440</t>
  </si>
  <si>
    <t>18.940</t>
  </si>
  <si>
    <t>534</t>
  </si>
  <si>
    <t>1067</t>
  </si>
  <si>
    <t>38.800</t>
  </si>
  <si>
    <t>42.670000</t>
  </si>
  <si>
    <t>23.810</t>
  </si>
  <si>
    <t>90.300000</t>
  </si>
  <si>
    <t>venlafaxina - VENLAFAXINA LP - 20 cap - 75 mg - AMSA -</t>
  </si>
  <si>
    <t>7.328000</t>
  </si>
  <si>
    <t>44.828000</t>
  </si>
  <si>
    <t>43.707000</t>
  </si>
  <si>
    <t>7.890</t>
  </si>
  <si>
    <t>24.310</t>
  </si>
  <si>
    <t>230.000</t>
  </si>
  <si>
    <t>275.862000</t>
  </si>
  <si>
    <t>cinarizina - CYSLEV - 60 tab - 75 mg - RAAM</t>
  </si>
  <si>
    <t>28.370</t>
  </si>
  <si>
    <t>30.800</t>
  </si>
  <si>
    <t>23.293000</t>
  </si>
  <si>
    <t>18.207000</t>
  </si>
  <si>
    <t>167</t>
  </si>
  <si>
    <t>9.290</t>
  </si>
  <si>
    <t>160.990</t>
  </si>
  <si>
    <t>84.483</t>
  </si>
  <si>
    <t>30.960</t>
  </si>
  <si>
    <t>15.200</t>
  </si>
  <si>
    <t>9.360</t>
  </si>
  <si>
    <t>5.431000</t>
  </si>
  <si>
    <t>venda elástica - IDEAL - 15 cm x 5 m - LE ROY</t>
  </si>
  <si>
    <t>8.890</t>
  </si>
  <si>
    <t>HALOPERIDOL - 20 tab - 5 mg - APOTEX</t>
  </si>
  <si>
    <t>48.370</t>
  </si>
  <si>
    <t>dextrometorfano/sulfoguayacol - OXIN AD - 120 ml - 0.15/2.5 g/100 ml - SONS</t>
  </si>
  <si>
    <t>26.600000</t>
  </si>
  <si>
    <t>352</t>
  </si>
  <si>
    <t>58.390</t>
  </si>
  <si>
    <t>79.310000</t>
  </si>
  <si>
    <t>61.740</t>
  </si>
  <si>
    <t>65.517000</t>
  </si>
  <si>
    <t>64.397000</t>
  </si>
  <si>
    <t>5.100</t>
  </si>
  <si>
    <t>331</t>
  </si>
  <si>
    <t>18.480</t>
  </si>
  <si>
    <t>298.000000</t>
  </si>
  <si>
    <t>181.000000</t>
  </si>
  <si>
    <t>159.500000</t>
  </si>
  <si>
    <t>158.064000</t>
  </si>
  <si>
    <t>219.510</t>
  </si>
  <si>
    <t>280</t>
  </si>
  <si>
    <t>7.490</t>
  </si>
  <si>
    <t>120.120</t>
  </si>
  <si>
    <t>144.870</t>
  </si>
  <si>
    <t>141</t>
  </si>
  <si>
    <t>9.900</t>
  </si>
  <si>
    <t>43.100</t>
  </si>
  <si>
    <t>42.920</t>
  </si>
  <si>
    <t>173.750</t>
  </si>
  <si>
    <t>88.190</t>
  </si>
  <si>
    <t>98.793000</t>
  </si>
  <si>
    <t>96.810000</t>
  </si>
  <si>
    <t>95.690000</t>
  </si>
  <si>
    <t>45.850</t>
  </si>
  <si>
    <t>595</t>
  </si>
  <si>
    <t>algestona/estradiol - PERLUDIL - 1 amp iny - 150/10 mg/1 ml - COLLINS</t>
  </si>
  <si>
    <t>55.750</t>
  </si>
  <si>
    <t>67.590</t>
  </si>
  <si>
    <t>372.000000</t>
  </si>
  <si>
    <t>344.000000</t>
  </si>
  <si>
    <t>119.790</t>
  </si>
  <si>
    <t>35.330</t>
  </si>
  <si>
    <t>lacosamida - LACOSAMIDA - 28 tab - 100 mg - CAMBER</t>
  </si>
  <si>
    <t>257.520</t>
  </si>
  <si>
    <t>370.000000</t>
  </si>
  <si>
    <t>345.000000</t>
  </si>
  <si>
    <t>340.000000</t>
  </si>
  <si>
    <t>34.140</t>
  </si>
  <si>
    <t>63.070</t>
  </si>
  <si>
    <t>896</t>
  </si>
  <si>
    <t>28.880000</t>
  </si>
  <si>
    <t>13.790</t>
  </si>
  <si>
    <t>2.240</t>
  </si>
  <si>
    <t>3.448000</t>
  </si>
  <si>
    <t>36.638</t>
  </si>
  <si>
    <t>1025</t>
  </si>
  <si>
    <t>2050</t>
  </si>
  <si>
    <t>123.200</t>
  </si>
  <si>
    <t>83.260</t>
  </si>
  <si>
    <t>86.580</t>
  </si>
  <si>
    <t>43.103000</t>
  </si>
  <si>
    <t>57.790</t>
  </si>
  <si>
    <t>233</t>
  </si>
  <si>
    <t>465</t>
  </si>
  <si>
    <t>4.600</t>
  </si>
  <si>
    <t>10.410</t>
  </si>
  <si>
    <t>11.100000</t>
  </si>
  <si>
    <t>310.970</t>
  </si>
  <si>
    <t>6.890</t>
  </si>
  <si>
    <t>22.120</t>
  </si>
  <si>
    <t>786.000000</t>
  </si>
  <si>
    <t>41.210</t>
  </si>
  <si>
    <t>35.250</t>
  </si>
  <si>
    <t>calcio/fosforo/vitaminas a y d - EMULSIÓN SCOTT (NARANJA) - 200 ml - GSK</t>
  </si>
  <si>
    <t>87.450</t>
  </si>
  <si>
    <t>95.500000</t>
  </si>
  <si>
    <t>94.500000</t>
  </si>
  <si>
    <t>hioscina/paracetamol - PRECICOL - fco got 20 ml - 2 mg - 100 mg/ml - LIFERPAL MD</t>
  </si>
  <si>
    <t>59.350</t>
  </si>
  <si>
    <t>acetónido de fluocinolona/metro/nistatina - ACETÓNIDO/METRONI/NISTATINA - 10 óv - 0.50/500 mg/100,000 UI - LOEFFLER</t>
  </si>
  <si>
    <t>26.690</t>
  </si>
  <si>
    <t>budesonida - BUDESONIDA SUSP - 5 amp - 0.500 mg/ 2 ml - AMSA</t>
  </si>
  <si>
    <t>134.710</t>
  </si>
  <si>
    <t>48.250</t>
  </si>
  <si>
    <t>48.670</t>
  </si>
  <si>
    <t>14.950</t>
  </si>
  <si>
    <t>15.520</t>
  </si>
  <si>
    <t>5.690</t>
  </si>
  <si>
    <t>4.750</t>
  </si>
  <si>
    <t>6.897000</t>
  </si>
  <si>
    <t>32.630</t>
  </si>
  <si>
    <t>250</t>
  </si>
  <si>
    <t>12.290</t>
  </si>
  <si>
    <t>16.660000</t>
  </si>
  <si>
    <t>26.400000</t>
  </si>
  <si>
    <t>182</t>
  </si>
  <si>
    <t>9.250</t>
  </si>
  <si>
    <t>10.780000</t>
  </si>
  <si>
    <t>10.170000</t>
  </si>
  <si>
    <t>92.150</t>
  </si>
  <si>
    <t>47.590</t>
  </si>
  <si>
    <t>55.640</t>
  </si>
  <si>
    <t>62.931000</t>
  </si>
  <si>
    <t>118.000</t>
  </si>
  <si>
    <t>13.390</t>
  </si>
  <si>
    <t>14.100000</t>
  </si>
  <si>
    <t>16.180</t>
  </si>
  <si>
    <t>18.970</t>
  </si>
  <si>
    <t>6.740</t>
  </si>
  <si>
    <t>43.430</t>
  </si>
  <si>
    <t>44.300000</t>
  </si>
  <si>
    <t>18.150</t>
  </si>
  <si>
    <t>31.580</t>
  </si>
  <si>
    <t>8.080</t>
  </si>
  <si>
    <t>8.170</t>
  </si>
  <si>
    <t>15.086000</t>
  </si>
  <si>
    <t>14.370</t>
  </si>
  <si>
    <t>451.130</t>
  </si>
  <si>
    <t>575.000000</t>
  </si>
  <si>
    <t>499.060</t>
  </si>
  <si>
    <t>890.000000</t>
  </si>
  <si>
    <t>107.700</t>
  </si>
  <si>
    <t>123.500000</t>
  </si>
  <si>
    <t>55.172000</t>
  </si>
  <si>
    <t>33.580</t>
  </si>
  <si>
    <t>gasa seca algodón - KURAMEX - 100 pza - 10 x 10 cm - SALUDMEDIC</t>
  </si>
  <si>
    <t>145.530</t>
  </si>
  <si>
    <t>201.000000</t>
  </si>
  <si>
    <t>164.600000</t>
  </si>
  <si>
    <t>161.300000</t>
  </si>
  <si>
    <t>19.655000</t>
  </si>
  <si>
    <t>6.040</t>
  </si>
  <si>
    <t>12.870</t>
  </si>
  <si>
    <t>105.950</t>
  </si>
  <si>
    <t>119.800000</t>
  </si>
  <si>
    <t>117.400000</t>
  </si>
  <si>
    <t>16.810000</t>
  </si>
  <si>
    <t>15.948000</t>
  </si>
  <si>
    <t>carbonato de calcio/colecalciferol - CALTRATE 600+D - 30 tab - 600 mg/400 ui - GSK</t>
  </si>
  <si>
    <t>SILDENAFIL - 4 tab - 100 mg - QUIFA</t>
  </si>
  <si>
    <t>15.080</t>
  </si>
  <si>
    <t>paracetamol/cafeína/fenilefrina - SEDALMERCK - 40 tab (10 sob c/4 tab c/u) - 500/50/5 mg - P&amp;G</t>
  </si>
  <si>
    <t>137.890</t>
  </si>
  <si>
    <t>377.710</t>
  </si>
  <si>
    <t>426.724000</t>
  </si>
  <si>
    <t>prednisona - NORAPRED - 20 tab - 50 mg - BRULUART</t>
  </si>
  <si>
    <t>6.670</t>
  </si>
  <si>
    <t>29.260</t>
  </si>
  <si>
    <t>2.650</t>
  </si>
  <si>
    <t>795.320</t>
  </si>
  <si>
    <t>1155.000000</t>
  </si>
  <si>
    <t>265.700</t>
  </si>
  <si>
    <t>130.710</t>
  </si>
  <si>
    <t>48.690</t>
  </si>
  <si>
    <t>55.776000</t>
  </si>
  <si>
    <t>12.900</t>
  </si>
  <si>
    <t>76.000</t>
  </si>
  <si>
    <t>11.240</t>
  </si>
  <si>
    <t>9.580</t>
  </si>
  <si>
    <t>4.790</t>
  </si>
  <si>
    <t>5.345000</t>
  </si>
  <si>
    <t>5.043000</t>
  </si>
  <si>
    <t>5.776000</t>
  </si>
  <si>
    <t>5.603000</t>
  </si>
  <si>
    <t>14.470</t>
  </si>
  <si>
    <t>20.759</t>
  </si>
  <si>
    <t>6.860</t>
  </si>
  <si>
    <t>13.560</t>
  </si>
  <si>
    <t>239.000000</t>
  </si>
  <si>
    <t>14.530</t>
  </si>
  <si>
    <t>82.000</t>
  </si>
  <si>
    <t>18.130</t>
  </si>
  <si>
    <t>31.500</t>
  </si>
  <si>
    <t>24.320</t>
  </si>
  <si>
    <t>13.620</t>
  </si>
  <si>
    <t>calcio/fosforo/vitaminas a y d - EMULSIÓN SCOTT (CEREZA) - 200 ml - GSK</t>
  </si>
  <si>
    <t>84.070</t>
  </si>
  <si>
    <t>116.000000</t>
  </si>
  <si>
    <t>94.800000</t>
  </si>
  <si>
    <t>92.900000</t>
  </si>
  <si>
    <t>40.300</t>
  </si>
  <si>
    <t>43.880000</t>
  </si>
  <si>
    <t>43.710000</t>
  </si>
  <si>
    <t>43.530000</t>
  </si>
  <si>
    <t>MICRODACYN N60 - SODIO CLORO 55 - 80 PPM 1 BOT - 120 ML ---</t>
  </si>
  <si>
    <t>193.966000</t>
  </si>
  <si>
    <t>223.460</t>
  </si>
  <si>
    <t>306.897000</t>
  </si>
  <si>
    <t>251.466000</t>
  </si>
  <si>
    <t>246.379000</t>
  </si>
  <si>
    <t>282.680</t>
  </si>
  <si>
    <t>250.580</t>
  </si>
  <si>
    <t>168.790</t>
  </si>
  <si>
    <t>329.310000</t>
  </si>
  <si>
    <t>269.397000</t>
  </si>
  <si>
    <t>263.966000</t>
  </si>
  <si>
    <t>258.621000</t>
  </si>
  <si>
    <t>40.010</t>
  </si>
  <si>
    <t>406.740</t>
  </si>
  <si>
    <t>460.000000</t>
  </si>
  <si>
    <t>15.500</t>
  </si>
  <si>
    <t>352.000000</t>
  </si>
  <si>
    <t>24.490</t>
  </si>
  <si>
    <t>8.790000</t>
  </si>
  <si>
    <t>12.069000</t>
  </si>
  <si>
    <t>ALGODON PLISADO - 25 g - QUIRMEX</t>
  </si>
  <si>
    <t>60.450</t>
  </si>
  <si>
    <t>46.980</t>
  </si>
  <si>
    <t>126.290</t>
  </si>
  <si>
    <t>201.914000</t>
  </si>
  <si>
    <t>142.241000</t>
  </si>
  <si>
    <t>7.680</t>
  </si>
  <si>
    <t>15.710</t>
  </si>
  <si>
    <t>3.520</t>
  </si>
  <si>
    <t>7.800</t>
  </si>
  <si>
    <t>16.724000</t>
  </si>
  <si>
    <t>36.400</t>
  </si>
  <si>
    <t>11.500</t>
  </si>
  <si>
    <t>25.560</t>
  </si>
  <si>
    <t>cloruro de benzalconio - MERTODOL TINTURA ROJO - 40 ml - JALOMA</t>
  </si>
  <si>
    <t>10.310</t>
  </si>
  <si>
    <t>11.056000</t>
  </si>
  <si>
    <t>37.350</t>
  </si>
  <si>
    <t>109.560</t>
  </si>
  <si>
    <t>32.310</t>
  </si>
  <si>
    <t>10.270</t>
  </si>
  <si>
    <t>25.790</t>
  </si>
  <si>
    <t>62.360</t>
  </si>
  <si>
    <t>67.600000</t>
  </si>
  <si>
    <t>75.100</t>
  </si>
  <si>
    <t>paracetamol/fenilefrina/dextro/clofenamina - TABCIN ACTIVE - 12 cap - BAYER</t>
  </si>
  <si>
    <t>42.720</t>
  </si>
  <si>
    <t>5.730</t>
  </si>
  <si>
    <t>33.370</t>
  </si>
  <si>
    <t>46.550</t>
  </si>
  <si>
    <t>818.000</t>
  </si>
  <si>
    <t>104.950</t>
  </si>
  <si>
    <t>228.740</t>
  </si>
  <si>
    <t>19.140</t>
  </si>
  <si>
    <t>24.138000</t>
  </si>
  <si>
    <t>9.940</t>
  </si>
  <si>
    <t>18.210</t>
  </si>
  <si>
    <t>sildenafil - YSUS - 4 tab - 100 mg - VITAE</t>
  </si>
  <si>
    <t>25.570</t>
  </si>
  <si>
    <t>73.840</t>
  </si>
  <si>
    <t>107.450</t>
  </si>
  <si>
    <t>63.650</t>
  </si>
  <si>
    <t>415.060</t>
  </si>
  <si>
    <t>517.241000</t>
  </si>
  <si>
    <t>irbesartán/hidroclorotiazida - IRBESARTÁN/HIDROCLOROTIAZIDA - 14 tab - 300/12.5 mg - CAMBER</t>
  </si>
  <si>
    <t>72.980</t>
  </si>
  <si>
    <t>52.800000</t>
  </si>
  <si>
    <t>121.310</t>
  </si>
  <si>
    <t>14.690</t>
  </si>
  <si>
    <t>25.580</t>
  </si>
  <si>
    <t>84.500</t>
  </si>
  <si>
    <t>TRADITOR GEL - tubo 60 g - 500-50 mg/100 g - MAVER ---</t>
  </si>
  <si>
    <t>betametasona/indometacina/metocarbamol - VERATRIN - 20 cap - 0.75/25/215 mg - MAVER</t>
  </si>
  <si>
    <t>lidocaina/neomicina - OTILIN - got 20 ml - 350 mg/2 g - COLLINS - *FB*</t>
  </si>
  <si>
    <t>63.220</t>
  </si>
  <si>
    <t>ibuprofeno-AFLENO 600Mg C10-BRULUGASA---</t>
  </si>
  <si>
    <t>metronidazol/nistatina/flucocinolona - NYSMOSON´S S-V - 10 ov - 500/100 000 U,0.5 - SONS</t>
  </si>
  <si>
    <t>23.680</t>
  </si>
  <si>
    <t>25.190000</t>
  </si>
  <si>
    <t>metformina/glibenclamida - WADIL - 60 tab - 500/5 mg - BIOMEP - FB</t>
  </si>
  <si>
    <t>12.500</t>
  </si>
  <si>
    <t>51.680</t>
  </si>
  <si>
    <t>ELECTROLIT PONCHE DE FRUTAS - 625 ml  - 1 pza - PISA</t>
  </si>
  <si>
    <t>31.630</t>
  </si>
  <si>
    <t>34.510</t>
  </si>
  <si>
    <t>85.060</t>
  </si>
  <si>
    <t>8.100</t>
  </si>
  <si>
    <t>93.530</t>
  </si>
  <si>
    <t>0.900</t>
  </si>
  <si>
    <t>4.900</t>
  </si>
  <si>
    <t>1.900</t>
  </si>
  <si>
    <t>36.710</t>
  </si>
  <si>
    <t>37.840</t>
  </si>
  <si>
    <t>45.570</t>
  </si>
  <si>
    <t>41.730</t>
  </si>
  <si>
    <t>18.530000</t>
  </si>
  <si>
    <t>10.150</t>
  </si>
  <si>
    <t>9.460</t>
  </si>
  <si>
    <t>7.060</t>
  </si>
  <si>
    <t>12.830</t>
  </si>
  <si>
    <t>13.510000</t>
  </si>
  <si>
    <t>12.160</t>
  </si>
  <si>
    <t>12.970</t>
  </si>
  <si>
    <t>12.980</t>
  </si>
  <si>
    <t>13.660000</t>
  </si>
  <si>
    <t>5.950</t>
  </si>
  <si>
    <t>6.466000</t>
  </si>
  <si>
    <t>7.090</t>
  </si>
  <si>
    <t>37.552000</t>
  </si>
  <si>
    <t>36.100000</t>
  </si>
  <si>
    <t>243.130</t>
  </si>
  <si>
    <t>198.310</t>
  </si>
  <si>
    <t>140.300</t>
  </si>
  <si>
    <t>15.700</t>
  </si>
  <si>
    <t>51.810</t>
  </si>
  <si>
    <t>22.990</t>
  </si>
  <si>
    <t>15.862000</t>
  </si>
  <si>
    <t>46.900</t>
  </si>
  <si>
    <t>18.100000</t>
  </si>
  <si>
    <t>11.700</t>
  </si>
  <si>
    <t>15.040</t>
  </si>
  <si>
    <t>92.380</t>
  </si>
  <si>
    <t>109.490000</t>
  </si>
  <si>
    <t>101.530000</t>
  </si>
  <si>
    <t>240.130</t>
  </si>
  <si>
    <t>10.050</t>
  </si>
  <si>
    <t>117.800</t>
  </si>
  <si>
    <t>5.500</t>
  </si>
  <si>
    <t>84.570</t>
  </si>
  <si>
    <t>35.000</t>
  </si>
  <si>
    <t>8.480</t>
  </si>
  <si>
    <t>404.950</t>
  </si>
  <si>
    <t>OSELTAMIVIR - susp 60 ml - 6 mg/ml - PHARMAGEN</t>
  </si>
  <si>
    <t>167.030</t>
  </si>
  <si>
    <t>225.000000</t>
  </si>
  <si>
    <t>255.190</t>
  </si>
  <si>
    <t>295.000000</t>
  </si>
  <si>
    <t>24.900</t>
  </si>
  <si>
    <t>231</t>
  </si>
  <si>
    <t>461</t>
  </si>
  <si>
    <t>31.030</t>
  </si>
  <si>
    <t>15.690000</t>
  </si>
  <si>
    <t>19.850</t>
  </si>
  <si>
    <t>6.300</t>
  </si>
  <si>
    <t>38.600</t>
  </si>
  <si>
    <t>13.800</t>
  </si>
  <si>
    <t>20.170</t>
  </si>
  <si>
    <t>ACEITE MENNEN - 50 ml - COLGATE PALMOLIVE</t>
  </si>
  <si>
    <t>35.770</t>
  </si>
  <si>
    <t>39.480</t>
  </si>
  <si>
    <t>36.950</t>
  </si>
  <si>
    <t>glucosamina/condroitina - KERNOLINE - 30 sob - 1500/1200 mg - ULTRA---</t>
  </si>
  <si>
    <t>484.880</t>
  </si>
  <si>
    <t>156.000</t>
  </si>
  <si>
    <t>173.220</t>
  </si>
  <si>
    <t>14.560</t>
  </si>
  <si>
    <t>23.103</t>
  </si>
  <si>
    <t>39.900</t>
  </si>
  <si>
    <t>89.000</t>
  </si>
  <si>
    <t>369.000</t>
  </si>
  <si>
    <t>394.490000</t>
  </si>
  <si>
    <t>386.600000</t>
  </si>
  <si>
    <t>32.570000</t>
  </si>
  <si>
    <t>187.950</t>
  </si>
  <si>
    <t>215.000000</t>
  </si>
  <si>
    <t>270.660</t>
  </si>
  <si>
    <t>314.000000</t>
  </si>
  <si>
    <t>paracetamol/amantadina/clorfenamina - ROSEL T - 24 tab - WERMAR</t>
  </si>
  <si>
    <t>27.500</t>
  </si>
  <si>
    <t>9.800</t>
  </si>
  <si>
    <t>glicerol - SUPOSITORIOS NIÑO - 10 sup - 1380 mg - SENOSIAIN</t>
  </si>
  <si>
    <t>14.700</t>
  </si>
  <si>
    <t>16.380000</t>
  </si>
  <si>
    <t>15.640000</t>
  </si>
  <si>
    <t>11.280</t>
  </si>
  <si>
    <t>34.090</t>
  </si>
  <si>
    <t>36.280000</t>
  </si>
  <si>
    <t>23.330</t>
  </si>
  <si>
    <t>7.070</t>
  </si>
  <si>
    <t>7.520000</t>
  </si>
  <si>
    <t>306.720</t>
  </si>
  <si>
    <t>357.000000</t>
  </si>
  <si>
    <t>246.210</t>
  </si>
  <si>
    <t>23.510</t>
  </si>
  <si>
    <t>24.520000</t>
  </si>
  <si>
    <t>55.790</t>
  </si>
  <si>
    <t>59.990000</t>
  </si>
  <si>
    <t>144.840</t>
  </si>
  <si>
    <t>10.720</t>
  </si>
  <si>
    <t>35.030</t>
  </si>
  <si>
    <t>paracetamol, fenilefrina, dextro, clofenamina-TABCIN ACTIVE C/12caps-BAYER - SEPTIEMBRE 26</t>
  </si>
  <si>
    <t>paracetamol, dextro, doxilamina, fenilefrina-TABCIN NOCHE C 12-BAYER - SEPTIEMBRE 26</t>
  </si>
  <si>
    <t>12.670</t>
  </si>
  <si>
    <t>40.790</t>
  </si>
  <si>
    <t>81.840</t>
  </si>
  <si>
    <t>22.090</t>
  </si>
  <si>
    <t>195.520</t>
  </si>
  <si>
    <t>162.600</t>
  </si>
  <si>
    <t>34.380</t>
  </si>
  <si>
    <t>complejo b, ác. fólico, vit c y rutina - BEDOYECTA - 30 cap - 0.5 mg/100 mg/5 mg - GROSSMAN - NOVIEMBRE 26</t>
  </si>
  <si>
    <t>178.200</t>
  </si>
  <si>
    <t>156.430</t>
  </si>
  <si>
    <t>21.110</t>
  </si>
  <si>
    <t>8.630</t>
  </si>
  <si>
    <t>29.870</t>
  </si>
  <si>
    <t>95.350</t>
  </si>
  <si>
    <t>87.000</t>
  </si>
  <si>
    <t>39.650</t>
  </si>
  <si>
    <t>20.690</t>
  </si>
  <si>
    <t>77.120</t>
  </si>
  <si>
    <t>10.390</t>
  </si>
  <si>
    <t>9.300</t>
  </si>
  <si>
    <t>8.900</t>
  </si>
  <si>
    <t>naproxeno sódico, paracetamol - FEBRAX SUSP - pvo p/100 ml - SIEGFRIED RHEIN --- (SEP26)</t>
  </si>
  <si>
    <t>108.180</t>
  </si>
  <si>
    <t>NAN 3 - 800 gr - NESTLÉ - NOVIEMBRE 26</t>
  </si>
  <si>
    <t>146.000</t>
  </si>
  <si>
    <t>210.780000</t>
  </si>
  <si>
    <t>195.350000</t>
  </si>
  <si>
    <t>189.180000</t>
  </si>
  <si>
    <t>184.040000</t>
  </si>
  <si>
    <t>GLUCERNA - SABOR CHOCOLATE 237mL*** - ABBOTT - NOVIEMBRE 26</t>
  </si>
  <si>
    <t>37.890</t>
  </si>
  <si>
    <t>FOTOSUN UV 100 PROTECTOR SOLAR KIDS CREMA FACIAL &amp; CORPORAL USO DIARIO-125mL- DACLAF - JULIO 26</t>
  </si>
  <si>
    <t>70.820</t>
  </si>
  <si>
    <t>71.070</t>
  </si>
  <si>
    <t>34.940</t>
  </si>
  <si>
    <t>153.670</t>
  </si>
  <si>
    <t>151.220</t>
  </si>
  <si>
    <t>1.250</t>
  </si>
  <si>
    <t>2.586000</t>
  </si>
  <si>
    <t>10.690</t>
  </si>
  <si>
    <t>394.980</t>
  </si>
  <si>
    <t>437.000000</t>
  </si>
  <si>
    <t>177.586000</t>
  </si>
  <si>
    <t>15.260</t>
  </si>
  <si>
    <t>64.900</t>
  </si>
  <si>
    <t>17.430</t>
  </si>
  <si>
    <t>20.990</t>
  </si>
  <si>
    <t>25.480</t>
  </si>
  <si>
    <t>74.940</t>
  </si>
  <si>
    <t>132.400</t>
  </si>
  <si>
    <t>30.630</t>
  </si>
  <si>
    <t>19.180</t>
  </si>
  <si>
    <t>9.710</t>
  </si>
  <si>
    <t>20.410</t>
  </si>
  <si>
    <t>tadalafil - DELAPHIL - 14 tab - 5 mg - DLP PHARMA</t>
  </si>
  <si>
    <t>25.200</t>
  </si>
  <si>
    <t>48.980</t>
  </si>
  <si>
    <t>84.410</t>
  </si>
  <si>
    <t>97.000</t>
  </si>
  <si>
    <t>tadalafil - DELAPHIL - 1 tab - 20 mg - DLP PHARMA</t>
  </si>
  <si>
    <t>delaphil - TADALAFIL - 4 tab - 20 mg - DLP PHARMA</t>
  </si>
  <si>
    <t>OLANZAPINA - 14 tab - 10 mg - AMSA</t>
  </si>
  <si>
    <t>26.320</t>
  </si>
  <si>
    <t>23.270</t>
  </si>
  <si>
    <t>TRIMEBUTINA/SIMETICONA - 20 com - 100/37.5 mg - MAVER</t>
  </si>
  <si>
    <t>11.490</t>
  </si>
  <si>
    <t>73.100</t>
  </si>
  <si>
    <t>72.370</t>
  </si>
  <si>
    <t>118.280</t>
  </si>
  <si>
    <t>108.260</t>
  </si>
  <si>
    <t>127.600</t>
  </si>
  <si>
    <t>77.500</t>
  </si>
  <si>
    <t>subsalicilato de bismuto -(FEB26) SIPAROX - susp 120 ml - 1.750 g - LOEFFLER --- (FEB26)</t>
  </si>
  <si>
    <t>aluminio/magnesio/dimeticona - MELOX PLUS CEREZA - susp 360 ml - JULIO 26</t>
  </si>
  <si>
    <t>107.000</t>
  </si>
  <si>
    <t>28.930</t>
  </si>
  <si>
    <t>34.300000</t>
  </si>
  <si>
    <t>347.780</t>
  </si>
  <si>
    <t>380.000000</t>
  </si>
  <si>
    <t>73.000</t>
  </si>
  <si>
    <t>bromhexina - BROMHEXINA INF - sol 100 ml - 80 mg/100 ml - BIOMEP - MARZO 26</t>
  </si>
  <si>
    <t>2.340</t>
  </si>
  <si>
    <t>69.300</t>
  </si>
  <si>
    <t>paracetamol/ác. ácetilsalicílico/cafeína - BIOELECTRO - 24 tab - 250/250/65 mg - GENOMMA LAB - NOVIEMBRE 26</t>
  </si>
  <si>
    <t>59.950</t>
  </si>
  <si>
    <t>32.710</t>
  </si>
  <si>
    <t>18.160</t>
  </si>
  <si>
    <t>38.740</t>
  </si>
  <si>
    <t>bromhexina - BROMICOF INF (AGO26)- sol 100 ml - 80 mg - LOEFFLER - (AGO26)</t>
  </si>
  <si>
    <t>32.030</t>
  </si>
  <si>
    <t>131.000</t>
  </si>
  <si>
    <t>57.720</t>
  </si>
  <si>
    <t>76.220</t>
  </si>
  <si>
    <t>470.820</t>
  </si>
  <si>
    <t>hioscina - (FEB26) SERRALPINA - 10 tab - 10 mg - SERRAL---PA - (FEB26)</t>
  </si>
  <si>
    <t>17.100000</t>
  </si>
  <si>
    <t>diclofenaco ác, libre - (FEB26) DOFLATEM - fco 120 ml - 0.18 g/100 ml - LOEFFLER - (FEB26)</t>
  </si>
  <si>
    <t>105.420</t>
  </si>
  <si>
    <t>49.000</t>
  </si>
  <si>
    <t>73.500</t>
  </si>
  <si>
    <t>80.259000</t>
  </si>
  <si>
    <t>78.621000</t>
  </si>
  <si>
    <t>17.170</t>
  </si>
  <si>
    <t>acetilcisteína - MURREOLAK - 2 tub c/10 tab eferv - 600 mg - SERRAL</t>
  </si>
  <si>
    <t>158.720</t>
  </si>
  <si>
    <t>400.000000</t>
  </si>
  <si>
    <t>1032.580</t>
  </si>
  <si>
    <t>maleato de clorfenamina - TABCIN AZUL EFERVESCENTE - 60 tab - BAYER ---</t>
  </si>
  <si>
    <t>149.950</t>
  </si>
  <si>
    <t>172.000000</t>
  </si>
  <si>
    <t>73.870</t>
  </si>
  <si>
    <t>3.940</t>
  </si>
  <si>
    <t>4.397000</t>
  </si>
  <si>
    <t>22.390</t>
  </si>
  <si>
    <t>VENDALASTIC - 15 cm X 5 m - 1 pza - DEGASA</t>
  </si>
  <si>
    <t>321.910</t>
  </si>
  <si>
    <t>81.350</t>
  </si>
  <si>
    <t>78.450</t>
  </si>
  <si>
    <t>32.540</t>
  </si>
  <si>
    <t>30.210</t>
  </si>
  <si>
    <t>44.450</t>
  </si>
  <si>
    <t>tiamina, pitidoxina, cianocobalamina - NEUROBION DC - sol. 3 jeringas prellenada 2 ml c/u - 100/100/10 mg - MERCK - ABRIL 26</t>
  </si>
  <si>
    <t>347.060</t>
  </si>
  <si>
    <t>naproxeno - ALLIVIAX - 10 tab - 550 mg - GENOMMA LAB - MAYO 26</t>
  </si>
  <si>
    <t>210.620</t>
  </si>
  <si>
    <t>esporas de bacillus clausii -ENTEROGERMINA - susp 2 billones c/20 amp - 5 ml - SANOFI - OCTUBRE 26</t>
  </si>
  <si>
    <t>335.000</t>
  </si>
  <si>
    <t>395.000000</t>
  </si>
  <si>
    <t>guaifenesina - TUKOL D ADULTO - jbe 125 ml - GENOMMA LAB - NOVIEMBRE 26</t>
  </si>
  <si>
    <t>122.580</t>
  </si>
  <si>
    <t>23.670</t>
  </si>
  <si>
    <t>24.860000</t>
  </si>
  <si>
    <t>22.750</t>
  </si>
  <si>
    <t>13.120</t>
  </si>
  <si>
    <t>291.560</t>
  </si>
  <si>
    <t>205.780</t>
  </si>
  <si>
    <t>252.000000</t>
  </si>
  <si>
    <t>199.720</t>
  </si>
  <si>
    <t>255.000000</t>
  </si>
  <si>
    <t>35.400</t>
  </si>
  <si>
    <t>430.650</t>
  </si>
  <si>
    <t>530.000000</t>
  </si>
  <si>
    <t>19.980</t>
  </si>
  <si>
    <t>2.270</t>
  </si>
  <si>
    <t>58.130</t>
  </si>
  <si>
    <t>60.840000</t>
  </si>
  <si>
    <t>candesartán - CORIATROS - 28 tab - 16 mg - SIEGFRIED ---</t>
  </si>
  <si>
    <t>375.000</t>
  </si>
  <si>
    <t>ibuprofeno - AFLENO - 10 tab - 800 mg - BRULUAGSA ---</t>
  </si>
  <si>
    <t>amoxicilina/ácido clavulánico - CLAVIPEN - 10 tab - 500/125 mg - BRULUAGSA</t>
  </si>
  <si>
    <t>28.310</t>
  </si>
  <si>
    <t>69.280000</t>
  </si>
  <si>
    <t>17.390</t>
  </si>
  <si>
    <t>102.810000</t>
  </si>
  <si>
    <t>490.000000</t>
  </si>
  <si>
    <t>metocarbamol, ibuprofeno-CARBAGER PLUS c/10 tabs - ABRIL 26</t>
  </si>
  <si>
    <t>27.940</t>
  </si>
  <si>
    <t>34.350</t>
  </si>
  <si>
    <t>prednisolona - NISOLVER - 100 ml - 1 mg/1 ml - MAVER - JUNIO 26</t>
  </si>
  <si>
    <t>63.800</t>
  </si>
  <si>
    <t>69.350000</t>
  </si>
  <si>
    <t>glucosamina/condroitina - KERNOLINE - 15 sob - 1500/1200 mg - ULTRA - MAYO 26</t>
  </si>
  <si>
    <t>126.950</t>
  </si>
  <si>
    <t>bromhexina - BROMICOF AD - sol 100 ml - 160 mg/100 ml - LOEFFLER - JULIO 26</t>
  </si>
  <si>
    <t>215.820</t>
  </si>
  <si>
    <t>trimebutina - CINEPRAC - 20 tab - 200 mg - LIFERPAL - JULIO 26</t>
  </si>
  <si>
    <t>44.050</t>
  </si>
  <si>
    <t>30.990</t>
  </si>
  <si>
    <t>92.770</t>
  </si>
  <si>
    <t>98.870</t>
  </si>
  <si>
    <t>116.379000</t>
  </si>
  <si>
    <t>38.720</t>
  </si>
  <si>
    <t>amoxicilina - ORMOCYN T-5 - 12 cap - 500 mg - SANFER</t>
  </si>
  <si>
    <t>17.350</t>
  </si>
  <si>
    <t>123.130</t>
  </si>
  <si>
    <t>65.120</t>
  </si>
  <si>
    <t>omeprazol - LOZARBRU - 14 cap - 20 mg - BRULUAGSA</t>
  </si>
  <si>
    <t>11.630</t>
  </si>
  <si>
    <t>6.850</t>
  </si>
  <si>
    <t>47.320</t>
  </si>
  <si>
    <t>30.690</t>
  </si>
  <si>
    <t>182.860</t>
  </si>
  <si>
    <t>155.680</t>
  </si>
  <si>
    <t>529.360</t>
  </si>
  <si>
    <t>610.000000</t>
  </si>
  <si>
    <t>463.790</t>
  </si>
  <si>
    <t>510.000000</t>
  </si>
  <si>
    <t>505.000000</t>
  </si>
  <si>
    <t>209.180</t>
  </si>
  <si>
    <t>63.430</t>
  </si>
  <si>
    <t>123.620</t>
  </si>
  <si>
    <t>147.330</t>
  </si>
  <si>
    <t>12.730</t>
  </si>
  <si>
    <t>9.090</t>
  </si>
  <si>
    <t>93.170</t>
  </si>
  <si>
    <t>17.600</t>
  </si>
  <si>
    <t>58.460</t>
  </si>
  <si>
    <t>60.040</t>
  </si>
  <si>
    <t>688.970</t>
  </si>
  <si>
    <t>810.000000</t>
  </si>
  <si>
    <t>15.960</t>
  </si>
  <si>
    <t>226.560</t>
  </si>
  <si>
    <t>322.020</t>
  </si>
  <si>
    <t>348.000000</t>
  </si>
  <si>
    <t>44.420</t>
  </si>
  <si>
    <t>530.470</t>
  </si>
  <si>
    <t>4.460</t>
  </si>
  <si>
    <t>SILDENAFIL - 2X1 8 tab - 100 mg - ULTRA ---</t>
  </si>
  <si>
    <t>hidroclorotiazida - DIZIVER - 20 tab - 25 mg - MAVER</t>
  </si>
  <si>
    <t>oseltamivir - TAMAZIR - 10 cap - 75 mg - MSN</t>
  </si>
  <si>
    <t>88.090</t>
  </si>
  <si>
    <t>betametasona - DIPROSPAN - 1 sol iny 5 ml - 5 mg/2 ml - SCHERING-PLOUGH</t>
  </si>
  <si>
    <t>1700.000000</t>
  </si>
  <si>
    <t>doxiciclina - ROXIDOLIN - 10 cap - 100 mg - RAAM</t>
  </si>
  <si>
    <t>naproxeno sodico/paracetamol - FEBRAX - 5 sup - 100/200 mg - SIEGFRIED RHEIN</t>
  </si>
  <si>
    <t>124.380</t>
  </si>
  <si>
    <t>toothpaste dentifrice - GINGI LACER - tub 75 ml - 99 g - LACER</t>
  </si>
  <si>
    <t>130.200</t>
  </si>
  <si>
    <t>caolin/pectina - KAOMYCIN'S - susp 180 ml - 20/1 g/100 ml - ARMSTRONG</t>
  </si>
  <si>
    <t>123.300</t>
  </si>
  <si>
    <t>7501058715487CC</t>
  </si>
  <si>
    <t>flurbiprofeno - GRANEODIN F - s/azúcar, naranja - 16 pastillas - 8.75 mg - RECKITT BENCKISER - MARZO 26</t>
  </si>
  <si>
    <t>7501008499757CC</t>
  </si>
  <si>
    <t>TALCO LOTRIMIN PREVENT - 80 g - BAYER - JULIO 26</t>
  </si>
  <si>
    <t>7501349027343CC</t>
  </si>
  <si>
    <t>orlistat - AMSAFAST - 21 cap - 120 mg - AMSA - JULIO 26</t>
  </si>
  <si>
    <t>84.850</t>
  </si>
  <si>
    <t>7502009740299CC</t>
  </si>
  <si>
    <t>cisaprida - PRESISTÍN - susp 60 ml - 1 mg/ml - MAVER - agot - JULIO 26</t>
  </si>
  <si>
    <t>7502009741593CC</t>
  </si>
  <si>
    <t>naproxeno - DOLXEN - 10 tab - 500 mg - MAVER - AGOSTO 26</t>
  </si>
  <si>
    <t>7501258205870CC</t>
  </si>
  <si>
    <t>cetirizina - VISERTRAL - sol 50 ml - 1 mg/ml - SERRAL - AGOSTO 26</t>
  </si>
  <si>
    <t>30.580</t>
  </si>
  <si>
    <t>4015630981977CC</t>
  </si>
  <si>
    <t>TIRAS PERFORMA - 50 tiras - ACCU-CHEK - SEPTIEMBRE 26</t>
  </si>
  <si>
    <t>7501095451096CC</t>
  </si>
  <si>
    <t>bicarbonato de sodio - SAL DE UVAS PICOT - 10 sobres efervescentes - RECKITT BENCKISER - SEPTIEMBRE 26</t>
  </si>
  <si>
    <t>31.000</t>
  </si>
  <si>
    <t>7501287630926CC</t>
  </si>
  <si>
    <t>234.950</t>
  </si>
  <si>
    <t>327.000000</t>
  </si>
  <si>
    <t>261.000000</t>
  </si>
  <si>
    <t>258.000000</t>
  </si>
  <si>
    <t>7506306244795CC</t>
  </si>
  <si>
    <t>desodorante en aerosol - AXE INTENSE - 150 ml - UNILEVER - SEPTIEMBRE 26</t>
  </si>
  <si>
    <t>7502216930865CC</t>
  </si>
  <si>
    <t>acetilcisteína - ACC - 20 tab eferv - 600 mg - SANDOZ - OCTUBRE 26</t>
  </si>
  <si>
    <t>7502009744587CC</t>
  </si>
  <si>
    <t>oxcarbazepina - SINFONIL - 20 tab - 600 mg - MAVER (SEP26)</t>
  </si>
  <si>
    <t>CARBONATO DE MAGNESIO - cubo 15 g - 1 pza - KOLIBRIX</t>
  </si>
  <si>
    <t>7509546651743CC</t>
  </si>
  <si>
    <t>desodorante en aerosol p/hombre - STEFANO TRIUMPH - 159 ml - COLGATE-PALMOLIVE - ABRIL 26</t>
  </si>
  <si>
    <t>7500142105692CC</t>
  </si>
  <si>
    <t>SUTURA (CALIBRE 1-0) (LONGITUD 75 CM)- ATRAMAT---(AGO26)</t>
  </si>
  <si>
    <t>714706905537CC</t>
  </si>
  <si>
    <t>té de limón - HERBACIL - 25 sacos - 25 g - BRONCOLIN - SEPTIEMBRE 26</t>
  </si>
  <si>
    <t>7506022328335CC</t>
  </si>
  <si>
    <t>paracetamol - SENSIFAZOL - sol iny 1 amp - 1g/100 ml - JAYOR - SEPTIEMBRE 26</t>
  </si>
  <si>
    <t>5415062392317CC</t>
  </si>
  <si>
    <t>134.950</t>
  </si>
  <si>
    <t>7501825301875CC</t>
  </si>
  <si>
    <t>dimeticona - DINTREFERGOT SUSP - got 30 ml - 100 mg/1 ml - DEGORT'S - JUNIO 26</t>
  </si>
  <si>
    <t>785120755497CC</t>
  </si>
  <si>
    <t>norfloxacino - NORQUINOL - 20 grag - 400 mg - MAVI - JULIO 26</t>
  </si>
  <si>
    <t>42.090</t>
  </si>
  <si>
    <t>7501943484238CC</t>
  </si>
  <si>
    <t>JABON HUGGIES MANZANILLA ALOE 80G-KBC - AGOSTO 26</t>
  </si>
  <si>
    <t>7502009744105CC</t>
  </si>
  <si>
    <t>vitaminas (A, D y C) - ANIMALÍN - got 30 ml - NATUREX (SEP26)</t>
  </si>
  <si>
    <t>19.780</t>
  </si>
  <si>
    <t>7501159525015CC</t>
  </si>
  <si>
    <t>dextrometorfano/sulfoguayacol - EUCALIPTINE - 140 ml - SANFER (SEP26)</t>
  </si>
  <si>
    <t>acido acexamico/neomicina - RECOVERON-N - tub 40 g - 5/0.4 g/100 g - ARMSTRONG</t>
  </si>
  <si>
    <t>409.600</t>
  </si>
  <si>
    <t>CURITAS TRANSPIEL - 100 pzas - BDF</t>
  </si>
  <si>
    <t>CONDONES PRUDENCE VITROLERO ( sabor y aroma mix) - 100 pzas - DKT</t>
  </si>
  <si>
    <t>603.448000</t>
  </si>
  <si>
    <t>metamizol sodico - SODITEM - fco 15 ml -  500 mg/ 1 ml - LIFERPAL</t>
  </si>
  <si>
    <t>SITAGLIPTINA/METFORMINA - 28 comp - 50/500 mg - MAVER</t>
  </si>
  <si>
    <t>cefixima - DENVAR - 3 cap - 400 mg - MERCK</t>
  </si>
  <si>
    <t>620.870</t>
  </si>
  <si>
    <t>telmisartán/hidroclorotiazida - OKSEN - 30 cap - 80/12.5 mg - SENOSIAN</t>
  </si>
  <si>
    <t>953.690</t>
  </si>
  <si>
    <t>triticum vulgare - ITADERMOL - tub 10 g - 150 mg/1 g - ITALMEX</t>
  </si>
  <si>
    <t>294.700</t>
  </si>
  <si>
    <t>trimebutina - LIBERTRIM - 24 com - 200 mg - TECHSPHERE</t>
  </si>
  <si>
    <t>473.570</t>
  </si>
  <si>
    <t>famotidina - DURATER - 10 com - 40 mg - SENOSIAN</t>
  </si>
  <si>
    <t>352.230</t>
  </si>
  <si>
    <t>cepillo dental GUM multiclean - 4 cepillos - SUNSTAR</t>
  </si>
  <si>
    <t>dextrometorfamo/ambroxol - MUCOSOLVAN DUAL AD - frambuesa 120 ml - SANFER</t>
  </si>
  <si>
    <t>144.330</t>
  </si>
  <si>
    <t>naproxeno - BRUPROXEN - 10 tab - 500 mg - BRULUART</t>
  </si>
  <si>
    <t>SITAGLIPTINA - 28 comp - 100 mg - MAVER</t>
  </si>
  <si>
    <t>diclofenaco - VOLTAREN EMULGEL - tub 50 g - 2.32% - HALEO</t>
  </si>
  <si>
    <t>150.230</t>
  </si>
  <si>
    <t>diclofenaco - VOLTAREN EMULGEL - tub 50 g - 1.16% - HALEO</t>
  </si>
  <si>
    <t>113.190</t>
  </si>
  <si>
    <t>sup alimenticio - FOR COMPLEX - 60 cap - 500 mg - NATUTECH</t>
  </si>
  <si>
    <t>90.390</t>
  </si>
  <si>
    <t>SITAGLIPTINA - 28 tab - 50 mg - CAMBER</t>
  </si>
  <si>
    <t>161.070</t>
  </si>
  <si>
    <t>650240013805CCC</t>
  </si>
  <si>
    <t>naproxeno - ALLIVIAX - 10 tab - 550 mg - GENOMMA LAB - MARZO 26</t>
  </si>
  <si>
    <t>650240013805CCCC</t>
  </si>
  <si>
    <t>naproxeno -(FEB26) ALLIVIAX - 10 tab - 550 mg - GENOMMA LAB</t>
  </si>
  <si>
    <t>JERINGA 5 ml - 21 X 32 mm - 100 pzas - NIPRO</t>
  </si>
  <si>
    <t>142.500</t>
  </si>
  <si>
    <t>168.103000</t>
  </si>
  <si>
    <t>JERINGA DES 3 ml - 100 pzas - 21G x 32 mm (verde) - NIPRO</t>
  </si>
  <si>
    <t>133.491</t>
  </si>
  <si>
    <t>149.138000</t>
  </si>
  <si>
    <t>146.551000</t>
  </si>
  <si>
    <t>144.827000</t>
  </si>
  <si>
    <t>GLUCOSA 1000 ml - 1 bot - sol 5% - PISA</t>
  </si>
  <si>
    <t>JERINGA C/AGUJA 3 ml - 100 pzas - 21G x 32 mm - NIPRO</t>
  </si>
  <si>
    <t>148.275000</t>
  </si>
  <si>
    <t>CATETER I.V. - 1 pza - 22G x 25 mm (azul) - AMBIDERM</t>
  </si>
  <si>
    <t>5.922</t>
  </si>
  <si>
    <t>JERINGA C/AGUJA 3 ml - 21G X 32 mm (verde) - 100 pzas - PHARMA&amp;PHARMA</t>
  </si>
  <si>
    <t>maleato de enalapril - ENOVAL - 30 tab - 10 mg - NOVAG</t>
  </si>
  <si>
    <t>omeprazol - OMIZELON - 1 amp - 40 mg/10 ml - JAYOR</t>
  </si>
  <si>
    <t>4015630067084CC</t>
  </si>
  <si>
    <t>7501298217635CC</t>
  </si>
  <si>
    <t>complejo B/diclofenaco - DOLO NEUROBION FORTE INY - 1 jer - MERCK (AGO26)</t>
  </si>
  <si>
    <t>290.670</t>
  </si>
  <si>
    <t>7501298217635CCC</t>
  </si>
  <si>
    <t>complejo B/diclofenaco - DOLO NEUROBION FORTE INY - 1 jer - MERCK - SEPTIEMBRE 26</t>
  </si>
  <si>
    <t>7501298217635CCCC</t>
  </si>
  <si>
    <t>complejo B/diclofenaco - DOLO NEUROBION FORTE INY - 1 jer - MERCK(JUN26)</t>
  </si>
  <si>
    <t>7501298217635CCCCC</t>
  </si>
  <si>
    <t>complejo B/diclofenaco - DOLO NEUROBION FORTE INY - 1 jer - MERCK(ABR26)</t>
  </si>
  <si>
    <t>7501008485316CC</t>
  </si>
  <si>
    <t>ác. acetilsalicílico/fenilefrina/clorfenamina - TABCIN EFERVESCENTE AZUL - 12 tab - 324/8/2 mg - BAYER--- (OCT26)</t>
  </si>
  <si>
    <t>7501033956294CC</t>
  </si>
  <si>
    <t>PEDIASURE VAINILLA - 237 mL - ABBOTT - NOVIEMBRE 26</t>
  </si>
  <si>
    <t>metformina- DINORAX - c/ 30 tab-850MG - BRULUART</t>
  </si>
  <si>
    <t>20.200</t>
  </si>
  <si>
    <t>24.240000</t>
  </si>
  <si>
    <t>ezetimiba- TROMDEX-10 mg- RAMM</t>
  </si>
  <si>
    <t>71.930</t>
  </si>
  <si>
    <t>difenhidramina- HIDRIGORT- 50mg - DEGORTS CHEMICAL</t>
  </si>
  <si>
    <t>12.570</t>
  </si>
  <si>
    <t>levonorgestrel - EVELYN - 1 tab - 1.5 mg - QUIFA</t>
  </si>
  <si>
    <t>cubrebocas tricapa (no esteril, desechable)  - INF azul c/50 - DL</t>
  </si>
  <si>
    <t>aposito-TEGADERM-c/4 pzs-NEXCARE</t>
  </si>
  <si>
    <t>139.510</t>
  </si>
  <si>
    <t>190.009000</t>
  </si>
  <si>
    <t>oseltamivir - OSELTAMIVIR - susp 60 ml - 6 mg/1 ml - CAMBER</t>
  </si>
  <si>
    <t>158.950</t>
  </si>
  <si>
    <t>CUBREBOCAS AZUL - 50 pzas - MAYFIELD</t>
  </si>
  <si>
    <t>7502216791602CC</t>
  </si>
  <si>
    <t>complejo B/diclofenaco - ARIFLAM FORTE - 30 tab - 50/50/50/1.0 mg - ULTRA - NOVIEMBRE 26</t>
  </si>
  <si>
    <t>7501277093908CC</t>
  </si>
  <si>
    <t>misoprostol - MISOPROSTOL - 28 tab - 200 mcg - APOTEX - NOVIEMBRE 26</t>
  </si>
  <si>
    <t>jeringa pera # 1 - DIBAR</t>
  </si>
  <si>
    <t>19.230</t>
  </si>
  <si>
    <t>jeringa pera # 2-DIBAR</t>
  </si>
  <si>
    <t>OLMESAR/AMLODIP/HIDRO - c/28 tabs - 20/5/12.5 mg - CAMBER</t>
  </si>
  <si>
    <t>334.690</t>
  </si>
  <si>
    <t>4015630981977CCC</t>
  </si>
  <si>
    <t>TIRAS PERFORMA - 50 tiras - ACCU-CHEK - OCTUBRE 26</t>
  </si>
  <si>
    <t>759684313073CC</t>
  </si>
  <si>
    <t>cloruro de benzalconio - MERTODOL TINTURA ROJO - 40 ml - JALOMA - OCTUBRE 26</t>
  </si>
  <si>
    <t>7502240450988CC</t>
  </si>
  <si>
    <t>dropropizina/bromhexina - NINTILIX INF - 150-80 mg/100-200 ml - WERMAR - NOVIEMBRE 26</t>
  </si>
  <si>
    <t>7501008427330CC</t>
  </si>
  <si>
    <t>dexphantenol - BEPANTHEN - 100 g - pomada 5 % - BAYER - NOVIEMBRE 26</t>
  </si>
  <si>
    <t>7501165010826CC</t>
  </si>
  <si>
    <t>bacillus clausii - ENTEROGERMINA - 4 billones c/10 amp - 5 ml - SANOFI - DICIEMBRE 26</t>
  </si>
  <si>
    <t>7501298221397CC</t>
  </si>
  <si>
    <t>complejo B - NEUROBIÓN - 30 tab - MERCK - DICIEMBRE 26</t>
  </si>
  <si>
    <t>7.910</t>
  </si>
  <si>
    <t>3.900</t>
  </si>
  <si>
    <t>TELA ADHESIVA IMPERMEABLE 2.5X1M - MICROSEDA - NUEVO COD-</t>
  </si>
  <si>
    <t>polietilenglicol - KOILOSELL - c/4 sobres - 3350 105gr - NUCITEC</t>
  </si>
  <si>
    <t>163.140</t>
  </si>
  <si>
    <t>neomicina/retinol - VITACILINA - 18 g - KSK - Prom-</t>
  </si>
  <si>
    <t>Rifaximina - FLORIPEN - 200mg - c/30 tab - SERRAL</t>
  </si>
  <si>
    <t>paracetamol - ADINOL INF - 3.2 G/100 ML -SOL C/120 ML- BRULUART</t>
  </si>
  <si>
    <t>18.180</t>
  </si>
  <si>
    <t>ambro / dextro - OXOLBRUL SOL ADT - Fco. 120 ml - 225-225 mg/100 ml - BRULUART</t>
  </si>
  <si>
    <t>16.800</t>
  </si>
  <si>
    <t>bezafibrato - REDALIP - 30 tab - 200 mg - MAVER</t>
  </si>
  <si>
    <t>23.410</t>
  </si>
  <si>
    <t>7.660</t>
  </si>
  <si>
    <t>41.060</t>
  </si>
  <si>
    <t>93.400000</t>
  </si>
  <si>
    <t>18.340</t>
  </si>
  <si>
    <t>Dextrometorfano-DEXTROMETORFANO-Jbe 120 mL-15mg/5mL-RANDALL---</t>
  </si>
  <si>
    <t>26.350</t>
  </si>
  <si>
    <t>16.130</t>
  </si>
  <si>
    <t>23.850</t>
  </si>
  <si>
    <t>difenhidramina - DIFENHISTAT - fco iny 10 ml - 10 mg/1 ml - KENER</t>
  </si>
  <si>
    <t>95.750</t>
  </si>
  <si>
    <t>23.370</t>
  </si>
  <si>
    <t>70.370</t>
  </si>
  <si>
    <t>26.009000</t>
  </si>
  <si>
    <t>pomada para labios - LABELLO FRESA - Blister c/1 PZA 4.8 G</t>
  </si>
  <si>
    <t>7501125187179CC</t>
  </si>
  <si>
    <t>ELECTROLIT GUAYABA 625ML  1 Pza-PISA - SEPTIEMBRE 26</t>
  </si>
  <si>
    <t>7501125149221CC</t>
  </si>
  <si>
    <t>ELECTROLIT FRESA-KIWI - 625 ml - 1 pza - PISA - DICIEMBRE 26</t>
  </si>
  <si>
    <t>157.690</t>
  </si>
  <si>
    <t>37.110</t>
  </si>
  <si>
    <t>103.410</t>
  </si>
  <si>
    <t>345.430</t>
  </si>
  <si>
    <t>7501125104688CC</t>
  </si>
  <si>
    <t>ELECTROLIT NARANJA-MANDARINA - 625 ml - 1 pza - PISA - AGOSTO 26</t>
  </si>
  <si>
    <t>7501125174797CC</t>
  </si>
  <si>
    <t>ELECTROLIT MORA AZUL - 625 ml - 1 pza - PISA - NOVIEMBRE 26</t>
  </si>
  <si>
    <t>30.250</t>
  </si>
  <si>
    <t>327.090</t>
  </si>
  <si>
    <t>122.600000</t>
  </si>
  <si>
    <t>6.950</t>
  </si>
  <si>
    <t>CONDONES PLÁTANO C/3-DL MEDICA ---</t>
  </si>
  <si>
    <t>17.920</t>
  </si>
  <si>
    <t>CONDÓN Do it Lovely MANGO cartera c/3 - DL MEDICA</t>
  </si>
  <si>
    <t>Sildenafil - EDEGRA - 20 tabs- 100mg - SERRAL</t>
  </si>
  <si>
    <t>27.920</t>
  </si>
  <si>
    <t>CONDÓN Do It Lovely LIMÓN cartera c/3 - DL MEDICA</t>
  </si>
  <si>
    <t>CONDÓN Do it Lovely SANDÍA cartera c/3 - DL MEDICA</t>
  </si>
  <si>
    <t>CONDÓN Do it Lovely TROPICAL cartera c/3 - DL MEDICA</t>
  </si>
  <si>
    <t>sildenafil - MAZZOGRAN - c/ 4 tabs - 100 mg - COLLINS</t>
  </si>
  <si>
    <t>12.390</t>
  </si>
  <si>
    <t>16.150</t>
  </si>
  <si>
    <t>19.430</t>
  </si>
  <si>
    <t>7501159526029CC</t>
  </si>
  <si>
    <t>guayacol - EUCALIPTINE - sol iny c/10 amp - 100 mg/ml - SANFER - NOVIEMBRE 26</t>
  </si>
  <si>
    <t>299.100</t>
  </si>
  <si>
    <t>7502002462136CC</t>
  </si>
  <si>
    <t>minoxidil - MINOXIDIL 5% - fco 60ml - sol 5% - ANACASTEL - DICIEMBRE 26</t>
  </si>
  <si>
    <t>38.190</t>
  </si>
  <si>
    <t>33.380</t>
  </si>
  <si>
    <t>185.000</t>
  </si>
  <si>
    <t>45.020</t>
  </si>
  <si>
    <t>65.000</t>
  </si>
  <si>
    <t>pirfenidona - CETILVER - 8g/100g - GEL TUBO 10GR - MAVER</t>
  </si>
  <si>
    <t>acido fusidico, betametasona-KURTOSIL 20MG/1MG CREMA 15GR-MAVER-*FB*</t>
  </si>
  <si>
    <t>59.100</t>
  </si>
  <si>
    <t>VASO RECOLECTOR ESTERIL 100ML C/1 PZ - COMEGSA</t>
  </si>
  <si>
    <t>5.862000</t>
  </si>
  <si>
    <t>3.362000</t>
  </si>
  <si>
    <t>3.103000</t>
  </si>
  <si>
    <t>2.759000</t>
  </si>
  <si>
    <t>11.090</t>
  </si>
  <si>
    <t>37.990</t>
  </si>
  <si>
    <t>56.710</t>
  </si>
  <si>
    <t>11.910</t>
  </si>
  <si>
    <t>11.640</t>
  </si>
  <si>
    <t>44.100</t>
  </si>
  <si>
    <t>119.870</t>
  </si>
  <si>
    <t>44.940</t>
  </si>
  <si>
    <t>Ibuprofeno-FIDOIN Q-Susp 15mL-40mg/1mL-QUIMPHARMA</t>
  </si>
  <si>
    <t>189.655000</t>
  </si>
  <si>
    <t>121.550</t>
  </si>
  <si>
    <t>15.230</t>
  </si>
  <si>
    <t>46.200</t>
  </si>
  <si>
    <t>Dextro / Ambro - TUSIGEN tab - 22.50mg/ 22.50mg - LIOMONT</t>
  </si>
  <si>
    <t>37.690</t>
  </si>
  <si>
    <t>440.000000</t>
  </si>
  <si>
    <t>16.310</t>
  </si>
  <si>
    <t>25.290</t>
  </si>
  <si>
    <t>Picosulfato de sodio - MOTILAXIL SOL- 120 mL 5 mg/5 mL - FARMA.CONT.---PA</t>
  </si>
  <si>
    <t xml:space="preserve">ANARA,DULCOLAX
</t>
  </si>
  <si>
    <t>Picosulfato sódico - PADIO - tabs 5mg - c/20 tab - CMD</t>
  </si>
  <si>
    <t>7501125104268CC</t>
  </si>
  <si>
    <t>ELECTROLIT FRESA - 1 pza - 625 ml - PISA - SEPTIEMBRE 26</t>
  </si>
  <si>
    <t>7501125104268CCC</t>
  </si>
  <si>
    <t>ELECTROLIT FRESA - 1 pza - 625 ml - PISA - DICIEMBRE 26</t>
  </si>
  <si>
    <t>7501125149221CCC</t>
  </si>
  <si>
    <t>ELECTROLIT FRESA-KIWI - 625 ml - 1 pza - PISA - OCTUBRE 26</t>
  </si>
  <si>
    <t>7501125104343CC</t>
  </si>
  <si>
    <t>7501125104343CCC</t>
  </si>
  <si>
    <t>ELECTROLIT MANZANA - 1 pza - 625 ml - PISA - DICIEMBRE 26</t>
  </si>
  <si>
    <t>7501125174797CCC</t>
  </si>
  <si>
    <t>ELECTROLIT FRESA - 1 pza - 625 ml - PISA - OCTUBRE 26</t>
  </si>
  <si>
    <t>7501125187179CCC</t>
  </si>
  <si>
    <t>ELECTROLIT GUAYABA 625ML 1 Pza-PISA - AGOSTO 26</t>
  </si>
  <si>
    <t>ELECTROLIT MORA AZUL - 625 ml - 1 pza - PISA - OCTUBRE 26</t>
  </si>
  <si>
    <t>17.340</t>
  </si>
  <si>
    <t>16.210</t>
  </si>
  <si>
    <t>37.340</t>
  </si>
  <si>
    <t>26.340</t>
  </si>
  <si>
    <t>126.690</t>
  </si>
  <si>
    <t>32.090</t>
  </si>
  <si>
    <t>49.940</t>
  </si>
  <si>
    <t>8.320</t>
  </si>
  <si>
    <t>29.430</t>
  </si>
  <si>
    <t>tadalafil - TADALAFIL - 1 tab - 20 mg - SERRAL ---</t>
  </si>
  <si>
    <t>23.500</t>
  </si>
  <si>
    <t>carisoprodol, naproxeno-CONTRAXEN 30 CAPS 250/200 MG-LIFERPAL-*FB*</t>
  </si>
  <si>
    <t>6.130</t>
  </si>
  <si>
    <t>127.690</t>
  </si>
  <si>
    <t>7501125104268CCA</t>
  </si>
  <si>
    <t>7501125174797CCA</t>
  </si>
  <si>
    <t>7501125104268CCN</t>
  </si>
  <si>
    <t>7501125104343CCO</t>
  </si>
  <si>
    <t>ELECTROLIT MANZANA - 1 pza - 625 ml - PISA - OCTUBRE 26</t>
  </si>
  <si>
    <t>22.680</t>
  </si>
  <si>
    <t>49.220</t>
  </si>
  <si>
    <t>10.110</t>
  </si>
  <si>
    <t>33.760</t>
  </si>
  <si>
    <t>280.000000</t>
  </si>
  <si>
    <t>277.000000</t>
  </si>
  <si>
    <t>22.420</t>
  </si>
  <si>
    <t>20.770</t>
  </si>
  <si>
    <t>75.862000</t>
  </si>
  <si>
    <t>74.138000</t>
  </si>
  <si>
    <t>16.750</t>
  </si>
  <si>
    <t>5.780</t>
  </si>
  <si>
    <t>23.530</t>
  </si>
  <si>
    <t>355.000000</t>
  </si>
  <si>
    <t>5.250</t>
  </si>
  <si>
    <t>40.500</t>
  </si>
  <si>
    <t>56.230</t>
  </si>
  <si>
    <t>15.750</t>
  </si>
  <si>
    <t>14.900000</t>
  </si>
  <si>
    <t>ciprofloxacino - BRUBIOL  - c/10 tab - 500mg - BRULUART</t>
  </si>
  <si>
    <t>233.620</t>
  </si>
  <si>
    <t>39.700000</t>
  </si>
  <si>
    <t>982.000000</t>
  </si>
  <si>
    <t>785.500000</t>
  </si>
  <si>
    <t>770.000000</t>
  </si>
  <si>
    <t>755.000000</t>
  </si>
  <si>
    <t>43.720</t>
  </si>
  <si>
    <t>98.760</t>
  </si>
  <si>
    <t>isoniazida etambutol rifampicina piraz - AedoTBal - 75/300/150/400</t>
  </si>
  <si>
    <t>5469.020</t>
  </si>
  <si>
    <t>6234.683000</t>
  </si>
  <si>
    <t>6125.302000</t>
  </si>
  <si>
    <t>6015.922000</t>
  </si>
  <si>
    <t>5818.000000</t>
  </si>
  <si>
    <t>PUNZOCAT CATETER INTRAVENOSO CAL 16X2 - NEGRO</t>
  </si>
  <si>
    <t>LOPERAMIDA</t>
  </si>
  <si>
    <t>OFTALMICO</t>
  </si>
  <si>
    <t xml:space="preserve">MICARDIS,RAAS,TELARTEC (PISA), LEGIONIS_x000D_
</t>
  </si>
  <si>
    <t>8.240</t>
  </si>
  <si>
    <t xml:space="preserve">CLOROTRIMETON, BLENDOX,_x000D_
</t>
  </si>
  <si>
    <t>18.190</t>
  </si>
  <si>
    <t>24.210</t>
  </si>
  <si>
    <t xml:space="preserve">VIAGRA, EDEGRA, MAZOGRAN, VOGUEL_x000D_
</t>
  </si>
  <si>
    <t xml:space="preserve">BIXELOR C,CEFLACID_x000D_
</t>
  </si>
  <si>
    <t xml:space="preserve">BIXELOR C, CEFLACID_x000D_
</t>
  </si>
  <si>
    <t>79.570</t>
  </si>
  <si>
    <t>14.170</t>
  </si>
  <si>
    <t>156.410</t>
  </si>
  <si>
    <t>107.500000</t>
  </si>
  <si>
    <t>10.200</t>
  </si>
  <si>
    <t>glutamina, lactobacillus reuteri - GLUTEC - 3 sobres - 15 g c/u - NATUREX - MARZO 26</t>
  </si>
  <si>
    <t>22.500</t>
  </si>
  <si>
    <t>144.950</t>
  </si>
  <si>
    <t>79.540</t>
  </si>
  <si>
    <t>31.850</t>
  </si>
  <si>
    <t>22.790</t>
  </si>
  <si>
    <t>19.830</t>
  </si>
  <si>
    <t>benzonatato - TESALON TESAPERL CAPS - 20 cap - 100 mg - GSK</t>
  </si>
  <si>
    <t>1327.210</t>
  </si>
  <si>
    <t>carvedilol - CRABUDOL - c/14 tab - 6.25 MG - AUROVIDA</t>
  </si>
  <si>
    <t>desm - OBAO ROLL ON M DELICADA GRIS 65 GR - GARNIER</t>
  </si>
  <si>
    <t>desm - OBAO ROLL ON M INTENSA SALMON 65 GR - GARNIER</t>
  </si>
  <si>
    <t>desm - OBAO ROLL ON M SUAVE MORADO 65 GR -GARNIER</t>
  </si>
  <si>
    <t>desm - OBAO ROLL ON TENTACION ROSA 65 GR - GARNIER</t>
  </si>
  <si>
    <t>desm - OBAO ROLL-ON BAMBOO VERD 65 GR - GARNIER</t>
  </si>
  <si>
    <t>6.530</t>
  </si>
  <si>
    <t>281.897000</t>
  </si>
  <si>
    <t>48.150</t>
  </si>
  <si>
    <t>7.960</t>
  </si>
  <si>
    <t>22.830</t>
  </si>
  <si>
    <t>prednisolona - PRED-NF - gts 5ml - 10mg/1ml - GRIN</t>
  </si>
  <si>
    <t>74.120</t>
  </si>
  <si>
    <t>cirprofloxacino - CIPROFLOXACINO  - sol Oft - 5 ml/3mg - AMSA</t>
  </si>
  <si>
    <t>20.790</t>
  </si>
  <si>
    <t>114.000</t>
  </si>
  <si>
    <t>253.000000</t>
  </si>
  <si>
    <t>165.500000</t>
  </si>
  <si>
    <t>531.000000</t>
  </si>
  <si>
    <t>39.240</t>
  </si>
  <si>
    <t>35.900</t>
  </si>
  <si>
    <t>14.800</t>
  </si>
  <si>
    <t>40.210</t>
  </si>
  <si>
    <t>17.970</t>
  </si>
  <si>
    <t>PIOKIDS-SHAMPOO PARA PIOJOS Y LIENDRES- 240mL-SALUD NATURAL</t>
  </si>
  <si>
    <t>17.320</t>
  </si>
  <si>
    <t>89.980000</t>
  </si>
  <si>
    <t>88.040000</t>
  </si>
  <si>
    <t>86.320000</t>
  </si>
  <si>
    <t>41.970</t>
  </si>
  <si>
    <t>33.931000</t>
  </si>
  <si>
    <t>89.800000</t>
  </si>
  <si>
    <t>Trimebutina/Simeticona - TRIMEBUTINA/SIMETICONA - c/24 comps - 200/75 mg - MAVER</t>
  </si>
  <si>
    <t>colchicina - COLCHICINA - c/30 tab - 1 mg - BIOMEP</t>
  </si>
  <si>
    <t>126.330</t>
  </si>
  <si>
    <t>JERINGA P/INSULINA DL - 0.3 ml (32G x 6mm) caja c/100 - DL</t>
  </si>
  <si>
    <t>metoprolol - METOPROLOL - 20 tab - 100 mg - SCHOEN</t>
  </si>
  <si>
    <t>DENTILAB DL</t>
  </si>
  <si>
    <t>GUILLERMO ESPIRIDION DIAZ LOPEZ AJOLOTIUS</t>
  </si>
  <si>
    <t>124.700</t>
  </si>
  <si>
    <t>15.400</t>
  </si>
  <si>
    <t>gabapentina/tiamina/cianocoalamina - GABAPENTINA/TIAMINA/CIANOCOBALAMINA - 30 tab - 300/100/0.20 mg - SERRAL---</t>
  </si>
  <si>
    <t>guaifenesina/dextrometorfano - TUKOL-D MIEL AD - 120 ml - GENOMMA</t>
  </si>
  <si>
    <t>122.550</t>
  </si>
  <si>
    <t>PASADORES PUNTA DE GOMA - c/12 cajas c/50 pzs - JALOMA</t>
  </si>
  <si>
    <t>33.790</t>
  </si>
  <si>
    <t>23.100</t>
  </si>
  <si>
    <t>41.500</t>
  </si>
  <si>
    <t>16.050</t>
  </si>
  <si>
    <t>141.650</t>
  </si>
  <si>
    <t>636.950</t>
  </si>
  <si>
    <t>67.230</t>
  </si>
  <si>
    <t>115.720</t>
  </si>
  <si>
    <t>526.970</t>
  </si>
  <si>
    <t>calcio/magnesio/vitaminas - DENFOR 600 - c/60 comp - 1.74g - CMD</t>
  </si>
  <si>
    <t>pasta adhes - ULTRA COREGA - S/ SABOR - 70GR  - GSK</t>
  </si>
  <si>
    <t>129.110</t>
  </si>
  <si>
    <t>180.172000</t>
  </si>
  <si>
    <t>RICARDO HEREDIA</t>
  </si>
  <si>
    <t>MIGUEL ANGEL REYES MENDIETA</t>
  </si>
  <si>
    <t>ALEJANDRO VILLAGOMEZ</t>
  </si>
  <si>
    <t>17.290</t>
  </si>
  <si>
    <t>Loratadina-SENSIBIT-10 Tab-10 mg- LIOMONT ---</t>
  </si>
  <si>
    <t>163.500</t>
  </si>
  <si>
    <t>39.490</t>
  </si>
  <si>
    <t>311.540</t>
  </si>
  <si>
    <t>7.150</t>
  </si>
  <si>
    <t>7501125187131CC</t>
  </si>
  <si>
    <t>ELECTROLIT HORCHATA - 625 ml  - 1 pza - PISA - SEPTIEMBRE 26</t>
  </si>
  <si>
    <t>342.300</t>
  </si>
  <si>
    <t>266.300</t>
  </si>
  <si>
    <t>ac glutámico/Fosforo/Lecitina/Tiamina - SUKROL - c/100 tab - DISAN</t>
  </si>
  <si>
    <t>165.640</t>
  </si>
  <si>
    <t>Metformina-METFORMINA LP- 30 Tab-750 mg -ALPHARMA</t>
  </si>
  <si>
    <t>28.610</t>
  </si>
  <si>
    <t>30.430</t>
  </si>
  <si>
    <t>Serratiopeptidasa - DANZEN - 10mg - c/20 tab - SANFER</t>
  </si>
  <si>
    <t>serratiopeptidasa - DANZEN - 5mg - c/30 tab - SANFER</t>
  </si>
  <si>
    <t>10.700</t>
  </si>
  <si>
    <t>56.390</t>
  </si>
  <si>
    <t>ibuprofeno - MOTRIN PED - susp gts - 15ml - J&amp;J</t>
  </si>
  <si>
    <t>RASTRILLO BIC COMFORT 3 HOJAS VERDE SENSITIVE - 1 PIEZA</t>
  </si>
  <si>
    <t>rastrillo dama - BIC SOLEIL -1 PZA ROSA - BIC</t>
  </si>
  <si>
    <t>Ácido zoledrónico - NUZOLMET - 4mg/5ml - BIOGENTEC</t>
  </si>
  <si>
    <t>869.980</t>
  </si>
  <si>
    <t>26.950</t>
  </si>
  <si>
    <t>138.450</t>
  </si>
  <si>
    <t>33.450</t>
  </si>
  <si>
    <t>86.880</t>
  </si>
  <si>
    <t>loratadina /fenilefrina/paracetamol - SENSIBIT D - 2.5/5/500mg - tab c/12 - LIOMONl</t>
  </si>
  <si>
    <t>8.960</t>
  </si>
  <si>
    <t>17.200</t>
  </si>
  <si>
    <t>425.000</t>
  </si>
  <si>
    <t>168.970</t>
  </si>
  <si>
    <t>166.077000</t>
  </si>
  <si>
    <t>162.755000</t>
  </si>
  <si>
    <t>17.310</t>
  </si>
  <si>
    <t>38.621000</t>
  </si>
  <si>
    <t>45.130</t>
  </si>
  <si>
    <t>27.176000</t>
  </si>
  <si>
    <t>26.633000</t>
  </si>
  <si>
    <t>101.852000</t>
  </si>
  <si>
    <t>83.144000</t>
  </si>
  <si>
    <t>81.481000</t>
  </si>
  <si>
    <t>129.630000</t>
  </si>
  <si>
    <t>105.666000</t>
  </si>
  <si>
    <t>103.553000</t>
  </si>
  <si>
    <t>51.138000</t>
  </si>
  <si>
    <t>15.200000</t>
  </si>
  <si>
    <t>20.259000</t>
  </si>
  <si>
    <t>139.077000</t>
  </si>
  <si>
    <t>136.296000</t>
  </si>
  <si>
    <t>133.570000</t>
  </si>
  <si>
    <t>19.783000</t>
  </si>
  <si>
    <t>19.388000</t>
  </si>
  <si>
    <t>202.000</t>
  </si>
  <si>
    <t>58.309000</t>
  </si>
  <si>
    <t>57.143000</t>
  </si>
  <si>
    <t>68.103000</t>
  </si>
  <si>
    <t>55.652000</t>
  </si>
  <si>
    <t>54.539000</t>
  </si>
  <si>
    <t>81.034000</t>
  </si>
  <si>
    <t>65.921000</t>
  </si>
  <si>
    <t>64.603000</t>
  </si>
  <si>
    <t>42.691000</t>
  </si>
  <si>
    <t>41.837000</t>
  </si>
  <si>
    <t>16.659000</t>
  </si>
  <si>
    <t>16.327000</t>
  </si>
  <si>
    <t>4.490</t>
  </si>
  <si>
    <t>9.353000</t>
  </si>
  <si>
    <t>9.166000</t>
  </si>
  <si>
    <t>8.983000</t>
  </si>
  <si>
    <t>11.558000</t>
  </si>
  <si>
    <t>11.327000</t>
  </si>
  <si>
    <t>14.681000</t>
  </si>
  <si>
    <t>14.388000</t>
  </si>
  <si>
    <t>20.793000</t>
  </si>
  <si>
    <t>20.378000</t>
  </si>
  <si>
    <t>19.970000</t>
  </si>
  <si>
    <t>68.447000</t>
  </si>
  <si>
    <t>67.078000</t>
  </si>
  <si>
    <t>65.737000</t>
  </si>
  <si>
    <t>14.362000</t>
  </si>
  <si>
    <t>14.075000</t>
  </si>
  <si>
    <t>10.565000</t>
  </si>
  <si>
    <t>10.353000</t>
  </si>
  <si>
    <t>8.440</t>
  </si>
  <si>
    <t>9.310000</t>
  </si>
  <si>
    <t>5.310000</t>
  </si>
  <si>
    <t>146.336000</t>
  </si>
  <si>
    <t>crema facial - GRANASKIN DIA - 50gr - BIOLIFE</t>
  </si>
  <si>
    <t>crema facial nocturna - GRANASKIN NOCHE - 50gr - BIOLIFE</t>
  </si>
  <si>
    <t>crema contorno de ojos - GRANASKIN OJOS - 50gr - BIOLIFE</t>
  </si>
  <si>
    <t>tadalafil - CHRISALE -  20 mg - c/ 8 tabs - ULTRA</t>
  </si>
  <si>
    <t>23.240</t>
  </si>
  <si>
    <t>ACEITE DE COCO - 40ml - pza - REB MADRID</t>
  </si>
  <si>
    <t>ACEITE DE OLIVO - 40ml - pza - REB MADRID</t>
  </si>
  <si>
    <t>ACEITE DE RICINO - 40ml - pza - REB MADRID</t>
  </si>
  <si>
    <t>ACEITE DE ROMERO - 40ml - pz - REB MADRID</t>
  </si>
  <si>
    <t>ACEITE DE EUCALIPTO - 40ml - pza - REB MADRID</t>
  </si>
  <si>
    <t>ACEITE DE ALMENDRAS DULCES - 40ml - pza - REB MADRID</t>
  </si>
  <si>
    <t>8.690000</t>
  </si>
  <si>
    <t>POMADA DE ÁRNICA - 50g pza - REB MADRID</t>
  </si>
  <si>
    <t>POMADA DE MANZANA - 50g - pza - REB MADRID</t>
  </si>
  <si>
    <t>POMADA DE PAN PUERCO - 50gr - pza - REB MADRID</t>
  </si>
  <si>
    <t>JARABE DE GRANADA 40ml - pz - REB MADRID</t>
  </si>
  <si>
    <t>8.230</t>
  </si>
  <si>
    <t>OXIDO DE ZINC - exhibidor C/50sbs - REB MADRID</t>
  </si>
  <si>
    <t>52.370</t>
  </si>
  <si>
    <t>32.650</t>
  </si>
  <si>
    <t>7.085000</t>
  </si>
  <si>
    <t>6.955000</t>
  </si>
  <si>
    <t>6.825000</t>
  </si>
  <si>
    <t>43.770</t>
  </si>
  <si>
    <t>7.930</t>
  </si>
  <si>
    <t>Ampicilina - BRUPEN - Susp. 90 mL - 250 mg/5 mL - BRULUAGSA---PA</t>
  </si>
  <si>
    <t>10.340</t>
  </si>
  <si>
    <t>CINTA MICROPOROSA - piel - 1.25 m X 5 m - 1 pza - MICROSEDA- NUEVO</t>
  </si>
  <si>
    <t>LUBRIDERM CREMA DIARIA PIEL NORMAL  - 400ml - J&amp;J</t>
  </si>
  <si>
    <t>22.580</t>
  </si>
  <si>
    <t>14.020</t>
  </si>
  <si>
    <t>87.080</t>
  </si>
  <si>
    <t>113.680</t>
  </si>
  <si>
    <t>CINTA MICROPOROSA - piel - 2.5 m X 5 m - 1 pza - MICROPOMEX</t>
  </si>
  <si>
    <t>CINTA MICROPOROSA - blanco - 2.5 m X 5 m - 1 pza - MICROPOMEX</t>
  </si>
  <si>
    <t>CINTA MICROPOROSA - blanco - 1.25 m X 5 m - 1 pza - MICROPOMEX</t>
  </si>
  <si>
    <t>CINTA MICROPOROSA - piel - 1.25 m X 5 m - 1 pza - MICROPOMEX</t>
  </si>
  <si>
    <t>4.660</t>
  </si>
  <si>
    <t>24.990</t>
  </si>
  <si>
    <t>20.160000</t>
  </si>
  <si>
    <t>12.600</t>
  </si>
  <si>
    <t>180.980</t>
  </si>
  <si>
    <t>84.950</t>
  </si>
  <si>
    <t>18.950000</t>
  </si>
  <si>
    <t>51.270</t>
  </si>
  <si>
    <t>27.840</t>
  </si>
  <si>
    <t>79.950</t>
  </si>
  <si>
    <t>92.170</t>
  </si>
  <si>
    <t>PROTECTOR SOLAR FPS 50 + UVA/UVB - crema 125 g -SERRAL</t>
  </si>
  <si>
    <t>53.090</t>
  </si>
  <si>
    <t>76.724000</t>
  </si>
  <si>
    <t>82.450</t>
  </si>
  <si>
    <t>148.640</t>
  </si>
  <si>
    <t>17.860</t>
  </si>
  <si>
    <t>131.034000</t>
  </si>
  <si>
    <t>26.250</t>
  </si>
  <si>
    <t>8.280</t>
  </si>
  <si>
    <t>colchicina-COLCHIQUIM 1mg c 20 tab - QUIFA</t>
  </si>
  <si>
    <t>49.400</t>
  </si>
  <si>
    <t>37.450</t>
  </si>
  <si>
    <t>ELECTROLIT MORA AZUL - 625 ml - 1 pza - PISA - ENERO 27</t>
  </si>
  <si>
    <t>diclofenaco gel - DICLOFENACO DIETILAMONIO - 60g/1.16% - BEADVANCE</t>
  </si>
  <si>
    <t>topiramato - TOMZY - c/60 tabs - 100 mg - ZYDUS</t>
  </si>
  <si>
    <t>Vitamina D2/Vitamina E/Zinc - MARIVIT BOOST - 10mcg/20mg/20mg - c/30 caps - PHARMACAPS</t>
  </si>
  <si>
    <t>34.860</t>
  </si>
  <si>
    <t>43.578000</t>
  </si>
  <si>
    <t>paracetamol - DESENFRIOL D - c/12 tabs - BAYER</t>
  </si>
  <si>
    <t>sulfato de magnesio - MAGSOKON - 26g polvo - QUIFA</t>
  </si>
  <si>
    <t>nistatina susp 2400000 UI - NISTA QUIM PED - c/24 ml - QUIFA</t>
  </si>
  <si>
    <t>Harina de soya/polividona -BAÑO COLOIDE - 86.85/1.8g - C/90g - SERRAL</t>
  </si>
  <si>
    <t>714706903182CC</t>
  </si>
  <si>
    <t>BRONCOLÍN PALETA 1 kg - Vitrolero sabores c/100 - BRONCOLIN Septiembre 2026</t>
  </si>
  <si>
    <t>7501008485378CC</t>
  </si>
  <si>
    <t>maleato de clorfenamina - TABCIN AZUL EFERVESCENTE - 60 tab - BAYER --- Septiembre 26</t>
  </si>
  <si>
    <t>metronidazol - METRONIDAZOL - 500mg c/30 tab - RANDALL</t>
  </si>
  <si>
    <t>7502216803640CC</t>
  </si>
  <si>
    <t>650240032301CC</t>
  </si>
  <si>
    <t>650240035395CC</t>
  </si>
  <si>
    <t>7501033956331CCC</t>
  </si>
  <si>
    <t>PEDIASURE FRESA - 237 mL - ABBOTT - MARZO 2027</t>
  </si>
  <si>
    <t>34.890</t>
  </si>
  <si>
    <t>9.700</t>
  </si>
  <si>
    <t>16.396000</t>
  </si>
  <si>
    <t>12.858000</t>
  </si>
  <si>
    <t>12.599000</t>
  </si>
  <si>
    <t>12.341000</t>
  </si>
  <si>
    <t>Metformina/glibenclamida - WADIL -30 Tabs- 500/2.5 mg - BIOMEP</t>
  </si>
  <si>
    <t>65.090</t>
  </si>
  <si>
    <t>clioquinol - CLIOQUINOL - 20 g - crema 3% - ALPHARMA-*FB*</t>
  </si>
  <si>
    <t>levofloxacino-LEFAREX 750mg c/7 tab-BIOMEP</t>
  </si>
  <si>
    <t>39.460</t>
  </si>
  <si>
    <t>48.710</t>
  </si>
  <si>
    <t>atorvastatina - ATORVASTATINA - 20mg c/30tab - SUANCA</t>
  </si>
  <si>
    <t>195.000</t>
  </si>
  <si>
    <t>Salicilato de metilo y belladona - PARCHE NEGRO - 1 pz -12.5cm x 18.5cm - QUIFA</t>
  </si>
  <si>
    <t>ibuprofeno / hioscina - BRUFEM - 400/20 mg -10 tabs - BRULUAGSA</t>
  </si>
  <si>
    <t>Iodopovidona - DERMODINE ANTISEPTICA - c/120 ml - DEGASA</t>
  </si>
  <si>
    <t>iodopovidona - DERMODINE BUCOFARINGEO - sol 120 ml - DEGASA</t>
  </si>
  <si>
    <t>Iodopovidona - DERMODINE ESPUMA - sol c/120 ml - DEGASA</t>
  </si>
  <si>
    <t>67.010</t>
  </si>
  <si>
    <t>dapaglifozina - DIFLOSENSI - 10mg - c/28tab - JAYOR</t>
  </si>
  <si>
    <t>33.540</t>
  </si>
  <si>
    <t>86.990</t>
  </si>
  <si>
    <t>98.680</t>
  </si>
  <si>
    <t>15.247000</t>
  </si>
  <si>
    <t>11.957000</t>
  </si>
  <si>
    <t>11.716000</t>
  </si>
  <si>
    <t>11.476000</t>
  </si>
  <si>
    <t>91.480</t>
  </si>
  <si>
    <t>253.750</t>
  </si>
  <si>
    <t>58.530</t>
  </si>
  <si>
    <t>30.810</t>
  </si>
  <si>
    <t>700.000</t>
  </si>
  <si>
    <t>45.690</t>
  </si>
  <si>
    <t>139.140</t>
  </si>
  <si>
    <t>174.138000</t>
  </si>
  <si>
    <t>pregabalina - PRIKUL - 50mg - c/ 28 caps - ADIUM</t>
  </si>
  <si>
    <t>770.710</t>
  </si>
  <si>
    <t>950.000000</t>
  </si>
  <si>
    <t>858.000000</t>
  </si>
  <si>
    <t>atenolol/clortalidona - TENORETIC - 50mg/12.5mg - c/28 tab - ATNAHS</t>
  </si>
  <si>
    <t>391.630</t>
  </si>
  <si>
    <t>piroxicam - PIROXICAM - 20mg - c/20 tab - AVIVIA</t>
  </si>
  <si>
    <t>38.000</t>
  </si>
  <si>
    <t>racecadotrilo - RACECADOTRILO - c/18 sob granulado 30mg - MAVER</t>
  </si>
  <si>
    <t>27.060</t>
  </si>
  <si>
    <t>585.000</t>
  </si>
  <si>
    <t>1250.000000</t>
  </si>
  <si>
    <t>102.380</t>
  </si>
  <si>
    <t>vitaminas, hierro - AUTRIN 600 - 36 tab - ARMSTRONG---</t>
  </si>
  <si>
    <t>425.200</t>
  </si>
  <si>
    <t>14.510</t>
  </si>
  <si>
    <t>38.440</t>
  </si>
  <si>
    <t>39.200</t>
  </si>
  <si>
    <t>10.450</t>
  </si>
  <si>
    <t>aluminio/magnesio/simeticona - MELOX PLUS MENTA - 200/200/25mg c/50 tabs - SANOFI</t>
  </si>
  <si>
    <t>115.610</t>
  </si>
  <si>
    <t>14.490</t>
  </si>
  <si>
    <t>tiamina/piridoxina/cianocobalamina - COMPLEJO B DIABETICO - 30 tab - 100/5/0.05 - AVIVIA - FEBRERO 27</t>
  </si>
  <si>
    <t>SUEROX (NARANJA-MANDARINA) - 630 ml - GENOMMA LAB fórmula hidratante c/electrolitos - FEBRERO 27</t>
  </si>
  <si>
    <t>SUEROX (COCO) - 630 ml - GENOMMA LAB fórmula hidratante c/electrolitos - FEBRERO 27</t>
  </si>
  <si>
    <t>aluminio/magnesio/dimeticona - MELOX PLUS MENTA -3.7/4.0/0.5gr - susp 360ml - EUROFARMA</t>
  </si>
  <si>
    <t>aluminio/magnesio/dimeticona - MELOX PLUS CEREZA - susp 360ml - EUROFARMA</t>
  </si>
  <si>
    <t>109.980</t>
  </si>
  <si>
    <t>137.480000</t>
  </si>
  <si>
    <t>aluminio/magnesio/simeticona - MELOX PLUS MENTA - 200/200/25mg c/50 tabs - EUROFARMA</t>
  </si>
  <si>
    <t>81.480</t>
  </si>
  <si>
    <t>262.000</t>
  </si>
  <si>
    <t>17.900</t>
  </si>
  <si>
    <t>23.880</t>
  </si>
  <si>
    <t>66.440</t>
  </si>
  <si>
    <t>Quinfamida, Albendazol-FARMIVER Pediatrico-10 mL-100-200mg/10ml-FARMA.CONT---PA</t>
  </si>
  <si>
    <t>PREGABALINA- BIPALVER- 75MG 28CAPS- MAVER---</t>
  </si>
  <si>
    <t>46.950</t>
  </si>
  <si>
    <t>82.200</t>
  </si>
  <si>
    <t>33.840</t>
  </si>
  <si>
    <t>90.420</t>
  </si>
  <si>
    <t>levocetirizina - KOMZIMBA - 10 tab - 5 mg - SERRAL</t>
  </si>
  <si>
    <t>70.280</t>
  </si>
  <si>
    <t>100.431000</t>
  </si>
  <si>
    <t>133.190000</t>
  </si>
  <si>
    <t>27.360</t>
  </si>
  <si>
    <t>52.950</t>
  </si>
  <si>
    <t>38.400</t>
  </si>
  <si>
    <t>30.780</t>
  </si>
  <si>
    <t>22.597000</t>
  </si>
  <si>
    <t>MEDIAS ANTIEMBOLICAS - MUSLO CH LEROY - bolsa 1 par</t>
  </si>
  <si>
    <t>101.450</t>
  </si>
  <si>
    <t>MEDIAS ANTIEMBOLICAS - MUSLO G LEROY - Bolsa 1 par</t>
  </si>
  <si>
    <t>MEDIAS ANTIEMBOLICAS - MUSLO M LEROY Bolsa - 1 par</t>
  </si>
  <si>
    <t>106.720</t>
  </si>
  <si>
    <t>MEDIAS ANTIEMBOLICAS - MUSLO XG LEROY Bolsa - 1 par</t>
  </si>
  <si>
    <t>111.890</t>
  </si>
  <si>
    <t>28.150</t>
  </si>
  <si>
    <t>21.500</t>
  </si>
  <si>
    <t>55.320</t>
  </si>
  <si>
    <t>118.310</t>
  </si>
  <si>
    <t>TIRAS INSTANT - 50 tiras - ACCU-CHEK - NOVIEMBRE 26</t>
  </si>
  <si>
    <t>irbesartan/hidroclo - IRBESARTÁN/HIDROCLOROTIAZIDA - c/28 tab - 300/12.5 mg - CAMBER</t>
  </si>
  <si>
    <t>41.010</t>
  </si>
  <si>
    <t>354.000000</t>
  </si>
  <si>
    <t>281.040</t>
  </si>
  <si>
    <t>fosfomicina - FOSSIN - 6 cap - 500 mg - WESERPHARMA</t>
  </si>
  <si>
    <t>218.000</t>
  </si>
  <si>
    <t>34.780</t>
  </si>
  <si>
    <t>fosfomicina - FOSSIN - c/12caps - 500mg - WESERPHARMA</t>
  </si>
  <si>
    <t>365.000</t>
  </si>
  <si>
    <t>NIDO KINDER 1.6 K - 1-2 AÑOS - NESTLÉ</t>
  </si>
  <si>
    <t>212.000</t>
  </si>
  <si>
    <t>275.500000</t>
  </si>
  <si>
    <t>46.470</t>
  </si>
  <si>
    <t>8.260</t>
  </si>
  <si>
    <t>8.430</t>
  </si>
  <si>
    <t>ONE TOUCH SELECT PLUS CON 50 TIRAS REACTIVAS ---</t>
  </si>
  <si>
    <t>293.210</t>
  </si>
  <si>
    <t>48.580</t>
  </si>
  <si>
    <t>14.970</t>
  </si>
  <si>
    <t>120.480</t>
  </si>
  <si>
    <t>30.660</t>
  </si>
  <si>
    <t>171.990</t>
  </si>
  <si>
    <t>4.140</t>
  </si>
  <si>
    <t>36.480</t>
  </si>
  <si>
    <t>128.410</t>
  </si>
  <si>
    <t>racecadotrilo - RACECADOTRILO - c/18 sob granulado 10mg - MAVER</t>
  </si>
  <si>
    <t>Sulfato Ferroso - BIOFENOR tab c/30 - 60.27 mg - BIORESEARCH</t>
  </si>
  <si>
    <t>ONE TOUCH SELEC PLUS -C/25 TIRAS REACT</t>
  </si>
  <si>
    <t>165.260</t>
  </si>
  <si>
    <t>279.000000</t>
  </si>
  <si>
    <t>129.520</t>
  </si>
  <si>
    <t>28.880</t>
  </si>
  <si>
    <t>51.550</t>
  </si>
  <si>
    <t>27.740</t>
  </si>
  <si>
    <t>81.410</t>
  </si>
  <si>
    <t>153.120000</t>
  </si>
  <si>
    <t>239.960</t>
  </si>
  <si>
    <t>176.176000</t>
  </si>
  <si>
    <t>292.000000</t>
  </si>
  <si>
    <t>22.670</t>
  </si>
  <si>
    <t>78.420</t>
  </si>
  <si>
    <t>37.710</t>
  </si>
  <si>
    <t>38.070</t>
  </si>
  <si>
    <t>19.350</t>
  </si>
  <si>
    <t>13.150</t>
  </si>
  <si>
    <t>13.360</t>
  </si>
  <si>
    <t>29.760000</t>
  </si>
  <si>
    <t>2.620</t>
  </si>
  <si>
    <t>POMADA DE LA CAMPANA - lata C/35gr - GENOMMA</t>
  </si>
  <si>
    <t>22.250</t>
  </si>
  <si>
    <t>51.650</t>
  </si>
  <si>
    <t>26.020</t>
  </si>
  <si>
    <t>138.950</t>
  </si>
  <si>
    <t>20.430</t>
  </si>
  <si>
    <t>52.690</t>
  </si>
  <si>
    <t>85.000</t>
  </si>
  <si>
    <t>32.290</t>
  </si>
  <si>
    <t>68.540</t>
  </si>
  <si>
    <t>34.450</t>
  </si>
  <si>
    <t>379.770</t>
  </si>
  <si>
    <t>72.760</t>
  </si>
  <si>
    <t>19.580</t>
  </si>
  <si>
    <t>34.680</t>
  </si>
  <si>
    <t>133.621000</t>
  </si>
  <si>
    <t>47.060</t>
  </si>
  <si>
    <t>30.680</t>
  </si>
  <si>
    <t>193.270</t>
  </si>
  <si>
    <t>7.500</t>
  </si>
  <si>
    <t>8.250000</t>
  </si>
  <si>
    <t>532.670</t>
  </si>
  <si>
    <t>36.230</t>
  </si>
  <si>
    <t>LECHE NIDO KINDER 1+ - sobre 144 g - NESTLE---</t>
  </si>
  <si>
    <t>11.100</t>
  </si>
  <si>
    <t>17.140</t>
  </si>
  <si>
    <t>17.080</t>
  </si>
  <si>
    <t>toallitas humedas - ABSORSEC - 90 toallas hipoalergenicas - KLEENBEBE</t>
  </si>
  <si>
    <t>11.300</t>
  </si>
  <si>
    <t>aciclovir - CICLOFERON - crema  5g al 5% - LIOMONT</t>
  </si>
  <si>
    <t>142.970</t>
  </si>
  <si>
    <t>9.440</t>
  </si>
  <si>
    <t>16.362000</t>
  </si>
  <si>
    <t>JABON ESCUDO - AZUL ORIGINAL -150 GR - KIMBERLY</t>
  </si>
  <si>
    <t>MOUSSE ROJO CABELLO RIZO - 1 pza - 210 ml - HERBAL ESSENCES - P&amp;G</t>
  </si>
  <si>
    <t>MOUSSE AZUL  EXTRA CONTROL - 210ml - 1 PZA - HERBAL ESSENCES - P&amp;G</t>
  </si>
  <si>
    <t>113.000</t>
  </si>
  <si>
    <t>146.190</t>
  </si>
  <si>
    <t>tracolimus - PLASCORD - 1mg - C/50 tab - CARITAS PHARMA</t>
  </si>
  <si>
    <t>494.310</t>
  </si>
  <si>
    <t>DAPAGLIFLOZINA - 28 tab - 10 mg - CAMBER - nuevo</t>
  </si>
  <si>
    <t>34.720</t>
  </si>
  <si>
    <t>32.670</t>
  </si>
  <si>
    <t>21.400</t>
  </si>
  <si>
    <t>65.130</t>
  </si>
  <si>
    <t>49.760</t>
  </si>
  <si>
    <t>metformina - DINAMEL - 30 tab - 500 mg - LIFERPAL MD</t>
  </si>
  <si>
    <t>DIMEFOR, PREDIAL PLUS, GLUCOPHAGE, DABEX XR, APOZEMIA, FICONAX</t>
  </si>
  <si>
    <t>340.000</t>
  </si>
  <si>
    <t>370.000</t>
  </si>
  <si>
    <t>8.600</t>
  </si>
  <si>
    <t>49.160</t>
  </si>
  <si>
    <t>295.000</t>
  </si>
  <si>
    <t>5.350</t>
  </si>
  <si>
    <t>217.820</t>
  </si>
  <si>
    <t>10.580</t>
  </si>
  <si>
    <t>102.550</t>
  </si>
  <si>
    <t>17.800</t>
  </si>
  <si>
    <t>61.400</t>
  </si>
  <si>
    <t>96.760</t>
  </si>
  <si>
    <t>33.220</t>
  </si>
  <si>
    <t>66.940</t>
  </si>
  <si>
    <t>55.500000</t>
  </si>
  <si>
    <t>16.300</t>
  </si>
  <si>
    <t>traxerutina -TEBOVEN - 300mg c740 grageas - SCHWABE</t>
  </si>
  <si>
    <t>6.552000</t>
  </si>
  <si>
    <t>oxitetraciclina - TERRAMICINA - 16 cap - 500 mg - PFIZER - MARZO 27</t>
  </si>
  <si>
    <t>7501349025288CC</t>
  </si>
  <si>
    <t>castaño de indias/ extracto de arnica - FLAUSIVER GEL - 100gr - MAVER</t>
  </si>
  <si>
    <t>lidamidina - SUPRA - c/30 tab - 4mg - VALEANT</t>
  </si>
  <si>
    <t>310.550</t>
  </si>
  <si>
    <t>7.050</t>
  </si>
  <si>
    <t>16.320</t>
  </si>
  <si>
    <t>349.000000</t>
  </si>
  <si>
    <t>97.080</t>
  </si>
  <si>
    <t>34.240</t>
  </si>
  <si>
    <t>76.020</t>
  </si>
  <si>
    <t>142.500000</t>
  </si>
  <si>
    <t>28.080</t>
  </si>
  <si>
    <t>38.870</t>
  </si>
  <si>
    <t>30.730</t>
  </si>
  <si>
    <t>8.200</t>
  </si>
  <si>
    <t>26.140</t>
  </si>
  <si>
    <t>41.930</t>
  </si>
  <si>
    <t>28.810</t>
  </si>
  <si>
    <t>21.280</t>
  </si>
  <si>
    <t>46.090</t>
  </si>
  <si>
    <t>22.470</t>
  </si>
  <si>
    <t>43.090</t>
  </si>
  <si>
    <t>61.850</t>
  </si>
  <si>
    <t>145.500000</t>
  </si>
  <si>
    <t>41.710</t>
  </si>
  <si>
    <t>65.320</t>
  </si>
  <si>
    <t>5.270</t>
  </si>
  <si>
    <t>217.290000</t>
  </si>
  <si>
    <t>53.440</t>
  </si>
  <si>
    <t>121.930</t>
  </si>
  <si>
    <t>6.660</t>
  </si>
  <si>
    <t>7.950</t>
  </si>
  <si>
    <t>6.640</t>
  </si>
  <si>
    <t>6.900</t>
  </si>
  <si>
    <t>POMADA DE TEPEZCOHUITE - 50gr - pza - REB MADRID</t>
  </si>
  <si>
    <t>9.780</t>
  </si>
  <si>
    <t>POMADA DE VENENO DE ABEJA - 50gr - pza - REB MADRID</t>
  </si>
  <si>
    <t>40.110</t>
  </si>
  <si>
    <t>25.490</t>
  </si>
  <si>
    <t>28.180</t>
  </si>
  <si>
    <t>30.050</t>
  </si>
  <si>
    <t>43.180</t>
  </si>
  <si>
    <t>49.630</t>
  </si>
  <si>
    <t>lidocaina - PISACAINA - 1% sol iny - 10mg/ml - c/1 fco 50 ml - PISA</t>
  </si>
  <si>
    <t>56.260</t>
  </si>
  <si>
    <t>67.000</t>
  </si>
  <si>
    <t>clorfenamina compuesta - KY6 - 10 tab - 500/25/5/4 mg - BRULUART - VIEJO COD</t>
  </si>
  <si>
    <t>58.880</t>
  </si>
  <si>
    <t>267.241000</t>
  </si>
  <si>
    <t>210.000</t>
  </si>
  <si>
    <t>46.320</t>
  </si>
  <si>
    <t>75.010</t>
  </si>
  <si>
    <t>41.940</t>
  </si>
  <si>
    <t>43.320</t>
  </si>
  <si>
    <t>eucalip/gordolobo/propo/vit c/tolu - EPICOL ZERO SOL - Sin Azúcar - 120 ML.</t>
  </si>
  <si>
    <t>31.840</t>
  </si>
  <si>
    <t>33.340</t>
  </si>
  <si>
    <t>80.560</t>
  </si>
  <si>
    <t>91.500000</t>
  </si>
  <si>
    <t>35.460</t>
  </si>
  <si>
    <t>144.760</t>
  </si>
  <si>
    <t>38.950</t>
  </si>
  <si>
    <t>32.500</t>
  </si>
  <si>
    <t>5.890</t>
  </si>
  <si>
    <t>208.840</t>
  </si>
  <si>
    <t>Des - OBAO ROLL ON AUDAZ NEGRO - H - 65 gr - GARNIER</t>
  </si>
  <si>
    <t>Des - OBAO ROLL ON CAMPEON 65 gr - H - GARNIER</t>
  </si>
  <si>
    <t>Des - OBAO ROLL ON CLASIC VERD - H - 65 gr - GARNIER</t>
  </si>
  <si>
    <t>Des - OBAO ROLL ON COOL METAL - H - 65 gr - GARNIER</t>
  </si>
  <si>
    <t>Des - OBAO ROLL ON OCEANIC AZUL - H - 65 gr - GARNIER</t>
  </si>
  <si>
    <t>Des - OBAO ROLL ON TATTO POSESION - H - 65 gr - GARNIER</t>
  </si>
  <si>
    <t>33.630</t>
  </si>
  <si>
    <t>cap. lecitina de soya, vit y min - AURIVIT - 30 cap - 1.18 g - PHARMACAPS</t>
  </si>
  <si>
    <t>38.570</t>
  </si>
  <si>
    <t>clorhidrato de ciprofloxacino - CIPROFLOXACINO - 14 tab - 500 mg - BEADVANCE</t>
  </si>
  <si>
    <t>18.470</t>
  </si>
  <si>
    <t>sildenafil - EDEGRA - 10 tab - 100 mg - SERRAL</t>
  </si>
  <si>
    <t>triticum vulgare, fenoxietanol - TISSUSAN - tub 15 g - ADVALTA</t>
  </si>
  <si>
    <t>76.360</t>
  </si>
  <si>
    <t>gel lub vag - LUBIFEM - 113 g - QUIFA</t>
  </si>
  <si>
    <t>50.010</t>
  </si>
  <si>
    <t>59.052000</t>
  </si>
  <si>
    <t>25.960</t>
  </si>
  <si>
    <t>22.000</t>
  </si>
  <si>
    <t>139.320</t>
  </si>
  <si>
    <t>26.000</t>
  </si>
  <si>
    <t>63.100</t>
  </si>
  <si>
    <t>138.690</t>
  </si>
  <si>
    <t>paracetamol, feniramina, fenilefrina - THERAFLU TD ROJO sabor limon- caja c/ 10 sobres - 650 mg/ 20 mg/10 mg - GSK - ABRIL 27</t>
  </si>
  <si>
    <t>12.690</t>
  </si>
  <si>
    <t>ELECTROLIT MANZANA - 1 pza - 625 ml - PISA - MARZO 27</t>
  </si>
  <si>
    <t>41.560</t>
  </si>
  <si>
    <t>7501048922208CC</t>
  </si>
  <si>
    <t>7501125142994CC</t>
  </si>
  <si>
    <t>7501361681288CC</t>
  </si>
  <si>
    <t>7501125100864CC</t>
  </si>
  <si>
    <t>clonixinato de lisina - LONIXER - 10 tab - 125 mg - SERRAL ---</t>
  </si>
  <si>
    <t>DORIXINA,FIRAC, DOLTRIX</t>
  </si>
  <si>
    <t>8.380</t>
  </si>
  <si>
    <t>15.020</t>
  </si>
  <si>
    <t>6.500</t>
  </si>
  <si>
    <t>34.110</t>
  </si>
  <si>
    <t>53.010</t>
  </si>
  <si>
    <t>17.500</t>
  </si>
  <si>
    <t>50.820</t>
  </si>
  <si>
    <t>19.220</t>
  </si>
  <si>
    <t>170.950</t>
  </si>
  <si>
    <t>17.770</t>
  </si>
  <si>
    <t>18.780</t>
  </si>
  <si>
    <t>37.490</t>
  </si>
  <si>
    <t>47.740</t>
  </si>
  <si>
    <t>39.780</t>
  </si>
  <si>
    <t>valaciclovir - VALACICLOVIR - 10 tab - 500 mg - SERRAL ---</t>
  </si>
  <si>
    <t>199.360</t>
  </si>
  <si>
    <t>256.000000</t>
  </si>
  <si>
    <t>80.090</t>
  </si>
  <si>
    <t>40.290</t>
  </si>
  <si>
    <t>24.200</t>
  </si>
  <si>
    <t>19.640</t>
  </si>
  <si>
    <t>79.170</t>
  </si>
  <si>
    <t>12.380</t>
  </si>
  <si>
    <t>23.540</t>
  </si>
  <si>
    <t>26.900</t>
  </si>
  <si>
    <t>6.080</t>
  </si>
  <si>
    <t>15.140</t>
  </si>
  <si>
    <t>112.850</t>
  </si>
  <si>
    <t>32.840</t>
  </si>
  <si>
    <t>23.730</t>
  </si>
  <si>
    <t>40.320</t>
  </si>
  <si>
    <t>107.530</t>
  </si>
  <si>
    <t>15.120</t>
  </si>
  <si>
    <t>bromuro de pinaverio, dimeticona - DUELUM - 16 cap - 100/300 mg - SERRAL</t>
  </si>
  <si>
    <t>87.160</t>
  </si>
  <si>
    <t>PARCHE POROSO - 1 pza - 12.5 cm ancho x 18.5 cm alto - QUIFA</t>
  </si>
  <si>
    <t>RASTRILLO GILLETE PRESTO 3 - BOLSA - C/2 PZ - P&amp;G</t>
  </si>
  <si>
    <t>28.730</t>
  </si>
  <si>
    <t>DILO</t>
  </si>
  <si>
    <t>9.050</t>
  </si>
  <si>
    <t>106.450</t>
  </si>
  <si>
    <t>44.550</t>
  </si>
  <si>
    <t>225.200</t>
  </si>
  <si>
    <t>60.160</t>
  </si>
  <si>
    <t>famotidina - ULTIDIN - 30 caps - 20 mg - PHARMACAPS</t>
  </si>
  <si>
    <t>58.770</t>
  </si>
  <si>
    <t>hidróxido de magnesio - NORMEX LECHE DE MAGNESIA - 8.5g susp - fco360 ml - PERRIGO</t>
  </si>
  <si>
    <t>28.250</t>
  </si>
  <si>
    <t>44.350</t>
  </si>
  <si>
    <t>oxitetraciclina/polimixina B - TERRAMICINA - ung oft 10 g - 0.005 g/10000 U - PFIZER - MARZO 27</t>
  </si>
  <si>
    <t>55.050</t>
  </si>
  <si>
    <t>GUANTE PROTEC NO ESTERIL BLANCO (CHICO) - SEPTIEMBRE 26</t>
  </si>
  <si>
    <t>SOLUCIÓN DX-50 (GLUCOSA) 50% FRASCO 500 mL - PISA - SEPTIEMBRE 26</t>
  </si>
  <si>
    <t>losartan - LOSARTÁN (Medley) - 30 comp - 50 mg - SANOFI - ENERO 27</t>
  </si>
  <si>
    <t>GLUCOSA 1000 ml - 1 bot - sol 5% - PISA - ABRIL 27</t>
  </si>
  <si>
    <t>mupirocina - MUPIROCINA - ung 2% - 15gr - SERRAL</t>
  </si>
  <si>
    <t>70.550</t>
  </si>
  <si>
    <t>LEVONORGESTREL/ETINILESTRADIOL - 0.15/0.03 mg - c/21 tab - QUIFA</t>
  </si>
  <si>
    <t>24.710</t>
  </si>
  <si>
    <t>23.960</t>
  </si>
  <si>
    <t>40.750</t>
  </si>
  <si>
    <t>29.410</t>
  </si>
  <si>
    <t>19.120</t>
  </si>
  <si>
    <t>158.000</t>
  </si>
  <si>
    <t>98.780</t>
  </si>
  <si>
    <t>27.100</t>
  </si>
  <si>
    <t>10.520</t>
  </si>
  <si>
    <t>48.300</t>
  </si>
  <si>
    <t>ketotifeno - ASMARAL K - 1 mg C/30 TAB - SERRAL</t>
  </si>
  <si>
    <t>53.690</t>
  </si>
  <si>
    <t>11.060</t>
  </si>
  <si>
    <t>22.800</t>
  </si>
  <si>
    <t>ác. acetilsal/fenilef/clorf  - TABCIN EFERVESCENTE ROJO - 12 tab - 500 mg - BAYER</t>
  </si>
  <si>
    <t>33.250</t>
  </si>
  <si>
    <t>47.780</t>
  </si>
  <si>
    <t>17.260</t>
  </si>
  <si>
    <t>ác. acetilsal/fenilef/clorf - TABCIN EFERVESCENTE ROJO - 60 tab - 500/8/2 mg - BAYER---</t>
  </si>
  <si>
    <t>20.810</t>
  </si>
  <si>
    <t>57.750</t>
  </si>
  <si>
    <t>des - OBAO ROLL ON FRESQ AMAR - M - 65 GR - GARNIER</t>
  </si>
  <si>
    <t>28.850</t>
  </si>
  <si>
    <t>omega 3/dha/epa - XEBR3X - c/30 caps - 233mg/46mg/166mg - BIOLIFE</t>
  </si>
  <si>
    <t>omega 3/dha/epa - XEBR3X - c/60 caps - 233mg/46mg/166mg - BIOLIFE</t>
  </si>
  <si>
    <t>405.172000</t>
  </si>
  <si>
    <t>23.210</t>
  </si>
  <si>
    <t>15.320</t>
  </si>
  <si>
    <t>24.070</t>
  </si>
  <si>
    <t>17.160</t>
  </si>
  <si>
    <t>30.280</t>
  </si>
  <si>
    <t>18.640</t>
  </si>
  <si>
    <t>40.070</t>
  </si>
  <si>
    <t>23.750</t>
  </si>
  <si>
    <t>169.860</t>
  </si>
  <si>
    <t>77.760</t>
  </si>
  <si>
    <t>34.010</t>
  </si>
  <si>
    <t>106.950</t>
  </si>
  <si>
    <t>27.950</t>
  </si>
  <si>
    <t>119.950</t>
  </si>
  <si>
    <t>43.690</t>
  </si>
  <si>
    <t>54.800</t>
  </si>
  <si>
    <t>54.810</t>
  </si>
  <si>
    <t>78.950</t>
  </si>
  <si>
    <t>81.450</t>
  </si>
  <si>
    <t>28.630</t>
  </si>
  <si>
    <t>36.210</t>
  </si>
  <si>
    <t>35.500</t>
  </si>
  <si>
    <t>221.360</t>
  </si>
  <si>
    <t>145.950</t>
  </si>
  <si>
    <t>9.600</t>
  </si>
  <si>
    <t>66.340</t>
  </si>
  <si>
    <t>27.910</t>
  </si>
  <si>
    <t>124.810</t>
  </si>
  <si>
    <t>BIBERON DREAMS - 8 oz - 1 pza - EVENFLO</t>
  </si>
  <si>
    <t>10.210</t>
  </si>
  <si>
    <t>KETOPROFENO 15 CAPS 100 MG-AMSA-*FB*</t>
  </si>
  <si>
    <t>31.570</t>
  </si>
  <si>
    <t>14.330</t>
  </si>
  <si>
    <t>72.550</t>
  </si>
  <si>
    <t>331.030</t>
  </si>
  <si>
    <t>21.700</t>
  </si>
  <si>
    <t>7.550</t>
  </si>
  <si>
    <t>BIBERON DREAMS - 4 oz - 1 pza - EVENFLO</t>
  </si>
  <si>
    <t>alginato de sodio/macrogol/potasio - FLAMINAL FORTE GEL - 50g - NENUFARM</t>
  </si>
  <si>
    <t>443.180</t>
  </si>
  <si>
    <t>21.342000</t>
  </si>
  <si>
    <t>5.370</t>
  </si>
  <si>
    <t>56.300</t>
  </si>
  <si>
    <t>58.440000</t>
  </si>
  <si>
    <t>30.520</t>
  </si>
  <si>
    <t>25.222000</t>
  </si>
  <si>
    <t>13.480</t>
  </si>
  <si>
    <t>18.710</t>
  </si>
  <si>
    <t>26.855000</t>
  </si>
  <si>
    <t>36.040</t>
  </si>
  <si>
    <t>35.356000</t>
  </si>
  <si>
    <t>4.010</t>
  </si>
  <si>
    <t>4.517000</t>
  </si>
  <si>
    <t>17.220</t>
  </si>
  <si>
    <t>209.270</t>
  </si>
  <si>
    <t>62.330</t>
  </si>
  <si>
    <t>133.615000</t>
  </si>
  <si>
    <t>20.600</t>
  </si>
  <si>
    <t>64.413000</t>
  </si>
  <si>
    <t>66.741000</t>
  </si>
  <si>
    <t>63.806000</t>
  </si>
  <si>
    <t>39.450</t>
  </si>
  <si>
    <t>13.870000</t>
  </si>
  <si>
    <t>7.690000</t>
  </si>
  <si>
    <t>32.810</t>
  </si>
  <si>
    <t>113.520</t>
  </si>
  <si>
    <t>120.390</t>
  </si>
  <si>
    <t>69.750</t>
  </si>
  <si>
    <t>65.450</t>
  </si>
  <si>
    <t>13.860</t>
  </si>
  <si>
    <t>12.989000</t>
  </si>
  <si>
    <t>18.380</t>
  </si>
  <si>
    <t>222.450000</t>
  </si>
  <si>
    <t>18.826000</t>
  </si>
  <si>
    <t>16.140</t>
  </si>
  <si>
    <t>31.289000</t>
  </si>
  <si>
    <t>19.680</t>
  </si>
  <si>
    <t>13.370</t>
  </si>
  <si>
    <t>ELECTROLIT FRESA - 1 pza - 625 ml - PISA - NOVIEMBRE 26</t>
  </si>
  <si>
    <t>10.541000</t>
  </si>
  <si>
    <t>benzatina bencilpenicilina - BENZATINA BENCILPENICILINA - iny 1 amp - 1,200,000 U/5 ml - AMSA - MARZO 27</t>
  </si>
  <si>
    <t>38.860</t>
  </si>
  <si>
    <t>16.530</t>
  </si>
  <si>
    <t>148.000</t>
  </si>
  <si>
    <t>68.000</t>
  </si>
  <si>
    <t>78.000</t>
  </si>
  <si>
    <t>26.810</t>
  </si>
  <si>
    <t>35.390</t>
  </si>
  <si>
    <t>58.000</t>
  </si>
  <si>
    <t>108.000</t>
  </si>
  <si>
    <t>45.500</t>
  </si>
  <si>
    <t>14.230</t>
  </si>
  <si>
    <t>55.080</t>
  </si>
  <si>
    <t>27.960</t>
  </si>
  <si>
    <t>53.880</t>
  </si>
  <si>
    <t>110.410</t>
  </si>
  <si>
    <t>91.000</t>
  </si>
  <si>
    <t>109.470</t>
  </si>
  <si>
    <t>36.020</t>
  </si>
  <si>
    <t>22.690</t>
  </si>
  <si>
    <t>25.550</t>
  </si>
  <si>
    <t>suplemento alimenticio - PUNIC - 30 caps - 500 mg c/u - JAYOR</t>
  </si>
  <si>
    <t>759684317071M</t>
  </si>
  <si>
    <t>7.931</t>
  </si>
  <si>
    <t>8.362000</t>
  </si>
  <si>
    <t>12.330</t>
  </si>
  <si>
    <t>8.550</t>
  </si>
  <si>
    <t>7.530</t>
  </si>
  <si>
    <t>13.060</t>
  </si>
  <si>
    <t>106.780</t>
  </si>
  <si>
    <t>98.950</t>
  </si>
  <si>
    <t>14.760</t>
  </si>
  <si>
    <t>129.720</t>
  </si>
  <si>
    <t>56.470</t>
  </si>
  <si>
    <t>61.210</t>
  </si>
  <si>
    <t>117.180</t>
  </si>
  <si>
    <t>23.250</t>
  </si>
  <si>
    <t>20.960</t>
  </si>
  <si>
    <t>59.520</t>
  </si>
  <si>
    <t>85.333000</t>
  </si>
  <si>
    <t>66.354000</t>
  </si>
  <si>
    <t>6.940</t>
  </si>
  <si>
    <t>32.040</t>
  </si>
  <si>
    <t>21.660</t>
  </si>
  <si>
    <t>20.870</t>
  </si>
  <si>
    <t>58.680</t>
  </si>
  <si>
    <t>45.060</t>
  </si>
  <si>
    <t>19.490</t>
  </si>
  <si>
    <t>11.400</t>
  </si>
  <si>
    <t>39.580</t>
  </si>
  <si>
    <t>111.420</t>
  </si>
  <si>
    <t>22.760</t>
  </si>
  <si>
    <t>62.960</t>
  </si>
  <si>
    <t>75916565CC</t>
  </si>
  <si>
    <t>24.720000</t>
  </si>
  <si>
    <t>paracetamol - DESENFRIOL D - c/6 tab -2/5/500 mg - BAYER</t>
  </si>
  <si>
    <t>15.130</t>
  </si>
  <si>
    <t>paracetamol - DESENFRIOL-ITO PLUS NJA - C/6 tab mast - BAYER</t>
  </si>
  <si>
    <t>15.470</t>
  </si>
  <si>
    <t>51.940000</t>
  </si>
  <si>
    <t>74.950</t>
  </si>
  <si>
    <t>10.841000</t>
  </si>
  <si>
    <t>20.330</t>
  </si>
  <si>
    <t>30.900000</t>
  </si>
  <si>
    <t>70.530</t>
  </si>
  <si>
    <t>14.280</t>
  </si>
  <si>
    <t>116.300000</t>
  </si>
  <si>
    <t>13.940</t>
  </si>
  <si>
    <t>183.360000</t>
  </si>
  <si>
    <t>55.830</t>
  </si>
  <si>
    <t>90.880</t>
  </si>
  <si>
    <t>93.950</t>
  </si>
  <si>
    <t>44.640000</t>
  </si>
  <si>
    <t>127.960</t>
  </si>
  <si>
    <t>dicloxacilina - BUTIMAXIL - 500mg - 20 cáps - BRULUAGSA</t>
  </si>
  <si>
    <t>39.800</t>
  </si>
  <si>
    <t>25.000</t>
  </si>
  <si>
    <t>50.000</t>
  </si>
  <si>
    <t>177.950</t>
  </si>
  <si>
    <t>24.655000</t>
  </si>
  <si>
    <t>20.546000</t>
  </si>
  <si>
    <t>20.068000</t>
  </si>
  <si>
    <t>19.612000</t>
  </si>
  <si>
    <t>23.750000</t>
  </si>
  <si>
    <t>50.200000</t>
  </si>
  <si>
    <t>57.180</t>
  </si>
  <si>
    <t>83.190000</t>
  </si>
  <si>
    <t>31.638000</t>
  </si>
  <si>
    <t>209.741000</t>
  </si>
  <si>
    <t>44.224000</t>
  </si>
  <si>
    <t>36.853000</t>
  </si>
  <si>
    <t>14.143000</t>
  </si>
  <si>
    <t>53.486000</t>
  </si>
  <si>
    <t>43.624000</t>
  </si>
  <si>
    <t>42.706000</t>
  </si>
  <si>
    <t>41.786000</t>
  </si>
  <si>
    <t>28.490</t>
  </si>
  <si>
    <t>379.569000</t>
  </si>
  <si>
    <t>34.741000</t>
  </si>
  <si>
    <t>14.200</t>
  </si>
  <si>
    <t>20.180</t>
  </si>
  <si>
    <t>10.750000</t>
  </si>
  <si>
    <t>578.500000</t>
  </si>
  <si>
    <t>42.322000</t>
  </si>
  <si>
    <t>127.143000</t>
  </si>
  <si>
    <t>105.952000</t>
  </si>
  <si>
    <t>103.488000</t>
  </si>
  <si>
    <t>101.136000</t>
  </si>
  <si>
    <t>8.800</t>
  </si>
  <si>
    <t>168.414000</t>
  </si>
  <si>
    <t>124.286000</t>
  </si>
  <si>
    <t>103.571000</t>
  </si>
  <si>
    <t>101.163000</t>
  </si>
  <si>
    <t>98.864000</t>
  </si>
  <si>
    <t>101.400000</t>
  </si>
  <si>
    <t>283.300000</t>
  </si>
  <si>
    <t>55.431000</t>
  </si>
  <si>
    <t>30.970</t>
  </si>
  <si>
    <t>36.400000</t>
  </si>
  <si>
    <t>13.871000</t>
  </si>
  <si>
    <t>672.600000</t>
  </si>
  <si>
    <t>495.800000</t>
  </si>
  <si>
    <t>22.705000</t>
  </si>
  <si>
    <t>49.350</t>
  </si>
  <si>
    <t>6.371000</t>
  </si>
  <si>
    <t>5.186000</t>
  </si>
  <si>
    <t>5.068000</t>
  </si>
  <si>
    <t>25.714000</t>
  </si>
  <si>
    <t>21.429000</t>
  </si>
  <si>
    <t>20.930000</t>
  </si>
  <si>
    <t>73.010</t>
  </si>
  <si>
    <t>13.454000</t>
  </si>
  <si>
    <t>16.940</t>
  </si>
  <si>
    <t>dextrometorfano - BRUDEX - fco 120ml - BRULUART</t>
  </si>
  <si>
    <t>FARMA MAYOREO</t>
  </si>
  <si>
    <t>REBOTICA MADRID</t>
  </si>
  <si>
    <t>10.990</t>
  </si>
  <si>
    <t>9.790</t>
  </si>
  <si>
    <t>18.120</t>
  </si>
  <si>
    <t>29.370</t>
  </si>
  <si>
    <t>131.230</t>
  </si>
  <si>
    <t>9.630</t>
  </si>
  <si>
    <t>217.500</t>
  </si>
  <si>
    <t>55.000</t>
  </si>
  <si>
    <t>421.000</t>
  </si>
  <si>
    <t>24.060</t>
  </si>
  <si>
    <t>60.830</t>
  </si>
  <si>
    <t>16.100</t>
  </si>
  <si>
    <t>13.970</t>
  </si>
  <si>
    <t>79.680</t>
  </si>
  <si>
    <t>48.500</t>
  </si>
  <si>
    <t>101.470</t>
  </si>
  <si>
    <t>33.710</t>
  </si>
  <si>
    <t>50.320</t>
  </si>
  <si>
    <t>39.500</t>
  </si>
  <si>
    <t>40.620</t>
  </si>
  <si>
    <t>21.450</t>
  </si>
  <si>
    <t>drospirenona, etinilestradiol - YASMÍN* - 21 comp - 3/0.03 mg - BAYER</t>
  </si>
  <si>
    <t>429.090</t>
  </si>
  <si>
    <t>520.000000</t>
  </si>
  <si>
    <t>494.000000</t>
  </si>
  <si>
    <t>3.000</t>
  </si>
  <si>
    <t>51.000</t>
  </si>
  <si>
    <t>60.500</t>
  </si>
  <si>
    <t>95.740</t>
  </si>
  <si>
    <t>237.000</t>
  </si>
  <si>
    <t>22.530</t>
  </si>
  <si>
    <t>67.030</t>
  </si>
  <si>
    <t>19.150</t>
  </si>
  <si>
    <t>23.580</t>
  </si>
  <si>
    <t>34.160</t>
  </si>
  <si>
    <t>132.390</t>
  </si>
  <si>
    <t>40.540</t>
  </si>
  <si>
    <t>61.630</t>
  </si>
  <si>
    <t>15.090</t>
  </si>
  <si>
    <t>18.490</t>
  </si>
  <si>
    <t>6.680</t>
  </si>
  <si>
    <t>25.950</t>
  </si>
  <si>
    <t>16.340</t>
  </si>
  <si>
    <t>35.190</t>
  </si>
  <si>
    <t>25.500</t>
  </si>
  <si>
    <t>256.210</t>
  </si>
  <si>
    <t>325.000</t>
  </si>
  <si>
    <t>Jabon de tocador - DOVE EXFOLACION SUAVE - 135 g - UNILEVER</t>
  </si>
  <si>
    <t>24.371000</t>
  </si>
  <si>
    <t>jabon de tocador - DOVE HIDRATACION FRESCA - 135G - UNILEVER</t>
  </si>
  <si>
    <t>Jabon de tocador - DOVE LECHE DE COCO - 135 g - UNILEVER</t>
  </si>
  <si>
    <t>gel - X TREME VIAJE - 100gr -HENKEL</t>
  </si>
  <si>
    <t>ácido acetilsalicílico/cafeína - ALKA SELTZER BOOST EXHI - 50 tab - BAYER</t>
  </si>
  <si>
    <t>120.000</t>
  </si>
  <si>
    <t>didrogesterona - DUPHASTON - 10 mg  - C/20tabs - ABBOTT</t>
  </si>
  <si>
    <t>767.260</t>
  </si>
  <si>
    <t>882.830000</t>
  </si>
  <si>
    <t>882.000000</t>
  </si>
  <si>
    <t>38.770</t>
  </si>
  <si>
    <t>18.600</t>
  </si>
  <si>
    <t>16.570</t>
  </si>
  <si>
    <t>36.530</t>
  </si>
  <si>
    <t>30.450</t>
  </si>
  <si>
    <t>17.570</t>
  </si>
  <si>
    <t>77.970</t>
  </si>
  <si>
    <t>69.810</t>
  </si>
  <si>
    <t>88.570</t>
  </si>
  <si>
    <t>20.390</t>
  </si>
  <si>
    <t>77.560</t>
  </si>
  <si>
    <t>26.760</t>
  </si>
  <si>
    <t>16.990</t>
  </si>
  <si>
    <t>176.590</t>
  </si>
  <si>
    <t>58.850</t>
  </si>
  <si>
    <t>11.510</t>
  </si>
  <si>
    <t>42.060</t>
  </si>
  <si>
    <t>46.490</t>
  </si>
  <si>
    <t>8.180</t>
  </si>
  <si>
    <t>59.270</t>
  </si>
  <si>
    <t>13.260</t>
  </si>
  <si>
    <t>4.820</t>
  </si>
  <si>
    <t>metformina/linagliptina - TRAYENTA DUO - 60 tab - 2.5/850 mg - BOEHRINGER INGELHEIM ---</t>
  </si>
  <si>
    <t>30.340</t>
  </si>
  <si>
    <t>42.510</t>
  </si>
  <si>
    <t>11.290</t>
  </si>
  <si>
    <t>118.700</t>
  </si>
  <si>
    <t>25.020</t>
  </si>
  <si>
    <t>26.400</t>
  </si>
  <si>
    <t>15.730</t>
  </si>
  <si>
    <t>43.060</t>
  </si>
  <si>
    <t>167.680</t>
  </si>
  <si>
    <t>48.310</t>
  </si>
  <si>
    <t>82.240</t>
  </si>
  <si>
    <t>13.580</t>
  </si>
  <si>
    <t>24.930</t>
  </si>
  <si>
    <t>32.020</t>
  </si>
  <si>
    <t>20.580</t>
  </si>
  <si>
    <t>62.200</t>
  </si>
  <si>
    <t>39.000</t>
  </si>
  <si>
    <t>29.480</t>
  </si>
  <si>
    <t>6.190</t>
  </si>
  <si>
    <t>vildagliptina/metformina - VILDAGLIPTINA/METFORMINA - 30 comp - 50 mg/1000 mg - ULTRA</t>
  </si>
  <si>
    <t>33.190</t>
  </si>
  <si>
    <t>51.350</t>
  </si>
  <si>
    <t>37.280</t>
  </si>
  <si>
    <t>21.580</t>
  </si>
  <si>
    <t>5.970</t>
  </si>
  <si>
    <t>23.460</t>
  </si>
  <si>
    <t>5.410</t>
  </si>
  <si>
    <t>4.260</t>
  </si>
  <si>
    <t>65.890</t>
  </si>
  <si>
    <t>4.680</t>
  </si>
  <si>
    <t>13.110</t>
  </si>
  <si>
    <t>12.590</t>
  </si>
  <si>
    <t>11.600</t>
  </si>
  <si>
    <t>13.095000</t>
  </si>
  <si>
    <t>175.000</t>
  </si>
  <si>
    <t>omeprazol - SAROX - 28caps - 20mg - BIOMEP</t>
  </si>
  <si>
    <t>14.030</t>
  </si>
  <si>
    <t>86.020</t>
  </si>
  <si>
    <t>37.320</t>
  </si>
  <si>
    <t>26.840</t>
  </si>
  <si>
    <t>19.910</t>
  </si>
  <si>
    <t>16.680</t>
  </si>
  <si>
    <t>20.860</t>
  </si>
  <si>
    <t>56.100</t>
  </si>
  <si>
    <t>194.950</t>
  </si>
  <si>
    <t>19.930</t>
  </si>
  <si>
    <t>126.660</t>
  </si>
  <si>
    <t>30.160</t>
  </si>
  <si>
    <t>12.130</t>
  </si>
  <si>
    <t>43.800</t>
  </si>
  <si>
    <t>11.200</t>
  </si>
  <si>
    <t>7.810</t>
  </si>
  <si>
    <t>69.740</t>
  </si>
  <si>
    <t>70.910</t>
  </si>
  <si>
    <t>31.090</t>
  </si>
  <si>
    <t>25.670</t>
  </si>
  <si>
    <t>24.720</t>
  </si>
  <si>
    <t>11.830</t>
  </si>
  <si>
    <t>29.300</t>
  </si>
  <si>
    <t>19.360</t>
  </si>
  <si>
    <t>6.820</t>
  </si>
  <si>
    <t>53.320</t>
  </si>
  <si>
    <t>27.140</t>
  </si>
  <si>
    <t>44.330</t>
  </si>
  <si>
    <t>45.080</t>
  </si>
  <si>
    <t>48.720</t>
  </si>
  <si>
    <t>9.100</t>
  </si>
  <si>
    <t>9.430</t>
  </si>
  <si>
    <t>29.700</t>
  </si>
  <si>
    <t>27.490</t>
  </si>
  <si>
    <t>145.400</t>
  </si>
  <si>
    <t>18.910</t>
  </si>
  <si>
    <t>64.470000</t>
  </si>
  <si>
    <t>10.810</t>
  </si>
  <si>
    <t>169.500000</t>
  </si>
  <si>
    <t>128.260000</t>
  </si>
  <si>
    <t>6.790</t>
  </si>
  <si>
    <t>461.180000</t>
  </si>
  <si>
    <t>24.800</t>
  </si>
  <si>
    <t>24.610</t>
  </si>
  <si>
    <t>127.330</t>
  </si>
  <si>
    <t>29.100</t>
  </si>
  <si>
    <t>22.380</t>
  </si>
  <si>
    <t>6.000</t>
  </si>
  <si>
    <t>10.070</t>
  </si>
  <si>
    <t>10.910</t>
  </si>
  <si>
    <t>31.710</t>
  </si>
  <si>
    <t>45.530000</t>
  </si>
  <si>
    <t>57.960000</t>
  </si>
  <si>
    <t>21.960</t>
  </si>
  <si>
    <t>22.840</t>
  </si>
  <si>
    <t>22.880</t>
  </si>
  <si>
    <t>14.310</t>
  </si>
  <si>
    <t>127.850</t>
  </si>
  <si>
    <t>55.800000</t>
  </si>
  <si>
    <t>91.740</t>
  </si>
  <si>
    <t>46.760000</t>
  </si>
  <si>
    <t>20.380</t>
  </si>
  <si>
    <t>139.150</t>
  </si>
  <si>
    <t>26.600</t>
  </si>
  <si>
    <t>72.210000</t>
  </si>
  <si>
    <t>15.310</t>
  </si>
  <si>
    <t>198.650</t>
  </si>
  <si>
    <t>164.740</t>
  </si>
  <si>
    <t>37.080</t>
  </si>
  <si>
    <t>21.870</t>
  </si>
  <si>
    <t>12.210</t>
  </si>
  <si>
    <t>67.780</t>
  </si>
  <si>
    <t>35.960</t>
  </si>
  <si>
    <t>15.810</t>
  </si>
  <si>
    <t>27.680</t>
  </si>
  <si>
    <t>44.240</t>
  </si>
  <si>
    <t>13.010</t>
  </si>
  <si>
    <t>139.540</t>
  </si>
  <si>
    <t>268.930</t>
  </si>
  <si>
    <t>19.540</t>
  </si>
  <si>
    <t>12.660</t>
  </si>
  <si>
    <t>6.800</t>
  </si>
  <si>
    <t>53.040</t>
  </si>
  <si>
    <t>122.650</t>
  </si>
  <si>
    <t>9.130</t>
  </si>
  <si>
    <t>27.420</t>
  </si>
  <si>
    <t>13.250</t>
  </si>
  <si>
    <t>92.640</t>
  </si>
  <si>
    <t>198.430</t>
  </si>
  <si>
    <t>68.450</t>
  </si>
  <si>
    <t>38.980000</t>
  </si>
  <si>
    <t>17.040</t>
  </si>
  <si>
    <t>3.150</t>
  </si>
  <si>
    <t>30.890</t>
  </si>
  <si>
    <t>hedera helix (hiedra) - HIDRIVER JBE - fco 100 ml - 0.7 g/100 ml- MAVER</t>
  </si>
  <si>
    <t>59.280</t>
  </si>
  <si>
    <t>74.500000</t>
  </si>
  <si>
    <t>30.070000</t>
  </si>
  <si>
    <t>62.670000</t>
  </si>
  <si>
    <t>47.856000</t>
  </si>
  <si>
    <t>33.690000</t>
  </si>
  <si>
    <t>42.750000</t>
  </si>
  <si>
    <t>39.615000</t>
  </si>
  <si>
    <t>25.650000</t>
  </si>
  <si>
    <t>28.130000</t>
  </si>
  <si>
    <t>44.160000</t>
  </si>
  <si>
    <t>12.446000</t>
  </si>
  <si>
    <t>28.025000</t>
  </si>
  <si>
    <t>10.560000</t>
  </si>
  <si>
    <t>20.090000</t>
  </si>
  <si>
    <t>12.740000</t>
  </si>
  <si>
    <t>14.250000</t>
  </si>
  <si>
    <t>75.840000</t>
  </si>
  <si>
    <t>7.766000</t>
  </si>
  <si>
    <t>18.525000</t>
  </si>
  <si>
    <t>31.525000</t>
  </si>
  <si>
    <t>16.320000</t>
  </si>
  <si>
    <t>13.110000</t>
  </si>
  <si>
    <t>28.416000</t>
  </si>
  <si>
    <t>10.088000</t>
  </si>
  <si>
    <t>19.872000</t>
  </si>
  <si>
    <t>55.034000</t>
  </si>
  <si>
    <t>93.517000</t>
  </si>
  <si>
    <t>24.480000</t>
  </si>
  <si>
    <t>16.281000</t>
  </si>
  <si>
    <t>39.850000</t>
  </si>
  <si>
    <t>20.425000</t>
  </si>
  <si>
    <t>23.275000</t>
  </si>
  <si>
    <t>25.440000</t>
  </si>
  <si>
    <t>14.628000</t>
  </si>
  <si>
    <t>34.560000</t>
  </si>
  <si>
    <t>40.320000</t>
  </si>
  <si>
    <t>42.275000</t>
  </si>
  <si>
    <t>28.615000</t>
  </si>
  <si>
    <t>33.250000</t>
  </si>
  <si>
    <t>43.225000</t>
  </si>
  <si>
    <t>23.560000</t>
  </si>
  <si>
    <t>42.048000</t>
  </si>
  <si>
    <t>6.175000</t>
  </si>
  <si>
    <t>7.600000</t>
  </si>
  <si>
    <t>37.440000</t>
  </si>
  <si>
    <t>46.530000</t>
  </si>
  <si>
    <t>69.050</t>
  </si>
  <si>
    <t>88.350000</t>
  </si>
  <si>
    <t>32.980000</t>
  </si>
  <si>
    <t>141.620000</t>
  </si>
  <si>
    <t>61.920000</t>
  </si>
  <si>
    <t>24.225000</t>
  </si>
  <si>
    <t>19.104000</t>
  </si>
  <si>
    <t>58.900000</t>
  </si>
  <si>
    <t>19.698000</t>
  </si>
  <si>
    <t>13.132000</t>
  </si>
  <si>
    <t>29.925000</t>
  </si>
  <si>
    <t>18.360</t>
  </si>
  <si>
    <t>84.280000</t>
  </si>
  <si>
    <t>62.330000</t>
  </si>
  <si>
    <t>48.093000</t>
  </si>
  <si>
    <t>81.340000</t>
  </si>
  <si>
    <t>34.105000</t>
  </si>
  <si>
    <t>28.992000</t>
  </si>
  <si>
    <t>75.660000</t>
  </si>
  <si>
    <t>21.560000</t>
  </si>
  <si>
    <t>19.095000</t>
  </si>
  <si>
    <t>14.430000</t>
  </si>
  <si>
    <t>9.025000</t>
  </si>
  <si>
    <t>56.640000</t>
  </si>
  <si>
    <t>12.825000</t>
  </si>
  <si>
    <t>7.104000</t>
  </si>
  <si>
    <t>13.440000</t>
  </si>
  <si>
    <t>35.040000</t>
  </si>
  <si>
    <t>124.890000</t>
  </si>
  <si>
    <t>101.840000</t>
  </si>
  <si>
    <t>19.950000</t>
  </si>
  <si>
    <t>96.425000</t>
  </si>
  <si>
    <t>18.050000</t>
  </si>
  <si>
    <t>21.375000</t>
  </si>
  <si>
    <t>38.950000</t>
  </si>
  <si>
    <t>54.180</t>
  </si>
  <si>
    <t>58.534000</t>
  </si>
  <si>
    <t>18.096000</t>
  </si>
  <si>
    <t>21.539000</t>
  </si>
  <si>
    <t>41.325000</t>
  </si>
  <si>
    <t>78.850000</t>
  </si>
  <si>
    <t>49.400000</t>
  </si>
  <si>
    <t>35.150000</t>
  </si>
  <si>
    <t>7.584000</t>
  </si>
  <si>
    <t>34.860000</t>
  </si>
  <si>
    <t>26.898000</t>
  </si>
  <si>
    <t>41.225000</t>
  </si>
  <si>
    <t>63.175000</t>
  </si>
  <si>
    <t>10.670000</t>
  </si>
  <si>
    <t>31.680000</t>
  </si>
  <si>
    <t>28.170</t>
  </si>
  <si>
    <t>29.280000</t>
  </si>
  <si>
    <t>54.463000</t>
  </si>
  <si>
    <t>54.133000</t>
  </si>
  <si>
    <t>44.650000</t>
  </si>
  <si>
    <t>10.355000</t>
  </si>
  <si>
    <t>13.630000</t>
  </si>
  <si>
    <t>10.406000</t>
  </si>
  <si>
    <t>58.370000</t>
  </si>
  <si>
    <t>42.565000</t>
  </si>
  <si>
    <t>32.160000</t>
  </si>
  <si>
    <t>27.650000</t>
  </si>
  <si>
    <t>33.465000</t>
  </si>
  <si>
    <t>71.659000</t>
  </si>
  <si>
    <t>25.175000</t>
  </si>
  <si>
    <t>30.720000</t>
  </si>
  <si>
    <t>37.620000</t>
  </si>
  <si>
    <t>105.450000</t>
  </si>
  <si>
    <t>25.920000</t>
  </si>
  <si>
    <t>84.480000</t>
  </si>
  <si>
    <t>47.215000</t>
  </si>
  <si>
    <t>25.970000</t>
  </si>
  <si>
    <t>44.990</t>
  </si>
  <si>
    <t>50.440000</t>
  </si>
  <si>
    <t>74.860000</t>
  </si>
  <si>
    <t>57.168000</t>
  </si>
  <si>
    <t>35.720000</t>
  </si>
  <si>
    <t>22.781000</t>
  </si>
  <si>
    <t>11.875000</t>
  </si>
  <si>
    <t>10.450000</t>
  </si>
  <si>
    <t>8.870000</t>
  </si>
  <si>
    <t>53.760000</t>
  </si>
  <si>
    <t>45.024000</t>
  </si>
  <si>
    <t>18.240000</t>
  </si>
  <si>
    <t>208.586000</t>
  </si>
  <si>
    <t>185.942000</t>
  </si>
  <si>
    <t>5.795000</t>
  </si>
  <si>
    <t>101.000</t>
  </si>
  <si>
    <t>124.320000</t>
  </si>
  <si>
    <t>19.475000</t>
  </si>
  <si>
    <t>161.280000</t>
  </si>
  <si>
    <t>42.947000</t>
  </si>
  <si>
    <t>21.850000</t>
  </si>
  <si>
    <t>15.840000</t>
  </si>
  <si>
    <t>22.944000</t>
  </si>
  <si>
    <t>23.597000</t>
  </si>
  <si>
    <t>26.505000</t>
  </si>
  <si>
    <t>71.078000</t>
  </si>
  <si>
    <t>146.260000</t>
  </si>
  <si>
    <t>18.422000</t>
  </si>
  <si>
    <t>20.370000</t>
  </si>
  <si>
    <t>33.630000</t>
  </si>
  <si>
    <t>23.726000</t>
  </si>
  <si>
    <t>548.707000</t>
  </si>
  <si>
    <t>454.526000</t>
  </si>
  <si>
    <t>22.325000</t>
  </si>
  <si>
    <t>73.720000</t>
  </si>
  <si>
    <t>12.011000</t>
  </si>
  <si>
    <t>7.885000</t>
  </si>
  <si>
    <t>141.550000</t>
  </si>
  <si>
    <t>30.875000</t>
  </si>
  <si>
    <t>37.430</t>
  </si>
  <si>
    <t>43.700000</t>
  </si>
  <si>
    <t>14.806000</t>
  </si>
  <si>
    <t>6.104000</t>
  </si>
  <si>
    <t>36.890</t>
  </si>
  <si>
    <t>40.243000</t>
  </si>
  <si>
    <t>7.410000</t>
  </si>
  <si>
    <t>32.960</t>
  </si>
  <si>
    <t>35.770000</t>
  </si>
  <si>
    <t>45.080000</t>
  </si>
  <si>
    <t>18.720000</t>
  </si>
  <si>
    <t>75.030</t>
  </si>
  <si>
    <t>85.360000</t>
  </si>
  <si>
    <t>58.425000</t>
  </si>
  <si>
    <t>49.875000</t>
  </si>
  <si>
    <t>22.080000</t>
  </si>
  <si>
    <t>32.300000</t>
  </si>
  <si>
    <t>33.120000</t>
  </si>
  <si>
    <t>28.975000</t>
  </si>
  <si>
    <t>36.790000</t>
  </si>
  <si>
    <t>29.250000</t>
  </si>
  <si>
    <t>34.675000</t>
  </si>
  <si>
    <t>16.340000</t>
  </si>
  <si>
    <t>9.360000</t>
  </si>
  <si>
    <t>7.068000</t>
  </si>
  <si>
    <t>17.682000</t>
  </si>
  <si>
    <t>20.448000</t>
  </si>
  <si>
    <t>6.690000</t>
  </si>
  <si>
    <t>35.226000</t>
  </si>
  <si>
    <t>27.930000</t>
  </si>
  <si>
    <t>9.215000</t>
  </si>
  <si>
    <t>32.640000</t>
  </si>
  <si>
    <t>497.800000</t>
  </si>
  <si>
    <t>313.830000</t>
  </si>
  <si>
    <t>17.760000</t>
  </si>
  <si>
    <t>18.430000</t>
  </si>
  <si>
    <t>414.200000</t>
  </si>
  <si>
    <t>444.600000</t>
  </si>
  <si>
    <t>26.190000</t>
  </si>
  <si>
    <t>7.370</t>
  </si>
  <si>
    <t>7.879000</t>
  </si>
  <si>
    <t>218.500000</t>
  </si>
  <si>
    <t>137.750000</t>
  </si>
  <si>
    <t>26.880000</t>
  </si>
  <si>
    <t>136.320000</t>
  </si>
  <si>
    <t>33.800000</t>
  </si>
  <si>
    <t>23.030000</t>
  </si>
  <si>
    <t>22.310000</t>
  </si>
  <si>
    <t>169.100000</t>
  </si>
  <si>
    <t>31.816000</t>
  </si>
  <si>
    <t>159.000</t>
  </si>
  <si>
    <t>242.790000</t>
  </si>
  <si>
    <t>185.405000</t>
  </si>
  <si>
    <t>24.863000</t>
  </si>
  <si>
    <t>39.425000</t>
  </si>
  <si>
    <t>63.840000</t>
  </si>
  <si>
    <t>12.350000</t>
  </si>
  <si>
    <t>26.125000</t>
  </si>
  <si>
    <t>47.730000</t>
  </si>
  <si>
    <t>37.782000</t>
  </si>
  <si>
    <t>50.350000</t>
  </si>
  <si>
    <t>83.600000</t>
  </si>
  <si>
    <t>135.457000</t>
  </si>
  <si>
    <t>103.440000</t>
  </si>
  <si>
    <t>50.400000</t>
  </si>
  <si>
    <t>412.138000</t>
  </si>
  <si>
    <t>233.578000</t>
  </si>
  <si>
    <t>182.041000</t>
  </si>
  <si>
    <t>37.525000</t>
  </si>
  <si>
    <t>19.990</t>
  </si>
  <si>
    <t>24.700000</t>
  </si>
  <si>
    <t>308.750000</t>
  </si>
  <si>
    <t>4.896000</t>
  </si>
  <si>
    <t>13.690000</t>
  </si>
  <si>
    <t>727.500000</t>
  </si>
  <si>
    <t>10.640000</t>
  </si>
  <si>
    <t>56.525000</t>
  </si>
  <si>
    <t>112.100000</t>
  </si>
  <si>
    <t>61.241000</t>
  </si>
  <si>
    <t>6.662000</t>
  </si>
  <si>
    <t>169.276000</t>
  </si>
  <si>
    <t>152.914000</t>
  </si>
  <si>
    <t>28.480</t>
  </si>
  <si>
    <t>30.870000</t>
  </si>
  <si>
    <t>15.070000</t>
  </si>
  <si>
    <t>9.603000</t>
  </si>
  <si>
    <t>45.790000</t>
  </si>
  <si>
    <t>26.966000</t>
  </si>
  <si>
    <t>52.920000</t>
  </si>
  <si>
    <t>18.620000</t>
  </si>
  <si>
    <t>122.550000</t>
  </si>
  <si>
    <t>11.520000</t>
  </si>
  <si>
    <t>30.240000</t>
  </si>
  <si>
    <t>22.560000</t>
  </si>
  <si>
    <t>17.010000</t>
  </si>
  <si>
    <t>115.738000</t>
  </si>
  <si>
    <t>19.152000</t>
  </si>
  <si>
    <t>252.200000</t>
  </si>
  <si>
    <t>10.961000</t>
  </si>
  <si>
    <t>318.010000</t>
  </si>
  <si>
    <t>102.125000</t>
  </si>
  <si>
    <t>88.810000</t>
  </si>
  <si>
    <t>9.950</t>
  </si>
  <si>
    <t>10.890000</t>
  </si>
  <si>
    <t>57.230000</t>
  </si>
  <si>
    <t>24.333000</t>
  </si>
  <si>
    <t>41.085000</t>
  </si>
  <si>
    <t>64.320000</t>
  </si>
  <si>
    <t>75.724000</t>
  </si>
  <si>
    <t>57.823000</t>
  </si>
  <si>
    <t>138.510000</t>
  </si>
  <si>
    <t>15.035000</t>
  </si>
  <si>
    <t>24.600000</t>
  </si>
  <si>
    <t>15.675000</t>
  </si>
  <si>
    <t>409.741000</t>
  </si>
  <si>
    <t>61.980</t>
  </si>
  <si>
    <t>71.340000</t>
  </si>
  <si>
    <t>53.889000</t>
  </si>
  <si>
    <t>685.440000</t>
  </si>
  <si>
    <t>101.650000</t>
  </si>
  <si>
    <t>6.982000</t>
  </si>
  <si>
    <t>14.980000</t>
  </si>
  <si>
    <t>141.431000</t>
  </si>
  <si>
    <t>5.400000</t>
  </si>
  <si>
    <t>251.759000</t>
  </si>
  <si>
    <t>33.930000</t>
  </si>
  <si>
    <t>25.910000</t>
  </si>
  <si>
    <t>9.500</t>
  </si>
  <si>
    <t>13.490000</t>
  </si>
  <si>
    <t>36.432000</t>
  </si>
  <si>
    <t>369.550000</t>
  </si>
  <si>
    <t>1138.100000</t>
  </si>
  <si>
    <t>61.877000</t>
  </si>
  <si>
    <t>38.113000</t>
  </si>
  <si>
    <t>45.460000</t>
  </si>
  <si>
    <t>236.240000</t>
  </si>
  <si>
    <t>120.960000</t>
  </si>
  <si>
    <t>88.825000</t>
  </si>
  <si>
    <t>15.052000</t>
  </si>
  <si>
    <t>5.280000</t>
  </si>
  <si>
    <t>130.740</t>
  </si>
  <si>
    <t>31.913000</t>
  </si>
  <si>
    <t>13.775000</t>
  </si>
  <si>
    <t>55.100000</t>
  </si>
  <si>
    <t>82.014000</t>
  </si>
  <si>
    <t>19.505000</t>
  </si>
  <si>
    <t>30.555000</t>
  </si>
  <si>
    <t>36.000</t>
  </si>
  <si>
    <t>56.160000</t>
  </si>
  <si>
    <t>55.200000</t>
  </si>
  <si>
    <t>204.250000</t>
  </si>
  <si>
    <t>16.103000</t>
  </si>
  <si>
    <t>589.000000</t>
  </si>
  <si>
    <t>44.100000</t>
  </si>
  <si>
    <t>54.150000</t>
  </si>
  <si>
    <t>9.975000</t>
  </si>
  <si>
    <t>15.485000</t>
  </si>
  <si>
    <t>15.744000</t>
  </si>
  <si>
    <t>51.480000</t>
  </si>
  <si>
    <t>20.855000</t>
  </si>
  <si>
    <t>125.400000</t>
  </si>
  <si>
    <t>143.040000</t>
  </si>
  <si>
    <t>31.340</t>
  </si>
  <si>
    <t>33.725000</t>
  </si>
  <si>
    <t>145.000</t>
  </si>
  <si>
    <t>278.366000</t>
  </si>
  <si>
    <t>216.885000</t>
  </si>
  <si>
    <t>194.750000</t>
  </si>
  <si>
    <t>605.000000</t>
  </si>
  <si>
    <t>541.500000</t>
  </si>
  <si>
    <t>124.852000</t>
  </si>
  <si>
    <t>258.000</t>
  </si>
  <si>
    <t>325.155000</t>
  </si>
  <si>
    <t>277.887000</t>
  </si>
  <si>
    <t>116.850000</t>
  </si>
  <si>
    <t>91.630000</t>
  </si>
  <si>
    <t>83.125000</t>
  </si>
  <si>
    <t>258.885000</t>
  </si>
  <si>
    <t>6.155000</t>
  </si>
  <si>
    <t>4.701000</t>
  </si>
  <si>
    <t>34.028000</t>
  </si>
  <si>
    <t>30.711000</t>
  </si>
  <si>
    <t>28.966000</t>
  </si>
  <si>
    <t>29.892000</t>
  </si>
  <si>
    <t>40.850000</t>
  </si>
  <si>
    <t>15.750000</t>
  </si>
  <si>
    <t>6.131000</t>
  </si>
  <si>
    <t>39.930</t>
  </si>
  <si>
    <t>257.450000</t>
  </si>
  <si>
    <t>18.810000</t>
  </si>
  <si>
    <t>61.440000</t>
  </si>
  <si>
    <t>46.916000</t>
  </si>
  <si>
    <t>64.220</t>
  </si>
  <si>
    <t>75.807000</t>
  </si>
  <si>
    <t>8.019000</t>
  </si>
  <si>
    <t>227.360000</t>
  </si>
  <si>
    <t>49.210000</t>
  </si>
  <si>
    <t>37.584000</t>
  </si>
  <si>
    <t>56.483000</t>
  </si>
  <si>
    <t>67.200000</t>
  </si>
  <si>
    <t>84.150000</t>
  </si>
  <si>
    <t>260.478000</t>
  </si>
  <si>
    <t>243.310000</t>
  </si>
  <si>
    <t>37.076000</t>
  </si>
  <si>
    <t>94.442000</t>
  </si>
  <si>
    <t>107.022000</t>
  </si>
  <si>
    <t>110.337000</t>
  </si>
  <si>
    <t>390.726000</t>
  </si>
  <si>
    <t>12.160000</t>
  </si>
  <si>
    <t>41.720000</t>
  </si>
  <si>
    <t>91.180000</t>
  </si>
  <si>
    <t>125.440000</t>
  </si>
  <si>
    <t>21.090000</t>
  </si>
  <si>
    <t>16.474000</t>
  </si>
  <si>
    <t>149.450000</t>
  </si>
  <si>
    <t>139.350000</t>
  </si>
  <si>
    <t>115.857000</t>
  </si>
  <si>
    <t>85.920000</t>
  </si>
  <si>
    <t>86.400000</t>
  </si>
  <si>
    <t>37.172000</t>
  </si>
  <si>
    <t>150.350000</t>
  </si>
  <si>
    <t>66.720000</t>
  </si>
  <si>
    <t>109.440000</t>
  </si>
  <si>
    <t>219.655000</t>
  </si>
  <si>
    <t>80.160000</t>
  </si>
  <si>
    <t>30.380000</t>
  </si>
  <si>
    <t>77.820000</t>
  </si>
  <si>
    <t>59.147000</t>
  </si>
  <si>
    <t>53.105000</t>
  </si>
  <si>
    <t>48.960000</t>
  </si>
  <si>
    <t>47.520000</t>
  </si>
  <si>
    <t>130.950000</t>
  </si>
  <si>
    <t>99.425000</t>
  </si>
  <si>
    <t>11.370</t>
  </si>
  <si>
    <t>14.725000</t>
  </si>
  <si>
    <t>48.040</t>
  </si>
  <si>
    <t>38.940000</t>
  </si>
  <si>
    <t>29.741000</t>
  </si>
  <si>
    <t>40.800000</t>
  </si>
  <si>
    <t>41.170000</t>
  </si>
  <si>
    <t>31.440000</t>
  </si>
  <si>
    <t>20.606000</t>
  </si>
  <si>
    <t>79.800000</t>
  </si>
  <si>
    <t>127.634000</t>
  </si>
  <si>
    <t>60.760000</t>
  </si>
  <si>
    <t>21.734000</t>
  </si>
  <si>
    <t>49.530000</t>
  </si>
  <si>
    <t>37.288000</t>
  </si>
  <si>
    <t>82.838000</t>
  </si>
  <si>
    <t>60.325000</t>
  </si>
  <si>
    <t>9.140000</t>
  </si>
  <si>
    <t>8.914000</t>
  </si>
  <si>
    <t>6.811000</t>
  </si>
  <si>
    <t>7.944000</t>
  </si>
  <si>
    <t>95.400</t>
  </si>
  <si>
    <t>102.720000</t>
  </si>
  <si>
    <t>111.360000</t>
  </si>
  <si>
    <t>50.776000</t>
  </si>
  <si>
    <t>13.207000</t>
  </si>
  <si>
    <t>8.952000</t>
  </si>
  <si>
    <t>44.620000</t>
  </si>
  <si>
    <t>26.730000</t>
  </si>
  <si>
    <t>62.370000</t>
  </si>
  <si>
    <t>17.222000</t>
  </si>
  <si>
    <t>46.460000</t>
  </si>
  <si>
    <t>35.482000</t>
  </si>
  <si>
    <t>1.112000</t>
  </si>
  <si>
    <t>0.844000</t>
  </si>
  <si>
    <t>27.879000</t>
  </si>
  <si>
    <t>42.140000</t>
  </si>
  <si>
    <t>17.952000</t>
  </si>
  <si>
    <t>236.640000</t>
  </si>
  <si>
    <t>132.370000</t>
  </si>
  <si>
    <t>116.400000</t>
  </si>
  <si>
    <t>225.270000</t>
  </si>
  <si>
    <t>172.022000</t>
  </si>
  <si>
    <t>226.603000</t>
  </si>
  <si>
    <t>173.040000</t>
  </si>
  <si>
    <t>22.800000</t>
  </si>
  <si>
    <t>136.000</t>
  </si>
  <si>
    <t>164.160000</t>
  </si>
  <si>
    <t>222.615000</t>
  </si>
  <si>
    <t>155.200000</t>
  </si>
  <si>
    <t>18.069000</t>
  </si>
  <si>
    <t>13.796000</t>
  </si>
  <si>
    <t>20.740000</t>
  </si>
  <si>
    <t>49.955000</t>
  </si>
  <si>
    <t>65.122000</t>
  </si>
  <si>
    <t>47.025000</t>
  </si>
  <si>
    <t>49.557000</t>
  </si>
  <si>
    <t>417.600000</t>
  </si>
  <si>
    <t>7.125000</t>
  </si>
  <si>
    <t>210.700000</t>
  </si>
  <si>
    <t>124.260000</t>
  </si>
  <si>
    <t>23.520000</t>
  </si>
  <si>
    <t>20.110000</t>
  </si>
  <si>
    <t>110.880000</t>
  </si>
  <si>
    <t>51.113000</t>
  </si>
  <si>
    <t>184.275000</t>
  </si>
  <si>
    <t>111.150000</t>
  </si>
  <si>
    <t>253.371000</t>
  </si>
  <si>
    <t>152.475000</t>
  </si>
  <si>
    <t>41.767000</t>
  </si>
  <si>
    <t>37.296000</t>
  </si>
  <si>
    <t>72.675000</t>
  </si>
  <si>
    <t>36.410000</t>
  </si>
  <si>
    <t>28.454000</t>
  </si>
  <si>
    <t>30.492000</t>
  </si>
  <si>
    <t>112.320000</t>
  </si>
  <si>
    <t>57.250000</t>
  </si>
  <si>
    <t>43.094000</t>
  </si>
  <si>
    <t>129.010000</t>
  </si>
  <si>
    <t>62.400000</t>
  </si>
  <si>
    <t>51.360000</t>
  </si>
  <si>
    <t>27.550000</t>
  </si>
  <si>
    <t>655.500000</t>
  </si>
  <si>
    <t>35.483000</t>
  </si>
  <si>
    <t>202.530000</t>
  </si>
  <si>
    <t>154.656000</t>
  </si>
  <si>
    <t>42.914000</t>
  </si>
  <si>
    <t>100.880000</t>
  </si>
  <si>
    <t>60.710</t>
  </si>
  <si>
    <t>65.550000</t>
  </si>
  <si>
    <t>45.280000</t>
  </si>
  <si>
    <t>54.840000</t>
  </si>
  <si>
    <t>41.885000</t>
  </si>
  <si>
    <t>55.336000</t>
  </si>
  <si>
    <t>27.450</t>
  </si>
  <si>
    <t>28.320000</t>
  </si>
  <si>
    <t>48.500000</t>
  </si>
  <si>
    <t>351.853000</t>
  </si>
  <si>
    <t>317.768000</t>
  </si>
  <si>
    <t>12.530000</t>
  </si>
  <si>
    <t>37.240000</t>
  </si>
  <si>
    <t>182.483000</t>
  </si>
  <si>
    <t>58.556000</t>
  </si>
  <si>
    <t>62.372000</t>
  </si>
  <si>
    <t>59.136000</t>
  </si>
  <si>
    <t>31.121000</t>
  </si>
  <si>
    <t>30.162000</t>
  </si>
  <si>
    <t>36.375000</t>
  </si>
  <si>
    <t>62.720000</t>
  </si>
  <si>
    <t>27.300</t>
  </si>
  <si>
    <t>28.405000</t>
  </si>
  <si>
    <t>19.399000</t>
  </si>
  <si>
    <t>17.575000</t>
  </si>
  <si>
    <t>43.680000</t>
  </si>
  <si>
    <t>37.050000</t>
  </si>
  <si>
    <t>607.430000</t>
  </si>
  <si>
    <t>463.853000</t>
  </si>
  <si>
    <t>3.276000</t>
  </si>
  <si>
    <t>195.840000</t>
  </si>
  <si>
    <t>21.585000</t>
  </si>
  <si>
    <t>13.797000</t>
  </si>
  <si>
    <t>12.250000</t>
  </si>
  <si>
    <t>12.248000</t>
  </si>
  <si>
    <t>39.720000</t>
  </si>
  <si>
    <t>126.720000</t>
  </si>
  <si>
    <t>44.760000</t>
  </si>
  <si>
    <t>33.739000</t>
  </si>
  <si>
    <t>40.375000</t>
  </si>
  <si>
    <t>486.010000</t>
  </si>
  <si>
    <t>371.136000</t>
  </si>
  <si>
    <t>21.866000</t>
  </si>
  <si>
    <t>33.578000</t>
  </si>
  <si>
    <t>30.538000</t>
  </si>
  <si>
    <t>30.553000</t>
  </si>
  <si>
    <t>7.097000</t>
  </si>
  <si>
    <t>134.900000</t>
  </si>
  <si>
    <t>24.140</t>
  </si>
  <si>
    <t>26.508000</t>
  </si>
  <si>
    <t>57.172000</t>
  </si>
  <si>
    <t>24.470000</t>
  </si>
  <si>
    <t>18.691000</t>
  </si>
  <si>
    <t>20.884000</t>
  </si>
  <si>
    <t>99.310000</t>
  </si>
  <si>
    <t>52.681000</t>
  </si>
  <si>
    <t>21.688000</t>
  </si>
  <si>
    <t>42.720000</t>
  </si>
  <si>
    <t>63.128000</t>
  </si>
  <si>
    <t>217.560000</t>
  </si>
  <si>
    <t>222.300000</t>
  </si>
  <si>
    <t>67.130000</t>
  </si>
  <si>
    <t>303.800000</t>
  </si>
  <si>
    <t>86.897000</t>
  </si>
  <si>
    <t>18.871000</t>
  </si>
  <si>
    <t>14.409000</t>
  </si>
  <si>
    <t>52.250000</t>
  </si>
  <si>
    <t>39.851000</t>
  </si>
  <si>
    <t>104.370000</t>
  </si>
  <si>
    <t>55.860000</t>
  </si>
  <si>
    <t>99.198000</t>
  </si>
  <si>
    <t>75.749000</t>
  </si>
  <si>
    <t>54.621000</t>
  </si>
  <si>
    <t>73.397000</t>
  </si>
  <si>
    <t>24.541000</t>
  </si>
  <si>
    <t>143.319000</t>
  </si>
  <si>
    <t>72.791000</t>
  </si>
  <si>
    <t>1121.000000</t>
  </si>
  <si>
    <t>23.430000</t>
  </si>
  <si>
    <t>17.894000</t>
  </si>
  <si>
    <t>41.420000</t>
  </si>
  <si>
    <t>59.860000</t>
  </si>
  <si>
    <t>45.706000</t>
  </si>
  <si>
    <t>39.360000</t>
  </si>
  <si>
    <t>26.460000</t>
  </si>
  <si>
    <t>138.909000</t>
  </si>
  <si>
    <t>160.272000</t>
  </si>
  <si>
    <t>210.371000</t>
  </si>
  <si>
    <t>175.095000</t>
  </si>
  <si>
    <t>199.448000</t>
  </si>
  <si>
    <t>140.822000</t>
  </si>
  <si>
    <t>203.586000</t>
  </si>
  <si>
    <t>215.172000</t>
  </si>
  <si>
    <t>21.763000</t>
  </si>
  <si>
    <t>150.000</t>
  </si>
  <si>
    <t>65.960000</t>
  </si>
  <si>
    <t>22.641000</t>
  </si>
  <si>
    <t>22.908000</t>
  </si>
  <si>
    <t>22.759000</t>
  </si>
  <si>
    <t>178.360000</t>
  </si>
  <si>
    <t>46.560000</t>
  </si>
  <si>
    <t>49.539000</t>
  </si>
  <si>
    <t>73.920000</t>
  </si>
  <si>
    <t>20.730000</t>
  </si>
  <si>
    <t>15.830000</t>
  </si>
  <si>
    <t>27.408000</t>
  </si>
  <si>
    <t>83.612000</t>
  </si>
  <si>
    <t>63.848000</t>
  </si>
  <si>
    <t>56.130000</t>
  </si>
  <si>
    <t>42.655000</t>
  </si>
  <si>
    <t>24.384000</t>
  </si>
  <si>
    <t>30.086000</t>
  </si>
  <si>
    <t>16.616000</t>
  </si>
  <si>
    <t>16.958000</t>
  </si>
  <si>
    <t>17.065000</t>
  </si>
  <si>
    <t>70.300000</t>
  </si>
  <si>
    <t>51.991000</t>
  </si>
  <si>
    <t>39.225000</t>
  </si>
  <si>
    <t>72.960000</t>
  </si>
  <si>
    <t>56.240</t>
  </si>
  <si>
    <t>65.075000</t>
  </si>
  <si>
    <t>142.560000</t>
  </si>
  <si>
    <t>25.330000</t>
  </si>
  <si>
    <t>19.344000</t>
  </si>
  <si>
    <t>3.559000</t>
  </si>
  <si>
    <t>17.496000</t>
  </si>
  <si>
    <t>12.979000</t>
  </si>
  <si>
    <t>15.970000</t>
  </si>
  <si>
    <t>12.202000</t>
  </si>
  <si>
    <t>6.038000</t>
  </si>
  <si>
    <t>85.845000</t>
  </si>
  <si>
    <t>32.760</t>
  </si>
  <si>
    <t>38.901000</t>
  </si>
  <si>
    <t>181.440000</t>
  </si>
  <si>
    <t>23.808000</t>
  </si>
  <si>
    <t>38.333000</t>
  </si>
  <si>
    <t>57.560000</t>
  </si>
  <si>
    <t>46.116000</t>
  </si>
  <si>
    <t>92.150000</t>
  </si>
  <si>
    <t>86.172000</t>
  </si>
  <si>
    <t>414.284000</t>
  </si>
  <si>
    <t>316.361000</t>
  </si>
  <si>
    <t>312.586000</t>
  </si>
  <si>
    <t>139.034000</t>
  </si>
  <si>
    <t>66.453000</t>
  </si>
  <si>
    <t>90.250000</t>
  </si>
  <si>
    <t>22.097000</t>
  </si>
  <si>
    <t>20.940000</t>
  </si>
  <si>
    <t>15.989000</t>
  </si>
  <si>
    <t>21.140000</t>
  </si>
  <si>
    <t>16.147000</t>
  </si>
  <si>
    <t>69.825000</t>
  </si>
  <si>
    <t>29.197000</t>
  </si>
  <si>
    <t>47.070000</t>
  </si>
  <si>
    <t>35.768000</t>
  </si>
  <si>
    <t>4.320000</t>
  </si>
  <si>
    <t>48.450000</t>
  </si>
  <si>
    <t>21.290000</t>
  </si>
  <si>
    <t>16.253000</t>
  </si>
  <si>
    <t>38.800000</t>
  </si>
  <si>
    <t>242.250000</t>
  </si>
  <si>
    <t>12.960000</t>
  </si>
  <si>
    <t>272.650000</t>
  </si>
  <si>
    <t>210.210000</t>
  </si>
  <si>
    <t>14.700000</t>
  </si>
  <si>
    <t>73.632000</t>
  </si>
  <si>
    <t>50.690</t>
  </si>
  <si>
    <t>53.440000</t>
  </si>
  <si>
    <t>54.180000</t>
  </si>
  <si>
    <t>48.512000</t>
  </si>
  <si>
    <t>61.290000</t>
  </si>
  <si>
    <t>21.128000</t>
  </si>
  <si>
    <t>6.710000</t>
  </si>
  <si>
    <t>35.520000</t>
  </si>
  <si>
    <t>23.180000</t>
  </si>
  <si>
    <t>61.632000</t>
  </si>
  <si>
    <t>26.675000</t>
  </si>
  <si>
    <t>20.490000</t>
  </si>
  <si>
    <t>15.648000</t>
  </si>
  <si>
    <t>25.935000</t>
  </si>
  <si>
    <t>26.220000</t>
  </si>
  <si>
    <t>8.855000</t>
  </si>
  <si>
    <t>95.040000</t>
  </si>
  <si>
    <t>155.886000</t>
  </si>
  <si>
    <t>47.371000</t>
  </si>
  <si>
    <t>130.560000</t>
  </si>
  <si>
    <t>34.020000</t>
  </si>
  <si>
    <t>3.360000</t>
  </si>
  <si>
    <t>38.483000</t>
  </si>
  <si>
    <t>68.009000</t>
  </si>
  <si>
    <t>86.069000</t>
  </si>
  <si>
    <t>81.103000</t>
  </si>
  <si>
    <t>37.900</t>
  </si>
  <si>
    <t>40.740000</t>
  </si>
  <si>
    <t>41.190</t>
  </si>
  <si>
    <t>38.475000</t>
  </si>
  <si>
    <t>277.629000</t>
  </si>
  <si>
    <t>158.879000</t>
  </si>
  <si>
    <t>63.526000</t>
  </si>
  <si>
    <t>58.716000</t>
  </si>
  <si>
    <t>23.177000</t>
  </si>
  <si>
    <t>24.157000</t>
  </si>
  <si>
    <t>137.280000</t>
  </si>
  <si>
    <t>21.696000</t>
  </si>
  <si>
    <t>49.572000</t>
  </si>
  <si>
    <t>60.405000</t>
  </si>
  <si>
    <t>113.280000</t>
  </si>
  <si>
    <t>12.904000</t>
  </si>
  <si>
    <t>23.636000</t>
  </si>
  <si>
    <t>232.328000</t>
  </si>
  <si>
    <t>30.400000</t>
  </si>
  <si>
    <t>216.270000</t>
  </si>
  <si>
    <t>182.400000</t>
  </si>
  <si>
    <t>89.690</t>
  </si>
  <si>
    <t>99.750000</t>
  </si>
  <si>
    <t>37.522000</t>
  </si>
  <si>
    <t>56.647000</t>
  </si>
  <si>
    <t>43.258000</t>
  </si>
  <si>
    <t>80.690000</t>
  </si>
  <si>
    <t>81.246000</t>
  </si>
  <si>
    <t>81.278000</t>
  </si>
  <si>
    <t>23.630</t>
  </si>
  <si>
    <t>31.825000</t>
  </si>
  <si>
    <t>47.110000</t>
  </si>
  <si>
    <t>36.366000</t>
  </si>
  <si>
    <t>102.371000</t>
  </si>
  <si>
    <t>44.319000</t>
  </si>
  <si>
    <t>59.784000</t>
  </si>
  <si>
    <t>39.770000</t>
  </si>
  <si>
    <t>150.932000</t>
  </si>
  <si>
    <t>76.983000</t>
  </si>
  <si>
    <t>24.510000</t>
  </si>
  <si>
    <t>48.850000</t>
  </si>
  <si>
    <t>46.640000</t>
  </si>
  <si>
    <t>45.590000</t>
  </si>
  <si>
    <t>50.880000</t>
  </si>
  <si>
    <t>45.600000</t>
  </si>
  <si>
    <t>136.960</t>
  </si>
  <si>
    <t>170.680000</t>
  </si>
  <si>
    <t>147.440000</t>
  </si>
  <si>
    <t>22.694000</t>
  </si>
  <si>
    <t>63.026000</t>
  </si>
  <si>
    <t>48.133000</t>
  </si>
  <si>
    <t>31.350000</t>
  </si>
  <si>
    <t>39.200000</t>
  </si>
  <si>
    <t>30.820</t>
  </si>
  <si>
    <t>33.600000</t>
  </si>
  <si>
    <t>176.160000</t>
  </si>
  <si>
    <t>22.125000</t>
  </si>
  <si>
    <t>26.621000</t>
  </si>
  <si>
    <t>82.863000</t>
  </si>
  <si>
    <t>36.120</t>
  </si>
  <si>
    <t>43.035000</t>
  </si>
  <si>
    <t>11.790000</t>
  </si>
  <si>
    <t>9.005000</t>
  </si>
  <si>
    <t>4.140000</t>
  </si>
  <si>
    <t>3.168000</t>
  </si>
  <si>
    <t>70.080000</t>
  </si>
  <si>
    <t>160.163000</t>
  </si>
  <si>
    <t>130.948000</t>
  </si>
  <si>
    <t>81.700000</t>
  </si>
  <si>
    <t>85.025000</t>
  </si>
  <si>
    <t>50.350</t>
  </si>
  <si>
    <t>86.080000</t>
  </si>
  <si>
    <t>66.443000</t>
  </si>
  <si>
    <t>40.080</t>
  </si>
  <si>
    <t>42.005000</t>
  </si>
  <si>
    <t>41.147000</t>
  </si>
  <si>
    <t>42.996000</t>
  </si>
  <si>
    <t>36.640</t>
  </si>
  <si>
    <t>76.750000</t>
  </si>
  <si>
    <t>59.790000</t>
  </si>
  <si>
    <t>65.840000</t>
  </si>
  <si>
    <t>75.050000</t>
  </si>
  <si>
    <t>25.663000</t>
  </si>
  <si>
    <t>408.960000</t>
  </si>
  <si>
    <t>24.978000</t>
  </si>
  <si>
    <t>32.495000</t>
  </si>
  <si>
    <t>122.760000</t>
  </si>
  <si>
    <t>63.590000</t>
  </si>
  <si>
    <t>44.726000</t>
  </si>
  <si>
    <t>32.530000</t>
  </si>
  <si>
    <t>156.310000</t>
  </si>
  <si>
    <t>171.960000</t>
  </si>
  <si>
    <t>147.155000</t>
  </si>
  <si>
    <t>23.040000</t>
  </si>
  <si>
    <t>25.824000</t>
  </si>
  <si>
    <t>27.645000</t>
  </si>
  <si>
    <t>73.440000</t>
  </si>
  <si>
    <t>38.400000</t>
  </si>
  <si>
    <t>9.647000</t>
  </si>
  <si>
    <t>7.366000</t>
  </si>
  <si>
    <t>10.759000</t>
  </si>
  <si>
    <t>8.550000</t>
  </si>
  <si>
    <t>26.173000</t>
  </si>
  <si>
    <t>247.517000</t>
  </si>
  <si>
    <t>25.440</t>
  </si>
  <si>
    <t>47.040000</t>
  </si>
  <si>
    <t>33.202000</t>
  </si>
  <si>
    <t>17.843000</t>
  </si>
  <si>
    <t>10.011000</t>
  </si>
  <si>
    <t>229.991000</t>
  </si>
  <si>
    <t>175.630000</t>
  </si>
  <si>
    <t>92.160000</t>
  </si>
  <si>
    <t>33.774000</t>
  </si>
  <si>
    <t>13.371000</t>
  </si>
  <si>
    <t>10.212000</t>
  </si>
  <si>
    <t>7.431000</t>
  </si>
  <si>
    <t>5.323000</t>
  </si>
  <si>
    <t>9.616000</t>
  </si>
  <si>
    <t>34.397000</t>
  </si>
  <si>
    <t>13.850</t>
  </si>
  <si>
    <t>14.880000</t>
  </si>
  <si>
    <t>28.800000</t>
  </si>
  <si>
    <t>25.480000</t>
  </si>
  <si>
    <t>24.250000</t>
  </si>
  <si>
    <t>13.880</t>
  </si>
  <si>
    <t>15.190000</t>
  </si>
  <si>
    <t>6.555000</t>
  </si>
  <si>
    <t>22.970</t>
  </si>
  <si>
    <t>26.235000</t>
  </si>
  <si>
    <t>23.130000</t>
  </si>
  <si>
    <t>222.547000</t>
  </si>
  <si>
    <t>61.430000</t>
  </si>
  <si>
    <t>46.906000</t>
  </si>
  <si>
    <t>86.240000</t>
  </si>
  <si>
    <t>48.015000</t>
  </si>
  <si>
    <t>236.195000</t>
  </si>
  <si>
    <t>157.140000</t>
  </si>
  <si>
    <t>14.140000</t>
  </si>
  <si>
    <t>10.800000</t>
  </si>
  <si>
    <t>18.612000</t>
  </si>
  <si>
    <t>61.578000</t>
  </si>
  <si>
    <t>47.023000</t>
  </si>
  <si>
    <t>46.205000</t>
  </si>
  <si>
    <t>13.633000</t>
  </si>
  <si>
    <t>229.900000</t>
  </si>
  <si>
    <t>17.590000</t>
  </si>
  <si>
    <t>13.430000</t>
  </si>
  <si>
    <t>49.655000</t>
  </si>
  <si>
    <t>20.621000</t>
  </si>
  <si>
    <t>22.931000</t>
  </si>
  <si>
    <t>180.500000</t>
  </si>
  <si>
    <t>322.050000</t>
  </si>
  <si>
    <t>186.240000</t>
  </si>
  <si>
    <t>130.174000</t>
  </si>
  <si>
    <t>323.000000</t>
  </si>
  <si>
    <t>138.710000</t>
  </si>
  <si>
    <t>19.303000</t>
  </si>
  <si>
    <t>71.250000</t>
  </si>
  <si>
    <t>21.440000</t>
  </si>
  <si>
    <t>16.370000</t>
  </si>
  <si>
    <t>31.530000</t>
  </si>
  <si>
    <t>8.256000</t>
  </si>
  <si>
    <t>136.267000</t>
  </si>
  <si>
    <t>122.466000</t>
  </si>
  <si>
    <t>14.897000</t>
  </si>
  <si>
    <t>2.441000</t>
  </si>
  <si>
    <t>52.336000</t>
  </si>
  <si>
    <t>39.972000</t>
  </si>
  <si>
    <t>158.400000</t>
  </si>
  <si>
    <t>42.207000</t>
  </si>
  <si>
    <t>133.860000</t>
  </si>
  <si>
    <t>92.625000</t>
  </si>
  <si>
    <t>94.090000</t>
  </si>
  <si>
    <t>57.147000</t>
  </si>
  <si>
    <t>43.639000</t>
  </si>
  <si>
    <t>21.825000</t>
  </si>
  <si>
    <t>122.845000</t>
  </si>
  <si>
    <t>6.570000</t>
  </si>
  <si>
    <t>5.021000</t>
  </si>
  <si>
    <t>444.240000</t>
  </si>
  <si>
    <t>339.245000</t>
  </si>
  <si>
    <t>64.600000</t>
  </si>
  <si>
    <t>24.735000</t>
  </si>
  <si>
    <t>641.250000</t>
  </si>
  <si>
    <t>44.447000</t>
  </si>
  <si>
    <t>235.200000</t>
  </si>
  <si>
    <t>38.047000</t>
  </si>
  <si>
    <t>36.960000</t>
  </si>
  <si>
    <t>84.790000</t>
  </si>
  <si>
    <t>64.742000</t>
  </si>
  <si>
    <t>54.650000</t>
  </si>
  <si>
    <t>43.928000</t>
  </si>
  <si>
    <t>126.350000</t>
  </si>
  <si>
    <t>13.750000</t>
  </si>
  <si>
    <t>7.390000</t>
  </si>
  <si>
    <t>52.470000</t>
  </si>
  <si>
    <t>22.164000</t>
  </si>
  <si>
    <t>16.933000</t>
  </si>
  <si>
    <t>6.167000</t>
  </si>
  <si>
    <t>5.140000</t>
  </si>
  <si>
    <t>46.610000</t>
  </si>
  <si>
    <t>35.597000</t>
  </si>
  <si>
    <t>39.620000</t>
  </si>
  <si>
    <t>31.709000</t>
  </si>
  <si>
    <t>15.827000</t>
  </si>
  <si>
    <t>25.872000</t>
  </si>
  <si>
    <t>9.969000</t>
  </si>
  <si>
    <t>51.534000</t>
  </si>
  <si>
    <t>169.920000</t>
  </si>
  <si>
    <t>18.040000</t>
  </si>
  <si>
    <t>13.776000</t>
  </si>
  <si>
    <t>23.110000</t>
  </si>
  <si>
    <t>17.654000</t>
  </si>
  <si>
    <t>157.983000</t>
  </si>
  <si>
    <t>29.700000</t>
  </si>
  <si>
    <t>21.030000</t>
  </si>
  <si>
    <t>25.930000</t>
  </si>
  <si>
    <t>19.805000</t>
  </si>
  <si>
    <t>34.037000</t>
  </si>
  <si>
    <t>8.871000</t>
  </si>
  <si>
    <t>10.983000</t>
  </si>
  <si>
    <t>15.167000</t>
  </si>
  <si>
    <t>537.700000</t>
  </si>
  <si>
    <t>807.500000</t>
  </si>
  <si>
    <t>57.504000</t>
  </si>
  <si>
    <t>158.540000</t>
  </si>
  <si>
    <t>136.325000</t>
  </si>
  <si>
    <t>116.160000</t>
  </si>
  <si>
    <t>43.448000</t>
  </si>
  <si>
    <t>55.845000</t>
  </si>
  <si>
    <t>42.074000</t>
  </si>
  <si>
    <t>55.724000</t>
  </si>
  <si>
    <t>42.759000</t>
  </si>
  <si>
    <t>56.578000</t>
  </si>
  <si>
    <t>42.267000</t>
  </si>
  <si>
    <t>36.328000</t>
  </si>
  <si>
    <t>18.869000</t>
  </si>
  <si>
    <t>131.664000</t>
  </si>
  <si>
    <t>113.026000</t>
  </si>
  <si>
    <t>39.870000</t>
  </si>
  <si>
    <t>30.768000</t>
  </si>
  <si>
    <t>21.185000</t>
  </si>
  <si>
    <t>9.254000</t>
  </si>
  <si>
    <t>18.388000</t>
  </si>
  <si>
    <t>14.044000</t>
  </si>
  <si>
    <t>15.151000</t>
  </si>
  <si>
    <t>161.500000</t>
  </si>
  <si>
    <t>17.955000</t>
  </si>
  <si>
    <t>148.800000</t>
  </si>
  <si>
    <t>33.915000</t>
  </si>
  <si>
    <t>7.410</t>
  </si>
  <si>
    <t>8.415000</t>
  </si>
  <si>
    <t>410.517000</t>
  </si>
  <si>
    <t>108.775000</t>
  </si>
  <si>
    <t>31.688000</t>
  </si>
  <si>
    <t>23.328000</t>
  </si>
  <si>
    <t>92.630000</t>
  </si>
  <si>
    <t>73.238000</t>
  </si>
  <si>
    <t>41.802000</t>
  </si>
  <si>
    <t>31.920000</t>
  </si>
  <si>
    <t>2.897000</t>
  </si>
  <si>
    <t>1068.323000</t>
  </si>
  <si>
    <t>289.853000</t>
  </si>
  <si>
    <t>45.120000</t>
  </si>
  <si>
    <t>157.035000</t>
  </si>
  <si>
    <t>52.987000</t>
  </si>
  <si>
    <t>13.940000</t>
  </si>
  <si>
    <t>77.710000</t>
  </si>
  <si>
    <t>87.400000</t>
  </si>
  <si>
    <t>9.009000</t>
  </si>
  <si>
    <t>12.125000</t>
  </si>
  <si>
    <t>10.403000</t>
  </si>
  <si>
    <t>25.460000</t>
  </si>
  <si>
    <t>29.017000</t>
  </si>
  <si>
    <t>22.494000</t>
  </si>
  <si>
    <t>7.780000</t>
  </si>
  <si>
    <t>178.600000</t>
  </si>
  <si>
    <t>15.705000</t>
  </si>
  <si>
    <t>47.503000</t>
  </si>
  <si>
    <t>55.422000</t>
  </si>
  <si>
    <t>88.552000</t>
  </si>
  <si>
    <t>38.078000</t>
  </si>
  <si>
    <t>25.897000</t>
  </si>
  <si>
    <t>19.779000</t>
  </si>
  <si>
    <t>26.069000</t>
  </si>
  <si>
    <t>34.361000</t>
  </si>
  <si>
    <t>23.414000</t>
  </si>
  <si>
    <t>26.533000</t>
  </si>
  <si>
    <t>19.457000</t>
  </si>
  <si>
    <t>14.855000</t>
  </si>
  <si>
    <t>11.400000</t>
  </si>
  <si>
    <t>20.640000</t>
  </si>
  <si>
    <t>56.991000</t>
  </si>
  <si>
    <t>403.828000</t>
  </si>
  <si>
    <t>308.375000</t>
  </si>
  <si>
    <t>357.966000</t>
  </si>
  <si>
    <t>273.360000</t>
  </si>
  <si>
    <t>241.129000</t>
  </si>
  <si>
    <t>184.138000</t>
  </si>
  <si>
    <t>158.650000</t>
  </si>
  <si>
    <t>438.060000</t>
  </si>
  <si>
    <t>376.800000</t>
  </si>
  <si>
    <t>25.303000</t>
  </si>
  <si>
    <t>29.793000</t>
  </si>
  <si>
    <t>14.634000</t>
  </si>
  <si>
    <t>8.529000</t>
  </si>
  <si>
    <t>13.155000</t>
  </si>
  <si>
    <t>6.961000</t>
  </si>
  <si>
    <t>11.289000</t>
  </si>
  <si>
    <t>8.784000</t>
  </si>
  <si>
    <t>4.832000</t>
  </si>
  <si>
    <t>20.181000</t>
  </si>
  <si>
    <t>13.903000</t>
  </si>
  <si>
    <t>12.116000</t>
  </si>
  <si>
    <t>4.469000</t>
  </si>
  <si>
    <t>67.110000</t>
  </si>
  <si>
    <t>51.254000</t>
  </si>
  <si>
    <t>136.552000</t>
  </si>
  <si>
    <t>16.625000</t>
  </si>
  <si>
    <t>8.278000</t>
  </si>
  <si>
    <t>122.880000</t>
  </si>
  <si>
    <t>17.385000</t>
  </si>
  <si>
    <t>5.026000</t>
  </si>
  <si>
    <t>3.840000</t>
  </si>
  <si>
    <t>11.147000</t>
  </si>
  <si>
    <t>8.508000</t>
  </si>
  <si>
    <t>12.468000</t>
  </si>
  <si>
    <t>27.845000</t>
  </si>
  <si>
    <t>11.180000</t>
  </si>
  <si>
    <t>11.197000</t>
  </si>
  <si>
    <t>40.280000</t>
  </si>
  <si>
    <t>28.328000</t>
  </si>
  <si>
    <t>21.859000</t>
  </si>
  <si>
    <t>7.371000</t>
  </si>
  <si>
    <t>9.293000</t>
  </si>
  <si>
    <t>156.510000</t>
  </si>
  <si>
    <t>119.520000</t>
  </si>
  <si>
    <t>11.155000</t>
  </si>
  <si>
    <t>20.112000</t>
  </si>
  <si>
    <t>27.972000</t>
  </si>
  <si>
    <t>107.350000</t>
  </si>
  <si>
    <t>124.950000</t>
  </si>
  <si>
    <t>45.570000</t>
  </si>
  <si>
    <t>27.360000</t>
  </si>
  <si>
    <t>6.174000</t>
  </si>
  <si>
    <t>35.990000</t>
  </si>
  <si>
    <t>177.850000</t>
  </si>
  <si>
    <t>165.670000</t>
  </si>
  <si>
    <t>50.490000</t>
  </si>
  <si>
    <t>15.789000</t>
  </si>
  <si>
    <t>1168.570000</t>
  </si>
  <si>
    <t>892.368000</t>
  </si>
  <si>
    <t>326.770000</t>
  </si>
  <si>
    <t>249.533000</t>
  </si>
  <si>
    <t>20.698000</t>
  </si>
  <si>
    <t>95.950000</t>
  </si>
  <si>
    <t>19.697000</t>
  </si>
  <si>
    <t>27.984000</t>
  </si>
  <si>
    <t>80.190000</t>
  </si>
  <si>
    <t>116.620000</t>
  </si>
  <si>
    <t>90.922000</t>
  </si>
  <si>
    <t>69.434000</t>
  </si>
  <si>
    <t>446.897000</t>
  </si>
  <si>
    <t>90.486000</t>
  </si>
  <si>
    <t>79.055000</t>
  </si>
  <si>
    <t>6.460000</t>
  </si>
  <si>
    <t>32.775000</t>
  </si>
  <si>
    <t>130.830000</t>
  </si>
  <si>
    <t>67.925000</t>
  </si>
  <si>
    <t>24.620000</t>
  </si>
  <si>
    <t>19.099000</t>
  </si>
  <si>
    <t>27.552000</t>
  </si>
  <si>
    <t>28.720</t>
  </si>
  <si>
    <t>97.070000</t>
  </si>
  <si>
    <t>74.903000</t>
  </si>
  <si>
    <t>90.319000</t>
  </si>
  <si>
    <t>68.971000</t>
  </si>
  <si>
    <t>81.970000</t>
  </si>
  <si>
    <t>63.394000</t>
  </si>
  <si>
    <t>138.490000</t>
  </si>
  <si>
    <t>106.944000</t>
  </si>
  <si>
    <t>15.266000</t>
  </si>
  <si>
    <t>56.276000</t>
  </si>
  <si>
    <t>51.130000</t>
  </si>
  <si>
    <t>42.570000</t>
  </si>
  <si>
    <t>16.220000</t>
  </si>
  <si>
    <t>58.520000</t>
  </si>
  <si>
    <t>50.094000</t>
  </si>
  <si>
    <t>54.052000</t>
  </si>
  <si>
    <t>37.905000</t>
  </si>
  <si>
    <t>92.247000</t>
  </si>
  <si>
    <t>10.319000</t>
  </si>
  <si>
    <t>133.612000</t>
  </si>
  <si>
    <t>102.025000</t>
  </si>
  <si>
    <t>1.290000</t>
  </si>
  <si>
    <t>0.979000</t>
  </si>
  <si>
    <t>5.347000</t>
  </si>
  <si>
    <t>2.710000</t>
  </si>
  <si>
    <t>2.074000</t>
  </si>
  <si>
    <t>40.817000</t>
  </si>
  <si>
    <t>16.150000</t>
  </si>
  <si>
    <t>45.045000</t>
  </si>
  <si>
    <t>31.040000</t>
  </si>
  <si>
    <t>16.634000</t>
  </si>
  <si>
    <t>11.069000</t>
  </si>
  <si>
    <t>10.320000</t>
  </si>
  <si>
    <t>10.090000</t>
  </si>
  <si>
    <t>7.699000</t>
  </si>
  <si>
    <t>14.150000</t>
  </si>
  <si>
    <t>6.401000</t>
  </si>
  <si>
    <t>31.117000</t>
  </si>
  <si>
    <t>8.939000</t>
  </si>
  <si>
    <t>20.474000</t>
  </si>
  <si>
    <t>34.295000</t>
  </si>
  <si>
    <t>261.660000</t>
  </si>
  <si>
    <t>215.340000</t>
  </si>
  <si>
    <t>200.430000</t>
  </si>
  <si>
    <t>153.053000</t>
  </si>
  <si>
    <t>24.629000</t>
  </si>
  <si>
    <t>18.811000</t>
  </si>
  <si>
    <t>16.966000</t>
  </si>
  <si>
    <t>24.960000</t>
  </si>
  <si>
    <t>8.448000</t>
  </si>
  <si>
    <t>14.741000</t>
  </si>
  <si>
    <t>67.450000</t>
  </si>
  <si>
    <t>16.642000</t>
  </si>
  <si>
    <t>12.672000</t>
  </si>
  <si>
    <t>16.306000</t>
  </si>
  <si>
    <t>99.499000</t>
  </si>
  <si>
    <t>260.160000</t>
  </si>
  <si>
    <t>10.966000</t>
  </si>
  <si>
    <t>91.200000</t>
  </si>
  <si>
    <t>39.121000</t>
  </si>
  <si>
    <t>22.752000</t>
  </si>
  <si>
    <t>11.675000</t>
  </si>
  <si>
    <t>441.763000</t>
  </si>
  <si>
    <t>180.420000</t>
  </si>
  <si>
    <t>277.323000</t>
  </si>
  <si>
    <t>56.530000</t>
  </si>
  <si>
    <t>4.150000</t>
  </si>
  <si>
    <t>43.647000</t>
  </si>
  <si>
    <t>25.973000</t>
  </si>
  <si>
    <t>28.360000</t>
  </si>
  <si>
    <t>21.658000</t>
  </si>
  <si>
    <t>6.874000</t>
  </si>
  <si>
    <t>55.140000</t>
  </si>
  <si>
    <t>42.106000</t>
  </si>
  <si>
    <t>19.710000</t>
  </si>
  <si>
    <t>15.053000</t>
  </si>
  <si>
    <t>41.242000</t>
  </si>
  <si>
    <t>36.860000</t>
  </si>
  <si>
    <t>33.586000</t>
  </si>
  <si>
    <t>9.095000</t>
  </si>
  <si>
    <t>9.124000</t>
  </si>
  <si>
    <t>15.724000</t>
  </si>
  <si>
    <t>52.871000</t>
  </si>
  <si>
    <t>40.178000</t>
  </si>
  <si>
    <t>39.310000</t>
  </si>
  <si>
    <t>39.708000</t>
  </si>
  <si>
    <t>692.690000</t>
  </si>
  <si>
    <t>528.960000</t>
  </si>
  <si>
    <t>69.112000</t>
  </si>
  <si>
    <t>186.502000</t>
  </si>
  <si>
    <t>15.680000</t>
  </si>
  <si>
    <t>14.074000</t>
  </si>
  <si>
    <t>33.009000</t>
  </si>
  <si>
    <t>25.200000</t>
  </si>
  <si>
    <t>28.430000</t>
  </si>
  <si>
    <t>21.706000</t>
  </si>
  <si>
    <t>35.570000</t>
  </si>
  <si>
    <t>27.168000</t>
  </si>
  <si>
    <t>43.526000</t>
  </si>
  <si>
    <t>54.240000</t>
  </si>
  <si>
    <t>203.520000</t>
  </si>
  <si>
    <t>386.660000</t>
  </si>
  <si>
    <t>295.267000</t>
  </si>
  <si>
    <t>9.514000</t>
  </si>
  <si>
    <t>72.200000</t>
  </si>
  <si>
    <t>10.694000</t>
  </si>
  <si>
    <t>18.442000</t>
  </si>
  <si>
    <t>16.112000</t>
  </si>
  <si>
    <t>12.298000</t>
  </si>
  <si>
    <t>43.976000</t>
  </si>
  <si>
    <t>330.048000</t>
  </si>
  <si>
    <t>266.880000</t>
  </si>
  <si>
    <t>206.905000</t>
  </si>
  <si>
    <t>158.003000</t>
  </si>
  <si>
    <t>47.910000</t>
  </si>
  <si>
    <t>134.400000</t>
  </si>
  <si>
    <t>15.319000</t>
  </si>
  <si>
    <t>11.702000</t>
  </si>
  <si>
    <t>50.034000</t>
  </si>
  <si>
    <t>38.209000</t>
  </si>
  <si>
    <t>26.390000</t>
  </si>
  <si>
    <t>143.450000</t>
  </si>
  <si>
    <t>86.360000</t>
  </si>
  <si>
    <t>65.942000</t>
  </si>
  <si>
    <t>13.824000</t>
  </si>
  <si>
    <t>32.710000</t>
  </si>
  <si>
    <t>24.979000</t>
  </si>
  <si>
    <t>58.270000</t>
  </si>
  <si>
    <t>44.496000</t>
  </si>
  <si>
    <t>116.910000</t>
  </si>
  <si>
    <t>89.280000</t>
  </si>
  <si>
    <t>79.640000</t>
  </si>
  <si>
    <t>60.816000</t>
  </si>
  <si>
    <t>279.310000</t>
  </si>
  <si>
    <t>213.293000</t>
  </si>
  <si>
    <t>232.290000</t>
  </si>
  <si>
    <t>177.379000</t>
  </si>
  <si>
    <t>37.125000</t>
  </si>
  <si>
    <t>193.593000</t>
  </si>
  <si>
    <t>364.103000</t>
  </si>
  <si>
    <t>278.044000</t>
  </si>
  <si>
    <t>223.470000</t>
  </si>
  <si>
    <t>170.650000</t>
  </si>
  <si>
    <t>22.770000</t>
  </si>
  <si>
    <t>9.408000</t>
  </si>
  <si>
    <t>32.582000</t>
  </si>
  <si>
    <t>136.210000</t>
  </si>
  <si>
    <t>104.016000</t>
  </si>
  <si>
    <t>46.466000</t>
  </si>
  <si>
    <t>43.034000</t>
  </si>
  <si>
    <t>46.828000</t>
  </si>
  <si>
    <t>46.819000</t>
  </si>
  <si>
    <t>29.560000</t>
  </si>
  <si>
    <t>22.570000</t>
  </si>
  <si>
    <t>77.434000</t>
  </si>
  <si>
    <t>110.170000</t>
  </si>
  <si>
    <t>84.134000</t>
  </si>
  <si>
    <t>209.362000</t>
  </si>
  <si>
    <t>159.873000</t>
  </si>
  <si>
    <t>14.840000</t>
  </si>
  <si>
    <t>11.338000</t>
  </si>
  <si>
    <t>216.336000</t>
  </si>
  <si>
    <t>46.340000</t>
  </si>
  <si>
    <t>35.386000</t>
  </si>
  <si>
    <t>13.290000</t>
  </si>
  <si>
    <t>10.147000</t>
  </si>
  <si>
    <t>12.710000</t>
  </si>
  <si>
    <t>9.706000</t>
  </si>
  <si>
    <t>98.270000</t>
  </si>
  <si>
    <t>75.043000</t>
  </si>
  <si>
    <t>154.540000</t>
  </si>
  <si>
    <t>118.013000</t>
  </si>
  <si>
    <t>40.966000</t>
  </si>
  <si>
    <t>101.172000</t>
  </si>
  <si>
    <t>77.255000</t>
  </si>
  <si>
    <t>77.530000</t>
  </si>
  <si>
    <t>49.910000</t>
  </si>
  <si>
    <t>38.122000</t>
  </si>
  <si>
    <t>162.834000</t>
  </si>
  <si>
    <t>42.331000</t>
  </si>
  <si>
    <t>9.716000</t>
  </si>
  <si>
    <t>33.540000</t>
  </si>
  <si>
    <t>1.523000</t>
  </si>
  <si>
    <t>15.267000</t>
  </si>
  <si>
    <t>11.660000</t>
  </si>
  <si>
    <t>427.680000</t>
  </si>
  <si>
    <t>43.165000</t>
  </si>
  <si>
    <t>159.214000</t>
  </si>
  <si>
    <t>16.646000</t>
  </si>
  <si>
    <t>70.310000</t>
  </si>
  <si>
    <t>29.990000</t>
  </si>
  <si>
    <t>22.896000</t>
  </si>
  <si>
    <t>27.802000</t>
  </si>
  <si>
    <t>107.060000</t>
  </si>
  <si>
    <t>81.754000</t>
  </si>
  <si>
    <t>189.140000</t>
  </si>
  <si>
    <t>144.442000</t>
  </si>
  <si>
    <t>43.760000</t>
  </si>
  <si>
    <t>33.418000</t>
  </si>
  <si>
    <t>8.629000</t>
  </si>
  <si>
    <t>6.596000</t>
  </si>
  <si>
    <t>20.928000</t>
  </si>
  <si>
    <t>10.589000</t>
  </si>
  <si>
    <t>29.160000</t>
  </si>
  <si>
    <t>22.262000</t>
  </si>
  <si>
    <t>27.244000</t>
  </si>
  <si>
    <t>69.970000</t>
  </si>
  <si>
    <t>53.434000</t>
  </si>
  <si>
    <t>6.840000</t>
  </si>
  <si>
    <t>92.690000</t>
  </si>
  <si>
    <t>104.352000</t>
  </si>
  <si>
    <t>11.040000</t>
  </si>
  <si>
    <t>27.075000</t>
  </si>
  <si>
    <t>42.180000</t>
  </si>
  <si>
    <t>33.240000</t>
  </si>
  <si>
    <t>25.382000</t>
  </si>
  <si>
    <t>78.375000</t>
  </si>
  <si>
    <t>16.414000</t>
  </si>
  <si>
    <t>12.538000</t>
  </si>
  <si>
    <t>104.430000</t>
  </si>
  <si>
    <t>79.747000</t>
  </si>
  <si>
    <t>103.390000</t>
  </si>
  <si>
    <t>78.950000</t>
  </si>
  <si>
    <t>129.034000</t>
  </si>
  <si>
    <t>28.610000</t>
  </si>
  <si>
    <t>168.570000</t>
  </si>
  <si>
    <t>128.726000</t>
  </si>
  <si>
    <t>118.750000</t>
  </si>
  <si>
    <t>182.290000</t>
  </si>
  <si>
    <t>139.200000</t>
  </si>
  <si>
    <t>134.995000</t>
  </si>
  <si>
    <t>110.710000</t>
  </si>
  <si>
    <t>84.547000</t>
  </si>
  <si>
    <t>128.570000</t>
  </si>
  <si>
    <t>98.179000</t>
  </si>
  <si>
    <t>62.040000</t>
  </si>
  <si>
    <t>47.376000</t>
  </si>
  <si>
    <t>32.585000</t>
  </si>
  <si>
    <t>376.200000</t>
  </si>
  <si>
    <t>104.290000</t>
  </si>
  <si>
    <t>79.642000</t>
  </si>
  <si>
    <t>22.860000</t>
  </si>
  <si>
    <t>17.453000</t>
  </si>
  <si>
    <t>2.711000</t>
  </si>
  <si>
    <t>75.600000</t>
  </si>
  <si>
    <t>85.640000</t>
  </si>
  <si>
    <t>65.405000</t>
  </si>
  <si>
    <t>35.625000</t>
  </si>
  <si>
    <t>25.940000</t>
  </si>
  <si>
    <t>19.814000</t>
  </si>
  <si>
    <t>55.340000</t>
  </si>
  <si>
    <t>42.259000</t>
  </si>
  <si>
    <t>34.210000</t>
  </si>
  <si>
    <t>26.131000</t>
  </si>
  <si>
    <t>34.464000</t>
  </si>
  <si>
    <t>141.833000</t>
  </si>
  <si>
    <t>10.073000</t>
  </si>
  <si>
    <t>45.198000</t>
  </si>
  <si>
    <t>7.840000</t>
  </si>
  <si>
    <t>28.290000</t>
  </si>
  <si>
    <t>247.460000</t>
  </si>
  <si>
    <t>188.966000</t>
  </si>
  <si>
    <t>108.890000</t>
  </si>
  <si>
    <t>83.146000</t>
  </si>
  <si>
    <t>513.619000</t>
  </si>
  <si>
    <t>22.040000</t>
  </si>
  <si>
    <t>16.829000</t>
  </si>
  <si>
    <t>9.802000</t>
  </si>
  <si>
    <t>7.481000</t>
  </si>
  <si>
    <t>114.240000</t>
  </si>
  <si>
    <t>105.490000</t>
  </si>
  <si>
    <t>80.554000</t>
  </si>
  <si>
    <t>52.717000</t>
  </si>
  <si>
    <t>121.405000</t>
  </si>
  <si>
    <t>137.275000</t>
  </si>
  <si>
    <t>185.962000</t>
  </si>
  <si>
    <t>335.610000</t>
  </si>
  <si>
    <t>1475.110000</t>
  </si>
  <si>
    <t>1126.454000</t>
  </si>
  <si>
    <t>105.530000</t>
  </si>
  <si>
    <t>80.582000</t>
  </si>
  <si>
    <t>4.241000</t>
  </si>
  <si>
    <t>24.415000</t>
  </si>
  <si>
    <t>16.552000</t>
  </si>
  <si>
    <t>3.393000</t>
  </si>
  <si>
    <t>4.599000</t>
  </si>
  <si>
    <t>15.865000</t>
  </si>
  <si>
    <t>348.480000</t>
  </si>
  <si>
    <t>50.340</t>
  </si>
  <si>
    <t>87.744000</t>
  </si>
  <si>
    <t>84.960000</t>
  </si>
  <si>
    <t>125.760000</t>
  </si>
  <si>
    <t>42.465000</t>
  </si>
  <si>
    <t>19.855000</t>
  </si>
  <si>
    <t>378.614000</t>
  </si>
  <si>
    <t>76.368000</t>
  </si>
  <si>
    <t>228.480000</t>
  </si>
  <si>
    <t>360.840000</t>
  </si>
  <si>
    <t>133.950000</t>
  </si>
  <si>
    <t>8.441000</t>
  </si>
  <si>
    <t>24.864000</t>
  </si>
  <si>
    <t>24.279000</t>
  </si>
  <si>
    <t>316.863000</t>
  </si>
  <si>
    <t>225.882000</t>
  </si>
  <si>
    <t>232.750000</t>
  </si>
  <si>
    <t>36.990000</t>
  </si>
  <si>
    <t>28.243000</t>
  </si>
  <si>
    <t>50.570000</t>
  </si>
  <si>
    <t>22.070000</t>
  </si>
  <si>
    <t>16.858000</t>
  </si>
  <si>
    <t>615.210000</t>
  </si>
  <si>
    <t>469.805000</t>
  </si>
  <si>
    <t>28.540000</t>
  </si>
  <si>
    <t>21.802000</t>
  </si>
  <si>
    <t>2.450000</t>
  </si>
  <si>
    <t>419.900000</t>
  </si>
  <si>
    <t>18.343000</t>
  </si>
  <si>
    <t>42.110000</t>
  </si>
  <si>
    <t>32.064000</t>
  </si>
  <si>
    <t>53.793000</t>
  </si>
  <si>
    <t>7.111000</t>
  </si>
  <si>
    <t>21.065000</t>
  </si>
  <si>
    <t>19.584000</t>
  </si>
  <si>
    <t>18.895000</t>
  </si>
  <si>
    <t>80.750000</t>
  </si>
  <si>
    <t>440.640000</t>
  </si>
  <si>
    <t>49.070000</t>
  </si>
  <si>
    <t>37.469000</t>
  </si>
  <si>
    <t>68.657000</t>
  </si>
  <si>
    <t>181.360000</t>
  </si>
  <si>
    <t>28.370000</t>
  </si>
  <si>
    <t>21.667000</t>
  </si>
  <si>
    <t>290.700000</t>
  </si>
  <si>
    <t>38.179000</t>
  </si>
  <si>
    <t>8.122000</t>
  </si>
  <si>
    <t>16.412000</t>
  </si>
  <si>
    <t>101.355000</t>
  </si>
  <si>
    <t>106.759000</t>
  </si>
  <si>
    <t>41.710000</t>
  </si>
  <si>
    <t>133.763000</t>
  </si>
  <si>
    <t>39.285000</t>
  </si>
  <si>
    <t>35.008000</t>
  </si>
  <si>
    <t>70.709000</t>
  </si>
  <si>
    <t>17.511000</t>
  </si>
  <si>
    <t>28.392000</t>
  </si>
  <si>
    <t>12.419000</t>
  </si>
  <si>
    <t>7.108000</t>
  </si>
  <si>
    <t>33.320000</t>
  </si>
  <si>
    <t>168.300000</t>
  </si>
  <si>
    <t>574.200000</t>
  </si>
  <si>
    <t>225.400000</t>
  </si>
  <si>
    <t>23.397000</t>
  </si>
  <si>
    <t>71.155000</t>
  </si>
  <si>
    <t>6.693000</t>
  </si>
  <si>
    <t>68.310000</t>
  </si>
  <si>
    <t>13.720000</t>
  </si>
  <si>
    <t>8.640000</t>
  </si>
  <si>
    <t>19.110000</t>
  </si>
  <si>
    <t>63.744000</t>
  </si>
  <si>
    <t>65.930000</t>
  </si>
  <si>
    <t>743.040000</t>
  </si>
  <si>
    <t>17.160000</t>
  </si>
  <si>
    <t>93.575000</t>
  </si>
  <si>
    <t>71.040000</t>
  </si>
  <si>
    <t>60.530000</t>
  </si>
  <si>
    <t>6.370000</t>
  </si>
  <si>
    <t>4.867000</t>
  </si>
  <si>
    <t>5.415000</t>
  </si>
  <si>
    <t>608.000000</t>
  </si>
  <si>
    <t>5.049000</t>
  </si>
  <si>
    <t>5.035000</t>
  </si>
  <si>
    <t>129.690000</t>
  </si>
  <si>
    <t>8.497000</t>
  </si>
  <si>
    <t>95.060000</t>
  </si>
  <si>
    <t>1444.330000</t>
  </si>
  <si>
    <t>134.260000</t>
  </si>
  <si>
    <t>140.690000</t>
  </si>
  <si>
    <t>133.650000</t>
  </si>
  <si>
    <t>33.792000</t>
  </si>
  <si>
    <t>254.430000</t>
  </si>
  <si>
    <t>313.170000</t>
  </si>
  <si>
    <t>239.146000</t>
  </si>
  <si>
    <t>121.600000</t>
  </si>
  <si>
    <t>23.823000</t>
  </si>
  <si>
    <t>19.130000</t>
  </si>
  <si>
    <t>14.611000</t>
  </si>
  <si>
    <t>151.525000</t>
  </si>
  <si>
    <t>45.540000</t>
  </si>
  <si>
    <t>14.198000</t>
  </si>
  <si>
    <t>21.336000</t>
  </si>
  <si>
    <t>133.280000</t>
  </si>
  <si>
    <t>441.600000</t>
  </si>
  <si>
    <t>570.259000</t>
  </si>
  <si>
    <t>83.530</t>
  </si>
  <si>
    <t>96.040000</t>
  </si>
  <si>
    <t>674.150000</t>
  </si>
  <si>
    <t>1028.200000</t>
  </si>
  <si>
    <t>321.485000</t>
  </si>
  <si>
    <t>510.220000</t>
  </si>
  <si>
    <t>379.755000</t>
  </si>
  <si>
    <t>156.170000</t>
  </si>
  <si>
    <t>135.800000</t>
  </si>
  <si>
    <t>164.255000</t>
  </si>
  <si>
    <t>97.293000</t>
  </si>
  <si>
    <t>153.621000</t>
  </si>
  <si>
    <t>129.302000</t>
  </si>
  <si>
    <t>9.600000</t>
  </si>
  <si>
    <t>21.210000</t>
  </si>
  <si>
    <t>13.561000</t>
  </si>
  <si>
    <t>13.920000</t>
  </si>
  <si>
    <t>30.990000</t>
  </si>
  <si>
    <t>152.276000</t>
  </si>
  <si>
    <t>174.844000</t>
  </si>
  <si>
    <t>21.103000</t>
  </si>
  <si>
    <t>21.931000</t>
  </si>
  <si>
    <t>374.300000</t>
  </si>
  <si>
    <t>128.725000</t>
  </si>
  <si>
    <t>289.750000</t>
  </si>
  <si>
    <t>8.524000</t>
  </si>
  <si>
    <t>6.043000</t>
  </si>
  <si>
    <t>4.259000</t>
  </si>
  <si>
    <t>6.905000</t>
  </si>
  <si>
    <t>4.224000</t>
  </si>
  <si>
    <t>233.060000</t>
  </si>
  <si>
    <t>177.974000</t>
  </si>
  <si>
    <t>228.000000</t>
  </si>
  <si>
    <t>20.091000</t>
  </si>
  <si>
    <t>18.160000</t>
  </si>
  <si>
    <t>33.659000</t>
  </si>
  <si>
    <t>50.069000</t>
  </si>
  <si>
    <t>14.060000</t>
  </si>
  <si>
    <t>64.125000</t>
  </si>
  <si>
    <t>15.291000</t>
  </si>
  <si>
    <t>9.046000</t>
  </si>
  <si>
    <t>108.130000</t>
  </si>
  <si>
    <t>21.633000</t>
  </si>
  <si>
    <t>81.120000</t>
  </si>
  <si>
    <t>23.655000</t>
  </si>
  <si>
    <t>29.267000</t>
  </si>
  <si>
    <t>28.664000</t>
  </si>
  <si>
    <t>143.520000</t>
  </si>
  <si>
    <t>27.310</t>
  </si>
  <si>
    <t>65.108000</t>
  </si>
  <si>
    <t>68.400000</t>
  </si>
  <si>
    <t>371.995000</t>
  </si>
  <si>
    <t>286.560000</t>
  </si>
  <si>
    <t>179.935000</t>
  </si>
  <si>
    <t>62.700000</t>
  </si>
  <si>
    <t>132.890000</t>
  </si>
  <si>
    <t>25.362000</t>
  </si>
  <si>
    <t>13.655000</t>
  </si>
  <si>
    <t>14.086000</t>
  </si>
  <si>
    <t>12.702000</t>
  </si>
  <si>
    <t>991.780000</t>
  </si>
  <si>
    <t>937.840000</t>
  </si>
  <si>
    <t>43.560000</t>
  </si>
  <si>
    <t>149.793000</t>
  </si>
  <si>
    <t>173.922000</t>
  </si>
  <si>
    <t>151.061000</t>
  </si>
  <si>
    <t>25.220000</t>
  </si>
  <si>
    <t>8.157000</t>
  </si>
  <si>
    <t>8.116000</t>
  </si>
  <si>
    <t>9.729000</t>
  </si>
  <si>
    <t>8.148000</t>
  </si>
  <si>
    <t>8.124000</t>
  </si>
  <si>
    <t>8.872000</t>
  </si>
  <si>
    <t>56.444000</t>
  </si>
  <si>
    <t>8.597000</t>
  </si>
  <si>
    <t>4.504000</t>
  </si>
  <si>
    <t>87.030000</t>
  </si>
  <si>
    <t>75.446000</t>
  </si>
  <si>
    <t>37.779000</t>
  </si>
  <si>
    <t>52.865000</t>
  </si>
  <si>
    <t>36.480000</t>
  </si>
  <si>
    <t>239.102000</t>
  </si>
  <si>
    <t>182.587000</t>
  </si>
  <si>
    <t>162.451000</t>
  </si>
  <si>
    <t>36.575000</t>
  </si>
  <si>
    <t>41.280000</t>
  </si>
  <si>
    <t>278.490</t>
  </si>
  <si>
    <t>328.320000</t>
  </si>
  <si>
    <t>10.080000</t>
  </si>
  <si>
    <t>120.540000</t>
  </si>
  <si>
    <t>118.580000</t>
  </si>
  <si>
    <t>88.200000</t>
  </si>
  <si>
    <t>12.342000</t>
  </si>
  <si>
    <t>117.681000</t>
  </si>
  <si>
    <t>109.363000</t>
  </si>
  <si>
    <t>123.793000</t>
  </si>
  <si>
    <t>115.041000</t>
  </si>
  <si>
    <t>393.600000</t>
  </si>
  <si>
    <t>231.610000</t>
  </si>
  <si>
    <t>12.480000</t>
  </si>
  <si>
    <t>198.310000</t>
  </si>
  <si>
    <t>179.098000</t>
  </si>
  <si>
    <t>153.846000</t>
  </si>
  <si>
    <t>11.449000</t>
  </si>
  <si>
    <t>552.425000</t>
  </si>
  <si>
    <t>30.260000</t>
  </si>
  <si>
    <t>21.302000</t>
  </si>
  <si>
    <t>36.542000</t>
  </si>
  <si>
    <t>337.120000</t>
  </si>
  <si>
    <t>60.960000</t>
  </si>
  <si>
    <t>31.448000</t>
  </si>
  <si>
    <t>7.820000</t>
  </si>
  <si>
    <t>53.200000</t>
  </si>
  <si>
    <t>83.520000</t>
  </si>
  <si>
    <t>33.517000</t>
  </si>
  <si>
    <t>19.885000</t>
  </si>
  <si>
    <t>57.950000</t>
  </si>
  <si>
    <t>365.259000</t>
  </si>
  <si>
    <t>633.112000</t>
  </si>
  <si>
    <t>478.432000</t>
  </si>
  <si>
    <t>16.435000</t>
  </si>
  <si>
    <t>16.731000</t>
  </si>
  <si>
    <t>18.427000</t>
  </si>
  <si>
    <t>9.418000</t>
  </si>
  <si>
    <t>131.520000</t>
  </si>
  <si>
    <t>gel - XTREME PROFESSIONAL - 250g - HENKEL</t>
  </si>
  <si>
    <t>14.660</t>
  </si>
  <si>
    <t>crema corporal - TEATRICAL - 52G AZUL - GENNOMA LAB</t>
  </si>
  <si>
    <t>crema corporal - TEATRICAL C/ ROSAS Y LANOLINA - 52g - GENNOMA LAB</t>
  </si>
  <si>
    <t>crema corporal - TEATRICAL ROSA - 400g - GENNOMA LAB</t>
  </si>
  <si>
    <t>58.620</t>
  </si>
  <si>
    <t>66.810000</t>
  </si>
  <si>
    <t>crema corporal - TEATRICAL ROSA C/ LANOLINA ROSA - 230g - GENNOMA LAB</t>
  </si>
  <si>
    <t>51.720</t>
  </si>
  <si>
    <t>paracetamol - DESENFRIOL D - c/24 tab -BAYER</t>
  </si>
  <si>
    <t>41.000</t>
  </si>
  <si>
    <t>46.695000</t>
  </si>
  <si>
    <t>subsalicilato de bismuto -PEPTO BISMOL - 262,4 mg c/24 tabs mast cereza - P&amp;G</t>
  </si>
  <si>
    <t>81.000</t>
  </si>
  <si>
    <t>92.250000</t>
  </si>
  <si>
    <t>86.800</t>
  </si>
  <si>
    <t>20.210</t>
  </si>
  <si>
    <t>38.310</t>
  </si>
  <si>
    <t>72.920</t>
  </si>
  <si>
    <t>93.080</t>
  </si>
  <si>
    <t>11.000</t>
  </si>
  <si>
    <t>14.640</t>
  </si>
  <si>
    <t>22.110</t>
  </si>
  <si>
    <t>23.300</t>
  </si>
  <si>
    <t>32.880</t>
  </si>
  <si>
    <t>39.040</t>
  </si>
  <si>
    <t>47.080</t>
  </si>
  <si>
    <t>67.800</t>
  </si>
  <si>
    <t>7.710</t>
  </si>
  <si>
    <t>75.940</t>
  </si>
  <si>
    <t>18.730</t>
  </si>
  <si>
    <t>32.890</t>
  </si>
  <si>
    <t>32.850</t>
  </si>
  <si>
    <t>alcanfor/mentol/eucalipto - VICK VAPORUB LATA - lata 12 gr - P&amp;G - ABRIL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</si>
</sst>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</numFmts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/>
    <xf numFmtId="4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9" applyNumberFormat="0" applyAlignment="0" applyProtection="0"/>
    <xf numFmtId="0" fontId="23" fillId="12" borderId="10" applyNumberFormat="0" applyAlignment="0" applyProtection="0"/>
    <xf numFmtId="0" fontId="24" fillId="12" borderId="9" applyNumberFormat="0" applyAlignment="0" applyProtection="0"/>
    <xf numFmtId="0" fontId="25" fillId="0" borderId="11" applyNumberFormat="0" applyFill="0" applyAlignment="0" applyProtection="0"/>
    <xf numFmtId="0" fontId="26" fillId="13" borderId="12" applyNumberFormat="0" applyAlignment="0" applyProtection="0"/>
    <xf numFmtId="0" fontId="1" fillId="0" borderId="0" applyNumberFormat="0" applyFill="0" applyBorder="0" applyAlignment="0" applyProtection="0"/>
    <xf numFmtId="0" fontId="8" fillId="14" borderId="13" applyNumberFormat="0" applyFont="0" applyAlignment="0" applyProtection="0"/>
    <xf numFmtId="0" fontId="27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7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7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7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8" fillId="0" borderId="0"/>
    <xf numFmtId="44" fontId="2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8" fillId="0" borderId="0"/>
    <xf numFmtId="44" fontId="8" fillId="0" borderId="0" applyFont="0" applyFill="0" applyBorder="0" applyAlignment="0" applyProtection="0"/>
    <xf numFmtId="0" fontId="28" fillId="0" borderId="0"/>
    <xf numFmtId="44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8" fillId="0" borderId="0" applyFont="0" applyFill="0" applyBorder="0" applyAlignment="0" applyProtection="0"/>
  </cellStyleXfs>
  <cellXfs count="93">
    <xf numFmtId="0" fontId="0" fillId="0" borderId="0" xfId="0"/>
    <xf numFmtId="8" fontId="3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8" fontId="5" fillId="2" borderId="0" xfId="0" applyNumberFormat="1" applyFont="1" applyFill="1" applyAlignment="1">
      <alignment horizontal="center"/>
    </xf>
    <xf numFmtId="1" fontId="6" fillId="0" borderId="1" xfId="0" applyNumberFormat="1" applyFont="1" applyBorder="1" applyAlignment="1">
      <alignment shrinkToFi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right"/>
    </xf>
    <xf numFmtId="8" fontId="2" fillId="0" borderId="0" xfId="0" applyNumberFormat="1" applyFont="1"/>
    <xf numFmtId="8" fontId="0" fillId="0" borderId="0" xfId="0" applyNumberFormat="1"/>
    <xf numFmtId="0" fontId="6" fillId="3" borderId="1" xfId="0" applyFont="1" applyFill="1" applyBorder="1" applyAlignment="1">
      <alignment wrapText="1"/>
    </xf>
    <xf numFmtId="1" fontId="2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1" fontId="6" fillId="0" borderId="1" xfId="0" applyNumberFormat="1" applyFont="1" applyBorder="1" applyAlignment="1">
      <alignment horizontal="right" wrapText="1"/>
    </xf>
    <xf numFmtId="1" fontId="4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14" fontId="4" fillId="4" borderId="0" xfId="0" applyNumberFormat="1" applyFont="1" applyFill="1" applyAlignment="1">
      <alignment vertical="center" wrapText="1"/>
    </xf>
    <xf numFmtId="8" fontId="3" fillId="4" borderId="0" xfId="0" applyNumberFormat="1" applyFont="1" applyFill="1" applyAlignment="1">
      <alignment vertical="center" wrapText="1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4" fillId="4" borderId="0" xfId="0" applyFont="1" applyFill="1" applyAlignment="1">
      <alignment vertical="center" wrapText="1"/>
    </xf>
    <xf numFmtId="8" fontId="2" fillId="4" borderId="0" xfId="0" applyNumberFormat="1" applyFont="1" applyFill="1" applyAlignment="1">
      <alignment horizontal="center"/>
    </xf>
    <xf numFmtId="0" fontId="9" fillId="0" borderId="1" xfId="0" applyFont="1" applyBorder="1" applyAlignment="1"/>
    <xf numFmtId="0" fontId="0" fillId="0" borderId="0" xfId="0" applyAlignment="1"/>
    <xf numFmtId="0" fontId="9" fillId="0" borderId="1" xfId="0" applyFont="1" applyBorder="1" applyAlignment="1">
      <alignment vertical="center"/>
    </xf>
    <xf numFmtId="0" fontId="0" fillId="0" borderId="0" xfId="0"/>
    <xf numFmtId="0" fontId="3" fillId="0" borderId="0" xfId="0" applyFont="1" applyAlignment="1">
      <alignment wrapText="1"/>
    </xf>
    <xf numFmtId="0" fontId="6" fillId="3" borderId="1" xfId="0" applyFont="1" applyFill="1" applyBorder="1"/>
    <xf numFmtId="0" fontId="6" fillId="5" borderId="1" xfId="0" applyFont="1" applyFill="1" applyBorder="1"/>
    <xf numFmtId="1" fontId="6" fillId="0" borderId="1" xfId="0" applyNumberFormat="1" applyFont="1" applyBorder="1" applyAlignment="1">
      <alignment horizontal="right" shrinkToFit="1"/>
    </xf>
    <xf numFmtId="0" fontId="3" fillId="0" borderId="0" xfId="0" applyFont="1" applyAlignment="1"/>
    <xf numFmtId="0" fontId="0" fillId="0" borderId="3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8" fontId="2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9" fillId="0" borderId="0" xfId="0" applyFont="1" applyBorder="1" applyAlignment="1"/>
    <xf numFmtId="0" fontId="4" fillId="4" borderId="0" xfId="0" applyFont="1" applyFill="1" applyBorder="1" applyAlignment="1"/>
    <xf numFmtId="0" fontId="0" fillId="0" borderId="0" xfId="0" applyBorder="1" applyAlignment="1"/>
    <xf numFmtId="0" fontId="9" fillId="0" borderId="0" xfId="0" applyFont="1" applyFill="1" applyBorder="1" applyAlignment="1"/>
    <xf numFmtId="1" fontId="0" fillId="0" borderId="0" xfId="0" applyNumberFormat="1" applyAlignment="1"/>
    <xf numFmtId="8" fontId="10" fillId="0" borderId="0" xfId="0" applyNumberFormat="1" applyFont="1" applyFill="1" applyAlignment="1"/>
    <xf numFmtId="14" fontId="4" fillId="4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/>
    <xf numFmtId="0" fontId="0" fillId="0" borderId="0" xfId="0" applyBorder="1" applyAlignment="1">
      <alignment vertical="center"/>
    </xf>
    <xf numFmtId="44" fontId="0" fillId="0" borderId="0" xfId="4" applyFont="1"/>
    <xf numFmtId="0" fontId="7" fillId="0" borderId="0" xfId="0" applyFont="1" applyAlignment="1">
      <alignment horizontal="left"/>
    </xf>
    <xf numFmtId="0" fontId="7" fillId="0" borderId="0" xfId="0" applyFont="1"/>
    <xf numFmtId="0" fontId="6" fillId="5" borderId="1" xfId="0" applyFont="1" applyFill="1" applyBorder="1"/>
    <xf numFmtId="0" fontId="6" fillId="3" borderId="1" xfId="0" applyFont="1" applyFill="1" applyBorder="1"/>
    <xf numFmtId="0" fontId="6" fillId="5" borderId="1" xfId="0" applyFont="1" applyFill="1" applyBorder="1"/>
    <xf numFmtId="44" fontId="3" fillId="0" borderId="0" xfId="4" applyFont="1" applyAlignment="1"/>
    <xf numFmtId="44" fontId="0" fillId="0" borderId="0" xfId="4" applyFont="1" applyAlignment="1"/>
    <xf numFmtId="44" fontId="3" fillId="0" borderId="0" xfId="4" applyFont="1" applyAlignment="1">
      <alignment vertical="center" wrapText="1"/>
    </xf>
    <xf numFmtId="44" fontId="6" fillId="7" borderId="1" xfId="4" applyFont="1" applyFill="1" applyBorder="1" applyAlignment="1">
      <alignment horizontal="right"/>
    </xf>
    <xf numFmtId="0" fontId="6" fillId="5" borderId="1" xfId="0" applyFont="1" applyFill="1" applyBorder="1"/>
    <xf numFmtId="0" fontId="5" fillId="4" borderId="0" xfId="0" applyFont="1" applyFill="1" applyAlignment="1">
      <alignment horizontal="center" vertical="center" wrapText="1"/>
    </xf>
    <xf numFmtId="1" fontId="5" fillId="4" borderId="0" xfId="0" applyNumberFormat="1" applyFont="1" applyFill="1" applyAlignment="1">
      <alignment horizontal="center" vertical="center" wrapText="1"/>
    </xf>
    <xf numFmtId="44" fontId="5" fillId="2" borderId="0" xfId="4" applyFont="1" applyFill="1" applyAlignment="1">
      <alignment horizontal="center" vertical="center" wrapText="1"/>
    </xf>
    <xf numFmtId="8" fontId="5" fillId="2" borderId="0" xfId="0" applyNumberFormat="1" applyFont="1" applyFill="1" applyAlignment="1">
      <alignment horizontal="center" vertical="center" wrapText="1"/>
    </xf>
    <xf numFmtId="8" fontId="2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8" fontId="2" fillId="6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/>
    <xf numFmtId="0" fontId="13" fillId="0" borderId="0" xfId="0" applyFont="1" applyAlignment="1"/>
    <xf numFmtId="0" fontId="13" fillId="0" borderId="0" xfId="0" applyFont="1" applyAlignment="1">
      <alignment vertical="center" wrapText="1"/>
    </xf>
    <xf numFmtId="0" fontId="7" fillId="0" borderId="0" xfId="0" applyFont="1" applyAlignment="1"/>
    <xf numFmtId="0" fontId="0" fillId="0" borderId="0" xfId="0"/>
    <xf numFmtId="0" fontId="6" fillId="3" borderId="1" xfId="0" applyFont="1" applyFill="1" applyBorder="1"/>
    <xf numFmtId="8" fontId="6" fillId="7" borderId="1" xfId="4" applyNumberFormat="1" applyFont="1" applyFill="1" applyBorder="1" applyAlignment="1">
      <alignment horizontal="right"/>
    </xf>
    <xf numFmtId="0" fontId="14" fillId="0" borderId="0" xfId="0" applyFont="1"/>
    <xf numFmtId="0" fontId="6" fillId="3" borderId="1" xfId="0" applyFont="1" applyFill="1" applyBorder="1"/>
    <xf numFmtId="0" fontId="0" fillId="0" borderId="0" xfId="0"/>
    <xf numFmtId="0" fontId="3" fillId="0" borderId="0" xfId="0" applyFont="1" applyAlignment="1">
      <alignment horizontal="center" wrapText="1"/>
    </xf>
    <xf numFmtId="0" fontId="4" fillId="4" borderId="0" xfId="0" applyFont="1" applyFill="1" applyAlignment="1">
      <alignment horizontal="center"/>
    </xf>
    <xf numFmtId="8" fontId="2" fillId="0" borderId="0" xfId="0" applyNumberFormat="1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</cellXfs>
  <cellStyles count="76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6" builtinId="16" customBuiltin="1"/>
    <cellStyle name="Encabezado 4" xfId="9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3" builtinId="20" customBuiltin="1"/>
    <cellStyle name="Incorrecto" xfId="11" builtinId="27" customBuiltin="1"/>
    <cellStyle name="Millares 2" xfId="53" xr:uid="{F3D2FB78-8D02-4979-B185-248AFA6D73A5}"/>
    <cellStyle name="Millares 2 2" xfId="58" xr:uid="{EDED308E-5392-4D16-8187-0D266658AC69}"/>
    <cellStyle name="Millares 2 2 2" xfId="73" xr:uid="{38CA33D7-E030-4413-8CFB-7D17CF7864CE}"/>
    <cellStyle name="Millares 2 3" xfId="69" xr:uid="{48B80BAA-2328-48F2-A7CA-9B97159BBB20}"/>
    <cellStyle name="Moneda" xfId="4" builtinId="4"/>
    <cellStyle name="Moneda 10" xfId="46" xr:uid="{688991EC-1FC5-4F1C-83CA-00F7642C3F42}"/>
    <cellStyle name="Moneda 10 2" xfId="64" xr:uid="{A5585E54-4CE8-4411-B5D6-C1CE87B96842}"/>
    <cellStyle name="Moneda 2" xfId="1" xr:uid="{89EC52EF-223B-4D3A-8699-C6F9C796321A}"/>
    <cellStyle name="Moneda 2 2" xfId="3" xr:uid="{0616BE2D-D3D7-41F4-86C8-FC8E5184D608}"/>
    <cellStyle name="Moneda 2 2 2" xfId="49" xr:uid="{E55A4B37-D3A4-4EBF-BA3C-C8C3F311C471}"/>
    <cellStyle name="Moneda 2 2 3" xfId="66" xr:uid="{67EAE2FD-3161-455D-85EF-E3C2C7C1E952}"/>
    <cellStyle name="Moneda 2 3" xfId="47" xr:uid="{73B59702-479F-43BB-8C5C-5537A2C0D099}"/>
    <cellStyle name="Moneda 2 4" xfId="65" xr:uid="{4648D611-936C-43BE-B83A-111450A5F3C7}"/>
    <cellStyle name="Moneda 3" xfId="50" xr:uid="{8064BC07-93D4-4A9C-A5F0-9F0F77BC569D}"/>
    <cellStyle name="Moneda 3 2" xfId="67" xr:uid="{18BE6CAF-D5D6-4198-993F-9E6FB3782575}"/>
    <cellStyle name="Moneda 4" xfId="51" xr:uid="{F54F287C-56A6-43D7-A54B-74850A200965}"/>
    <cellStyle name="Moneda 4 2" xfId="68" xr:uid="{AD69D9CC-5AD8-4600-A866-36BCAF0574A9}"/>
    <cellStyle name="Moneda 5" xfId="54" xr:uid="{CAA1A6DA-D4F1-458C-85CD-3191EAA5526B}"/>
    <cellStyle name="Moneda 5 2" xfId="70" xr:uid="{EF8E319A-FA09-4CE8-9B3E-C3259961BB4B}"/>
    <cellStyle name="Moneda 6" xfId="56" xr:uid="{D7D8561B-111B-4C9A-BD58-813BEC3654A3}"/>
    <cellStyle name="Moneda 6 2" xfId="71" xr:uid="{1200D8A4-58CF-47E6-A6B3-BC71153CFCDE}"/>
    <cellStyle name="Moneda 7" xfId="57" xr:uid="{E679E440-447F-463B-ADC9-263271E81BFB}"/>
    <cellStyle name="Moneda 7 2" xfId="72" xr:uid="{AB6AC629-DA16-424C-9682-718C4AEF84D3}"/>
    <cellStyle name="Moneda 8" xfId="60" xr:uid="{E9FE2C40-E074-4CD9-B633-10948B6F8CF3}"/>
    <cellStyle name="Moneda 8 2" xfId="74" xr:uid="{D14E47CD-6CF9-466B-8013-9B3431E7DDFA}"/>
    <cellStyle name="Moneda 9" xfId="62" xr:uid="{FB575D8A-6CF0-4715-93C3-43B4EF10E554}"/>
    <cellStyle name="Moneda 9 2" xfId="75" xr:uid="{54EA1868-B6B2-4B01-A46D-16EDA4150AFF}"/>
    <cellStyle name="Neutral" xfId="12" builtinId="28" customBuiltin="1"/>
    <cellStyle name="Normal" xfId="0" builtinId="0"/>
    <cellStyle name="Normal 10" xfId="52" xr:uid="{AF5B89D7-4420-4E79-B8CF-62DB41F66178}"/>
    <cellStyle name="Normal 2" xfId="48" xr:uid="{086AC80F-9CC2-403D-AFA4-9EBDDB4CEFAB}"/>
    <cellStyle name="Normal 2 2" xfId="2" xr:uid="{D587D437-9360-4552-83C9-C3722425BF18}"/>
    <cellStyle name="Normal 2 2 2" xfId="61" xr:uid="{27C0A3CD-C985-44AF-AAD3-2AD590EE0ECE}"/>
    <cellStyle name="Normal 829" xfId="59" xr:uid="{352C033D-DB44-46EC-BE78-ADD52DA3BB2A}"/>
    <cellStyle name="Notas" xfId="19" builtinId="10" customBuiltin="1"/>
    <cellStyle name="Porcentaje 2" xfId="55" xr:uid="{61597E0B-2C90-4219-8A1F-36E3AFA5D46F}"/>
    <cellStyle name="Porcentaje 3" xfId="63" xr:uid="{DFE021A7-2BB4-405F-A595-7E71DE51D06C}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19050</xdr:rowOff>
    </xdr:from>
    <xdr:to>
      <xdr:col>0</xdr:col>
      <xdr:colOff>1095867</xdr:colOff>
      <xdr:row>0</xdr:row>
      <xdr:rowOff>647700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1D212C-CA29-42F2-A08A-202B9C688A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8" t="19345" r="10936" b="20125"/>
        <a:stretch/>
      </xdr:blipFill>
      <xdr:spPr bwMode="auto">
        <a:xfrm>
          <a:off x="285751" y="19050"/>
          <a:ext cx="810116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523876</xdr:colOff>
      <xdr:row>0</xdr:row>
      <xdr:rowOff>38101</xdr:rowOff>
    </xdr:from>
    <xdr:to>
      <xdr:col>0</xdr:col>
      <xdr:colOff>1571625</xdr:colOff>
      <xdr:row>0</xdr:row>
      <xdr:rowOff>851155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5EC6C8-1DAA-4215-9B5B-232B0095BC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8" t="19345" r="10936" b="20125"/>
        <a:stretch/>
      </xdr:blipFill>
      <xdr:spPr bwMode="auto">
        <a:xfrm>
          <a:off x="523876" y="38101"/>
          <a:ext cx="1047749" cy="813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LAY%20OUT%20Automatizacion%20OC%20141025.xlsx" TargetMode="External"/><Relationship Id="rId1" Type="http://schemas.openxmlformats.org/officeDocument/2006/relationships/externalLinkPath" Target="/Users/Admin/Downloads/LAY%20OUT%20Automatizacion%20OC%20141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LAYOUT"/>
      <sheetName val="DEFINICIONES"/>
      <sheetName val="MACHOTE"/>
    </sheetNames>
    <sheetDataSet>
      <sheetData sheetId="0"/>
      <sheetData sheetId="1"/>
      <sheetData sheetId="2"/>
      <sheetData sheetId="3">
        <row r="1">
          <cell r="A1" t="str">
            <v>CLAVE</v>
          </cell>
          <cell r="V1" t="str">
            <v>IMPUESTO (S/N)</v>
          </cell>
          <cell r="Y1" t="str">
            <v>IMP IEPS(S/N)</v>
          </cell>
        </row>
        <row r="2">
          <cell r="A2">
            <v>780083142506</v>
          </cell>
          <cell r="V2" t="str">
            <v>N</v>
          </cell>
          <cell r="Y2" t="str">
            <v>N</v>
          </cell>
        </row>
        <row r="3">
          <cell r="A3">
            <v>7502009740992</v>
          </cell>
          <cell r="V3" t="str">
            <v>N</v>
          </cell>
          <cell r="Y3" t="str">
            <v>N</v>
          </cell>
        </row>
        <row r="4">
          <cell r="A4">
            <v>7502004401409</v>
          </cell>
          <cell r="V4" t="str">
            <v>N</v>
          </cell>
          <cell r="Y4" t="str">
            <v>N</v>
          </cell>
        </row>
        <row r="5">
          <cell r="A5">
            <v>7502227424407</v>
          </cell>
          <cell r="V5" t="str">
            <v>N</v>
          </cell>
          <cell r="Y5" t="str">
            <v>N</v>
          </cell>
        </row>
        <row r="6">
          <cell r="A6">
            <v>7501537102845</v>
          </cell>
          <cell r="V6" t="str">
            <v>N</v>
          </cell>
          <cell r="Y6" t="str">
            <v>N</v>
          </cell>
        </row>
        <row r="7">
          <cell r="A7">
            <v>7502211784197</v>
          </cell>
          <cell r="V7" t="str">
            <v>N</v>
          </cell>
          <cell r="Y7" t="str">
            <v>N</v>
          </cell>
        </row>
        <row r="8">
          <cell r="A8">
            <v>785120754858</v>
          </cell>
          <cell r="V8" t="str">
            <v>N</v>
          </cell>
          <cell r="Y8" t="str">
            <v>N</v>
          </cell>
        </row>
        <row r="9">
          <cell r="A9">
            <v>7503003738732</v>
          </cell>
          <cell r="V9" t="str">
            <v>N</v>
          </cell>
          <cell r="Y9" t="str">
            <v>N</v>
          </cell>
        </row>
        <row r="10">
          <cell r="A10">
            <v>785120754810</v>
          </cell>
          <cell r="V10" t="str">
            <v>N</v>
          </cell>
          <cell r="Y10" t="str">
            <v>N</v>
          </cell>
        </row>
        <row r="11">
          <cell r="A11">
            <v>7501249600813</v>
          </cell>
          <cell r="V11" t="str">
            <v>N</v>
          </cell>
          <cell r="Y11" t="str">
            <v>N</v>
          </cell>
        </row>
        <row r="12">
          <cell r="A12">
            <v>7501563310436</v>
          </cell>
          <cell r="V12" t="str">
            <v>N</v>
          </cell>
          <cell r="Y12" t="str">
            <v>N</v>
          </cell>
        </row>
        <row r="13">
          <cell r="A13">
            <v>7502254000339</v>
          </cell>
          <cell r="V13" t="str">
            <v>N</v>
          </cell>
          <cell r="Y13" t="str">
            <v>N</v>
          </cell>
        </row>
        <row r="14">
          <cell r="A14">
            <v>7503004908714</v>
          </cell>
          <cell r="V14" t="str">
            <v>N</v>
          </cell>
          <cell r="Y14" t="str">
            <v>N</v>
          </cell>
        </row>
        <row r="15">
          <cell r="A15">
            <v>7501349024151</v>
          </cell>
          <cell r="V15" t="str">
            <v>N</v>
          </cell>
          <cell r="Y15" t="str">
            <v>N</v>
          </cell>
        </row>
        <row r="16">
          <cell r="A16">
            <v>7501349021440</v>
          </cell>
          <cell r="V16" t="str">
            <v>N</v>
          </cell>
          <cell r="Y16" t="str">
            <v>N</v>
          </cell>
        </row>
        <row r="17">
          <cell r="A17">
            <v>7501349020009</v>
          </cell>
          <cell r="V17" t="str">
            <v>N</v>
          </cell>
          <cell r="Y17" t="str">
            <v>N</v>
          </cell>
        </row>
        <row r="18">
          <cell r="A18">
            <v>7501349026377</v>
          </cell>
          <cell r="V18" t="str">
            <v>N</v>
          </cell>
          <cell r="Y18" t="str">
            <v>N</v>
          </cell>
        </row>
        <row r="19">
          <cell r="A19">
            <v>7501349021570</v>
          </cell>
          <cell r="V19" t="str">
            <v>N</v>
          </cell>
          <cell r="Y19" t="str">
            <v>N</v>
          </cell>
        </row>
        <row r="20">
          <cell r="A20">
            <v>7501349022140</v>
          </cell>
          <cell r="V20" t="str">
            <v>N</v>
          </cell>
          <cell r="Y20" t="str">
            <v>N</v>
          </cell>
        </row>
        <row r="21">
          <cell r="A21">
            <v>7501277091034</v>
          </cell>
          <cell r="V21" t="str">
            <v>N</v>
          </cell>
          <cell r="Y21" t="str">
            <v>N</v>
          </cell>
        </row>
        <row r="22">
          <cell r="A22">
            <v>7502216803862</v>
          </cell>
          <cell r="V22" t="str">
            <v>N</v>
          </cell>
          <cell r="Y22" t="str">
            <v>N</v>
          </cell>
        </row>
        <row r="23">
          <cell r="A23">
            <v>7502216792760</v>
          </cell>
          <cell r="V23" t="str">
            <v>N</v>
          </cell>
          <cell r="Y23" t="str">
            <v>N</v>
          </cell>
        </row>
        <row r="24">
          <cell r="A24">
            <v>7502216804814</v>
          </cell>
          <cell r="V24" t="str">
            <v>N</v>
          </cell>
          <cell r="Y24" t="str">
            <v>N</v>
          </cell>
        </row>
        <row r="25">
          <cell r="A25">
            <v>7501573908104</v>
          </cell>
          <cell r="V25" t="str">
            <v>N</v>
          </cell>
          <cell r="Y25" t="str">
            <v>N</v>
          </cell>
        </row>
        <row r="26">
          <cell r="A26">
            <v>7501573900542</v>
          </cell>
          <cell r="V26" t="str">
            <v>N</v>
          </cell>
          <cell r="Y26" t="str">
            <v>N</v>
          </cell>
        </row>
        <row r="27">
          <cell r="A27">
            <v>7501573900016</v>
          </cell>
          <cell r="V27" t="str">
            <v>N</v>
          </cell>
          <cell r="Y27" t="str">
            <v>N</v>
          </cell>
        </row>
        <row r="28">
          <cell r="A28">
            <v>7501573900252</v>
          </cell>
          <cell r="V28" t="str">
            <v>N</v>
          </cell>
          <cell r="Y28" t="str">
            <v>N</v>
          </cell>
        </row>
        <row r="29">
          <cell r="A29">
            <v>7501537102111</v>
          </cell>
          <cell r="V29" t="str">
            <v>N</v>
          </cell>
          <cell r="Y29" t="str">
            <v>N</v>
          </cell>
        </row>
        <row r="30">
          <cell r="A30">
            <v>7501590222214</v>
          </cell>
          <cell r="V30" t="str">
            <v>N</v>
          </cell>
          <cell r="Y30" t="str">
            <v>N</v>
          </cell>
        </row>
        <row r="31">
          <cell r="A31">
            <v>7501590282829</v>
          </cell>
          <cell r="V31" t="str">
            <v>S</v>
          </cell>
          <cell r="Y31" t="str">
            <v>N</v>
          </cell>
        </row>
        <row r="32">
          <cell r="A32">
            <v>7501590283956</v>
          </cell>
          <cell r="V32" t="str">
            <v>S</v>
          </cell>
          <cell r="Y32" t="str">
            <v>N</v>
          </cell>
        </row>
        <row r="33">
          <cell r="A33">
            <v>780083141585</v>
          </cell>
          <cell r="V33" t="str">
            <v>N</v>
          </cell>
          <cell r="Y33" t="str">
            <v>N</v>
          </cell>
        </row>
        <row r="34">
          <cell r="A34">
            <v>780083146818</v>
          </cell>
          <cell r="V34" t="str">
            <v>N</v>
          </cell>
          <cell r="Y34" t="str">
            <v>N</v>
          </cell>
        </row>
        <row r="35">
          <cell r="A35">
            <v>780083141066</v>
          </cell>
          <cell r="V35" t="str">
            <v>N</v>
          </cell>
          <cell r="Y35" t="str">
            <v>N</v>
          </cell>
        </row>
        <row r="36">
          <cell r="A36">
            <v>780083141929</v>
          </cell>
          <cell r="V36" t="str">
            <v>N</v>
          </cell>
          <cell r="Y36" t="str">
            <v>N</v>
          </cell>
        </row>
        <row r="37">
          <cell r="A37">
            <v>7502214983375</v>
          </cell>
          <cell r="V37" t="str">
            <v>N</v>
          </cell>
          <cell r="Y37" t="str">
            <v>N</v>
          </cell>
        </row>
        <row r="38">
          <cell r="A38">
            <v>75049805</v>
          </cell>
          <cell r="V38" t="str">
            <v>N</v>
          </cell>
          <cell r="Y38" t="str">
            <v>N</v>
          </cell>
        </row>
        <row r="39">
          <cell r="A39">
            <v>7501842952890</v>
          </cell>
          <cell r="V39" t="str">
            <v>N</v>
          </cell>
          <cell r="Y39" t="str">
            <v>N</v>
          </cell>
        </row>
        <row r="40">
          <cell r="A40">
            <v>7501842900884</v>
          </cell>
          <cell r="V40" t="str">
            <v>N</v>
          </cell>
          <cell r="Y40" t="str">
            <v>N</v>
          </cell>
        </row>
        <row r="41">
          <cell r="A41">
            <v>7501842901010</v>
          </cell>
          <cell r="V41" t="str">
            <v>N</v>
          </cell>
          <cell r="Y41" t="str">
            <v>N</v>
          </cell>
        </row>
        <row r="42">
          <cell r="A42">
            <v>7501385490521</v>
          </cell>
          <cell r="V42" t="str">
            <v>N</v>
          </cell>
          <cell r="Y42" t="str">
            <v>N</v>
          </cell>
        </row>
        <row r="43">
          <cell r="A43">
            <v>7501385490316</v>
          </cell>
          <cell r="V43" t="str">
            <v>N</v>
          </cell>
          <cell r="Y43" t="str">
            <v>N</v>
          </cell>
        </row>
        <row r="44">
          <cell r="A44">
            <v>7506022315281</v>
          </cell>
          <cell r="V44" t="str">
            <v>S</v>
          </cell>
          <cell r="Y44" t="str">
            <v>N</v>
          </cell>
        </row>
        <row r="45">
          <cell r="A45">
            <v>7502225092486</v>
          </cell>
          <cell r="V45" t="str">
            <v>N</v>
          </cell>
          <cell r="Y45" t="str">
            <v>N</v>
          </cell>
        </row>
        <row r="46">
          <cell r="A46">
            <v>7501836000828</v>
          </cell>
          <cell r="V46" t="str">
            <v>N</v>
          </cell>
          <cell r="Y46" t="str">
            <v>N</v>
          </cell>
        </row>
        <row r="47">
          <cell r="A47">
            <v>7501836000118</v>
          </cell>
          <cell r="V47" t="str">
            <v>N</v>
          </cell>
          <cell r="Y47" t="str">
            <v>N</v>
          </cell>
        </row>
        <row r="48">
          <cell r="A48">
            <v>7501836000927</v>
          </cell>
          <cell r="V48" t="str">
            <v>N</v>
          </cell>
          <cell r="Y48" t="str">
            <v>N</v>
          </cell>
        </row>
        <row r="49">
          <cell r="A49">
            <v>7502211789345</v>
          </cell>
          <cell r="V49" t="str">
            <v>N</v>
          </cell>
          <cell r="Y49" t="str">
            <v>N</v>
          </cell>
        </row>
        <row r="50">
          <cell r="A50">
            <v>7502211781615</v>
          </cell>
          <cell r="V50" t="str">
            <v>N</v>
          </cell>
          <cell r="Y50" t="str">
            <v>N</v>
          </cell>
        </row>
        <row r="51">
          <cell r="A51">
            <v>7502211783954</v>
          </cell>
          <cell r="V51" t="str">
            <v>N</v>
          </cell>
          <cell r="Y51" t="str">
            <v>N</v>
          </cell>
        </row>
        <row r="52">
          <cell r="A52">
            <v>7502211783275</v>
          </cell>
          <cell r="V52" t="str">
            <v>N</v>
          </cell>
          <cell r="Y52" t="str">
            <v>N</v>
          </cell>
        </row>
        <row r="53">
          <cell r="A53">
            <v>7502009740916</v>
          </cell>
          <cell r="V53" t="str">
            <v>N</v>
          </cell>
          <cell r="Y53" t="str">
            <v>N</v>
          </cell>
        </row>
        <row r="54">
          <cell r="A54">
            <v>7502009740480</v>
          </cell>
          <cell r="V54" t="str">
            <v>N</v>
          </cell>
          <cell r="Y54" t="str">
            <v>N</v>
          </cell>
        </row>
        <row r="55">
          <cell r="A55">
            <v>7502009740244</v>
          </cell>
          <cell r="V55" t="str">
            <v>N</v>
          </cell>
          <cell r="Y55" t="str">
            <v>N</v>
          </cell>
        </row>
        <row r="56">
          <cell r="A56">
            <v>7502009747052</v>
          </cell>
          <cell r="V56" t="str">
            <v>N</v>
          </cell>
          <cell r="Y56" t="str">
            <v>N</v>
          </cell>
        </row>
        <row r="57">
          <cell r="A57">
            <v>7502009745546</v>
          </cell>
          <cell r="V57" t="str">
            <v>N</v>
          </cell>
          <cell r="Y57" t="str">
            <v>N</v>
          </cell>
        </row>
        <row r="58">
          <cell r="A58">
            <v>7502009741289</v>
          </cell>
          <cell r="V58" t="str">
            <v>N</v>
          </cell>
          <cell r="Y58" t="str">
            <v>N</v>
          </cell>
        </row>
        <row r="59">
          <cell r="A59">
            <v>7502009745836</v>
          </cell>
          <cell r="V59" t="str">
            <v>N</v>
          </cell>
          <cell r="Y59" t="str">
            <v>N</v>
          </cell>
        </row>
        <row r="60">
          <cell r="A60">
            <v>7503000422191</v>
          </cell>
          <cell r="V60" t="str">
            <v>N</v>
          </cell>
          <cell r="Y60" t="str">
            <v>N</v>
          </cell>
        </row>
        <row r="61">
          <cell r="A61">
            <v>7502009745539</v>
          </cell>
          <cell r="V61" t="str">
            <v>N</v>
          </cell>
          <cell r="Y61" t="str">
            <v>N</v>
          </cell>
        </row>
        <row r="62">
          <cell r="A62">
            <v>7502009744891</v>
          </cell>
          <cell r="V62" t="str">
            <v>N</v>
          </cell>
          <cell r="Y62" t="str">
            <v>N</v>
          </cell>
        </row>
        <row r="63">
          <cell r="A63">
            <v>7502009740497</v>
          </cell>
          <cell r="V63" t="str">
            <v>N</v>
          </cell>
          <cell r="Y63" t="str">
            <v>N</v>
          </cell>
        </row>
        <row r="64">
          <cell r="A64">
            <v>7502009745997</v>
          </cell>
          <cell r="V64" t="str">
            <v>N</v>
          </cell>
          <cell r="Y64" t="str">
            <v>N</v>
          </cell>
        </row>
        <row r="65">
          <cell r="A65">
            <v>7502009745478</v>
          </cell>
          <cell r="V65" t="str">
            <v>N</v>
          </cell>
          <cell r="Y65" t="str">
            <v>N</v>
          </cell>
        </row>
        <row r="66">
          <cell r="A66">
            <v>7502009747236</v>
          </cell>
          <cell r="V66" t="str">
            <v>N</v>
          </cell>
          <cell r="Y66" t="str">
            <v>N</v>
          </cell>
        </row>
        <row r="67">
          <cell r="A67">
            <v>7502009741753</v>
          </cell>
          <cell r="V67" t="str">
            <v>N</v>
          </cell>
          <cell r="Y67" t="str">
            <v>N</v>
          </cell>
        </row>
        <row r="68">
          <cell r="A68">
            <v>7502009745485</v>
          </cell>
          <cell r="V68" t="str">
            <v>N</v>
          </cell>
          <cell r="Y68" t="str">
            <v>N</v>
          </cell>
        </row>
        <row r="69">
          <cell r="A69">
            <v>7502009744358</v>
          </cell>
          <cell r="V69" t="str">
            <v>N</v>
          </cell>
          <cell r="Y69" t="str">
            <v>N</v>
          </cell>
        </row>
        <row r="70">
          <cell r="A70">
            <v>7502009745584</v>
          </cell>
          <cell r="V70" t="str">
            <v>N</v>
          </cell>
          <cell r="Y70" t="str">
            <v>N</v>
          </cell>
        </row>
        <row r="71">
          <cell r="A71">
            <v>7502009741050</v>
          </cell>
          <cell r="V71" t="str">
            <v>N</v>
          </cell>
          <cell r="Y71" t="str">
            <v>N</v>
          </cell>
        </row>
        <row r="72">
          <cell r="A72">
            <v>785120754681</v>
          </cell>
          <cell r="V72" t="str">
            <v>N</v>
          </cell>
          <cell r="Y72" t="str">
            <v>N</v>
          </cell>
        </row>
        <row r="73">
          <cell r="A73">
            <v>785118754235</v>
          </cell>
          <cell r="V73" t="str">
            <v>N</v>
          </cell>
          <cell r="Y73" t="str">
            <v>N</v>
          </cell>
        </row>
        <row r="74">
          <cell r="A74">
            <v>785118754204</v>
          </cell>
          <cell r="V74" t="str">
            <v>N</v>
          </cell>
          <cell r="Y74" t="str">
            <v>N</v>
          </cell>
        </row>
        <row r="75">
          <cell r="A75">
            <v>785118753962</v>
          </cell>
          <cell r="V75" t="str">
            <v>N</v>
          </cell>
          <cell r="Y75" t="str">
            <v>N</v>
          </cell>
        </row>
        <row r="76">
          <cell r="A76">
            <v>785118752965</v>
          </cell>
          <cell r="V76" t="str">
            <v>N</v>
          </cell>
          <cell r="Y76" t="str">
            <v>N</v>
          </cell>
        </row>
        <row r="77">
          <cell r="A77">
            <v>785118753818</v>
          </cell>
          <cell r="V77" t="str">
            <v>N</v>
          </cell>
          <cell r="Y77" t="str">
            <v>N</v>
          </cell>
        </row>
        <row r="78">
          <cell r="A78">
            <v>7501075714739</v>
          </cell>
          <cell r="V78" t="str">
            <v>N</v>
          </cell>
          <cell r="Y78" t="str">
            <v>N</v>
          </cell>
        </row>
        <row r="79">
          <cell r="A79">
            <v>7501075721164</v>
          </cell>
          <cell r="V79" t="str">
            <v>N</v>
          </cell>
          <cell r="Y79" t="str">
            <v>N</v>
          </cell>
        </row>
        <row r="80">
          <cell r="A80">
            <v>7501075717150</v>
          </cell>
          <cell r="V80" t="str">
            <v>N</v>
          </cell>
          <cell r="Y80" t="str">
            <v>N</v>
          </cell>
        </row>
        <row r="81">
          <cell r="A81">
            <v>7501075714135</v>
          </cell>
          <cell r="V81" t="str">
            <v>N</v>
          </cell>
          <cell r="Y81" t="str">
            <v>N</v>
          </cell>
        </row>
        <row r="82">
          <cell r="A82">
            <v>75006433</v>
          </cell>
          <cell r="V82" t="str">
            <v>N</v>
          </cell>
          <cell r="Y82" t="str">
            <v>N</v>
          </cell>
        </row>
        <row r="83">
          <cell r="A83">
            <v>7501075718119</v>
          </cell>
          <cell r="V83" t="str">
            <v>N</v>
          </cell>
          <cell r="Y83" t="str">
            <v>N</v>
          </cell>
        </row>
        <row r="84">
          <cell r="A84">
            <v>7501075723830</v>
          </cell>
          <cell r="V84" t="str">
            <v>N</v>
          </cell>
          <cell r="Y84" t="str">
            <v>N</v>
          </cell>
        </row>
        <row r="85">
          <cell r="A85">
            <v>7501075713190</v>
          </cell>
          <cell r="V85" t="str">
            <v>N</v>
          </cell>
          <cell r="Y85" t="str">
            <v>N</v>
          </cell>
        </row>
        <row r="86">
          <cell r="A86">
            <v>7501075713770</v>
          </cell>
          <cell r="V86" t="str">
            <v>N</v>
          </cell>
          <cell r="Y86" t="str">
            <v>N</v>
          </cell>
        </row>
        <row r="87">
          <cell r="A87">
            <v>7501075713183</v>
          </cell>
          <cell r="V87" t="str">
            <v>N</v>
          </cell>
          <cell r="Y87" t="str">
            <v>N</v>
          </cell>
        </row>
        <row r="88">
          <cell r="A88">
            <v>7501075721089</v>
          </cell>
          <cell r="V88" t="str">
            <v>N</v>
          </cell>
          <cell r="Y88" t="str">
            <v>N</v>
          </cell>
        </row>
        <row r="89">
          <cell r="A89">
            <v>7501075718676</v>
          </cell>
          <cell r="V89" t="str">
            <v>N</v>
          </cell>
          <cell r="Y89" t="str">
            <v>N</v>
          </cell>
        </row>
        <row r="90">
          <cell r="A90">
            <v>7501075713152</v>
          </cell>
          <cell r="V90" t="str">
            <v>N</v>
          </cell>
          <cell r="Y90" t="str">
            <v>N</v>
          </cell>
        </row>
        <row r="91">
          <cell r="A91">
            <v>7501075718041</v>
          </cell>
          <cell r="V91" t="str">
            <v>N</v>
          </cell>
          <cell r="Y91" t="str">
            <v>N</v>
          </cell>
        </row>
        <row r="92">
          <cell r="A92">
            <v>7501075721041</v>
          </cell>
          <cell r="V92" t="str">
            <v>N</v>
          </cell>
          <cell r="Y92" t="str">
            <v>N</v>
          </cell>
        </row>
        <row r="93">
          <cell r="A93">
            <v>7501075718546</v>
          </cell>
          <cell r="V93" t="str">
            <v>N</v>
          </cell>
          <cell r="Y93" t="str">
            <v>N</v>
          </cell>
        </row>
        <row r="94">
          <cell r="A94">
            <v>7501130713868</v>
          </cell>
          <cell r="V94" t="str">
            <v>S</v>
          </cell>
          <cell r="Y94" t="str">
            <v>N</v>
          </cell>
        </row>
        <row r="95">
          <cell r="A95">
            <v>7503008344211</v>
          </cell>
          <cell r="V95" t="str">
            <v>N</v>
          </cell>
          <cell r="Y95" t="str">
            <v>N</v>
          </cell>
        </row>
        <row r="96">
          <cell r="A96">
            <v>7503008344914</v>
          </cell>
          <cell r="V96" t="str">
            <v>N</v>
          </cell>
          <cell r="Y96" t="str">
            <v>N</v>
          </cell>
        </row>
        <row r="97">
          <cell r="A97">
            <v>7503008344488</v>
          </cell>
          <cell r="V97" t="str">
            <v>S</v>
          </cell>
          <cell r="Y97" t="str">
            <v>N</v>
          </cell>
        </row>
        <row r="98">
          <cell r="A98">
            <v>7503008344730</v>
          </cell>
          <cell r="V98" t="str">
            <v>N</v>
          </cell>
          <cell r="Y98" t="str">
            <v>N</v>
          </cell>
        </row>
        <row r="99">
          <cell r="A99">
            <v>7503008344716</v>
          </cell>
          <cell r="V99" t="str">
            <v>N</v>
          </cell>
          <cell r="Y99" t="str">
            <v>N</v>
          </cell>
        </row>
        <row r="100">
          <cell r="A100">
            <v>7501384541200</v>
          </cell>
          <cell r="V100" t="str">
            <v>N</v>
          </cell>
          <cell r="Y100" t="str">
            <v>N</v>
          </cell>
        </row>
        <row r="101">
          <cell r="A101">
            <v>7501109764761</v>
          </cell>
          <cell r="V101" t="str">
            <v>N</v>
          </cell>
          <cell r="Y101" t="str">
            <v>N</v>
          </cell>
        </row>
        <row r="102">
          <cell r="A102">
            <v>7502227871676</v>
          </cell>
          <cell r="V102" t="str">
            <v>N</v>
          </cell>
          <cell r="Y102" t="str">
            <v>N</v>
          </cell>
        </row>
        <row r="103">
          <cell r="A103">
            <v>7502227874424</v>
          </cell>
          <cell r="V103" t="str">
            <v>N</v>
          </cell>
          <cell r="Y103" t="str">
            <v>N</v>
          </cell>
        </row>
        <row r="104">
          <cell r="A104">
            <v>7502227876015</v>
          </cell>
          <cell r="V104" t="str">
            <v>N</v>
          </cell>
          <cell r="Y104" t="str">
            <v>N</v>
          </cell>
        </row>
        <row r="105">
          <cell r="A105">
            <v>7502227874202</v>
          </cell>
          <cell r="V105" t="str">
            <v>N</v>
          </cell>
          <cell r="Y105" t="str">
            <v>N</v>
          </cell>
        </row>
        <row r="106">
          <cell r="A106">
            <v>7502003388107</v>
          </cell>
          <cell r="V106" t="str">
            <v>N</v>
          </cell>
          <cell r="Y106" t="str">
            <v>N</v>
          </cell>
        </row>
        <row r="107">
          <cell r="A107">
            <v>7502003388077</v>
          </cell>
          <cell r="V107" t="str">
            <v>N</v>
          </cell>
          <cell r="Y107" t="str">
            <v>N</v>
          </cell>
        </row>
        <row r="108">
          <cell r="A108">
            <v>7502001165533</v>
          </cell>
          <cell r="V108" t="str">
            <v>N</v>
          </cell>
          <cell r="Y108" t="str">
            <v>N</v>
          </cell>
        </row>
        <row r="109">
          <cell r="A109">
            <v>7502001165434</v>
          </cell>
          <cell r="V109" t="str">
            <v>N</v>
          </cell>
          <cell r="Y109" t="str">
            <v>N</v>
          </cell>
        </row>
        <row r="110">
          <cell r="A110">
            <v>7502001169289</v>
          </cell>
          <cell r="V110" t="str">
            <v>N</v>
          </cell>
          <cell r="Y110" t="str">
            <v>N</v>
          </cell>
        </row>
        <row r="111">
          <cell r="A111">
            <v>7502001160019</v>
          </cell>
          <cell r="V111" t="str">
            <v>N</v>
          </cell>
          <cell r="Y111" t="str">
            <v>N</v>
          </cell>
        </row>
        <row r="112">
          <cell r="A112">
            <v>7502001163072</v>
          </cell>
          <cell r="V112" t="str">
            <v>N</v>
          </cell>
          <cell r="Y112" t="str">
            <v>N</v>
          </cell>
        </row>
        <row r="113">
          <cell r="A113">
            <v>7502001165397</v>
          </cell>
          <cell r="V113" t="str">
            <v>N</v>
          </cell>
          <cell r="Y113" t="str">
            <v>N</v>
          </cell>
        </row>
        <row r="114">
          <cell r="A114">
            <v>7502001165526</v>
          </cell>
          <cell r="V114" t="str">
            <v>N</v>
          </cell>
          <cell r="Y114" t="str">
            <v>N</v>
          </cell>
        </row>
        <row r="115">
          <cell r="A115">
            <v>7502001165045</v>
          </cell>
          <cell r="V115" t="str">
            <v>N</v>
          </cell>
          <cell r="Y115" t="str">
            <v>N</v>
          </cell>
        </row>
        <row r="116">
          <cell r="A116">
            <v>7502001162426</v>
          </cell>
          <cell r="V116" t="str">
            <v>N</v>
          </cell>
          <cell r="Y116" t="str">
            <v>N</v>
          </cell>
        </row>
        <row r="117">
          <cell r="A117">
            <v>7503002772508</v>
          </cell>
          <cell r="V117" t="str">
            <v>N</v>
          </cell>
          <cell r="Y117" t="str">
            <v>N</v>
          </cell>
        </row>
        <row r="118">
          <cell r="A118">
            <v>7502216792555</v>
          </cell>
          <cell r="V118" t="str">
            <v>N</v>
          </cell>
          <cell r="Y118" t="str">
            <v>N</v>
          </cell>
        </row>
        <row r="119">
          <cell r="A119">
            <v>7502216794993</v>
          </cell>
          <cell r="V119" t="str">
            <v>N</v>
          </cell>
          <cell r="Y119" t="str">
            <v>N</v>
          </cell>
        </row>
        <row r="120">
          <cell r="A120">
            <v>7502216803244</v>
          </cell>
          <cell r="V120" t="str">
            <v>N</v>
          </cell>
          <cell r="Y120" t="str">
            <v>N</v>
          </cell>
        </row>
        <row r="121">
          <cell r="A121">
            <v>7502216802889</v>
          </cell>
          <cell r="V121" t="str">
            <v>N</v>
          </cell>
          <cell r="Y121" t="str">
            <v>N</v>
          </cell>
        </row>
        <row r="122">
          <cell r="A122">
            <v>7503001007168</v>
          </cell>
          <cell r="V122" t="str">
            <v>N</v>
          </cell>
          <cell r="Y122" t="str">
            <v>N</v>
          </cell>
        </row>
        <row r="123">
          <cell r="A123">
            <v>7502009740213</v>
          </cell>
          <cell r="V123" t="str">
            <v>N</v>
          </cell>
          <cell r="Y123" t="str">
            <v>N</v>
          </cell>
        </row>
        <row r="124">
          <cell r="A124">
            <v>821998000434</v>
          </cell>
          <cell r="V124" t="str">
            <v>N</v>
          </cell>
          <cell r="Y124" t="str">
            <v>N</v>
          </cell>
        </row>
        <row r="125">
          <cell r="A125">
            <v>7503020089077</v>
          </cell>
          <cell r="V125" t="str">
            <v>S</v>
          </cell>
          <cell r="Y125" t="str">
            <v>N</v>
          </cell>
        </row>
        <row r="126">
          <cell r="A126">
            <v>7503003738961</v>
          </cell>
          <cell r="V126" t="str">
            <v>N</v>
          </cell>
          <cell r="Y126" t="str">
            <v>N</v>
          </cell>
        </row>
        <row r="127">
          <cell r="A127">
            <v>7502213042738</v>
          </cell>
          <cell r="V127" t="str">
            <v>N</v>
          </cell>
          <cell r="Y127" t="str">
            <v>N</v>
          </cell>
        </row>
        <row r="128">
          <cell r="A128">
            <v>785118752866</v>
          </cell>
          <cell r="V128" t="str">
            <v>N</v>
          </cell>
          <cell r="Y128" t="str">
            <v>N</v>
          </cell>
        </row>
        <row r="129">
          <cell r="A129">
            <v>81</v>
          </cell>
          <cell r="V129" t="str">
            <v>S</v>
          </cell>
          <cell r="Y129" t="str">
            <v>N</v>
          </cell>
        </row>
        <row r="130">
          <cell r="A130">
            <v>821998000250</v>
          </cell>
          <cell r="V130" t="str">
            <v>N</v>
          </cell>
          <cell r="Y130" t="str">
            <v>N</v>
          </cell>
        </row>
        <row r="131">
          <cell r="A131">
            <v>7502227426449</v>
          </cell>
          <cell r="V131" t="str">
            <v>N</v>
          </cell>
          <cell r="Y131" t="str">
            <v>N</v>
          </cell>
        </row>
        <row r="132">
          <cell r="A132">
            <v>7502009740206</v>
          </cell>
          <cell r="V132" t="str">
            <v>N</v>
          </cell>
          <cell r="Y132" t="str">
            <v>N</v>
          </cell>
        </row>
        <row r="133">
          <cell r="A133">
            <v>780083140212</v>
          </cell>
          <cell r="V133" t="str">
            <v>N</v>
          </cell>
          <cell r="Y133" t="str">
            <v>N</v>
          </cell>
        </row>
        <row r="134">
          <cell r="A134">
            <v>780083140731</v>
          </cell>
          <cell r="V134" t="str">
            <v>N</v>
          </cell>
          <cell r="Y134" t="str">
            <v>N</v>
          </cell>
        </row>
        <row r="135">
          <cell r="A135">
            <v>7502001163232</v>
          </cell>
          <cell r="V135" t="str">
            <v>N</v>
          </cell>
          <cell r="Y135" t="str">
            <v>N</v>
          </cell>
        </row>
        <row r="136">
          <cell r="A136">
            <v>7503008344785</v>
          </cell>
          <cell r="V136" t="str">
            <v>N</v>
          </cell>
          <cell r="Y136" t="str">
            <v>N</v>
          </cell>
        </row>
        <row r="137">
          <cell r="A137">
            <v>7502003381672</v>
          </cell>
          <cell r="V137" t="str">
            <v>N</v>
          </cell>
          <cell r="Y137" t="str">
            <v>N</v>
          </cell>
        </row>
        <row r="138">
          <cell r="A138">
            <v>7501825302599</v>
          </cell>
          <cell r="V138" t="str">
            <v>N</v>
          </cell>
          <cell r="Y138" t="str">
            <v>N</v>
          </cell>
        </row>
        <row r="139">
          <cell r="A139">
            <v>7502211789277</v>
          </cell>
          <cell r="V139" t="str">
            <v>N</v>
          </cell>
          <cell r="Y139" t="str">
            <v>N</v>
          </cell>
        </row>
        <row r="140">
          <cell r="A140">
            <v>7502216806481</v>
          </cell>
          <cell r="V140" t="str">
            <v>N</v>
          </cell>
          <cell r="Y140" t="str">
            <v>N</v>
          </cell>
        </row>
        <row r="141">
          <cell r="A141">
            <v>7502216797376</v>
          </cell>
          <cell r="V141" t="str">
            <v>N</v>
          </cell>
          <cell r="Y141" t="str">
            <v>N</v>
          </cell>
        </row>
        <row r="142">
          <cell r="A142">
            <v>7501825300366</v>
          </cell>
          <cell r="V142" t="str">
            <v>N</v>
          </cell>
          <cell r="Y142" t="str">
            <v>N</v>
          </cell>
        </row>
        <row r="143">
          <cell r="A143">
            <v>7501573900153</v>
          </cell>
          <cell r="V143" t="str">
            <v>N</v>
          </cell>
          <cell r="Y143" t="str">
            <v>N</v>
          </cell>
        </row>
        <row r="144">
          <cell r="A144">
            <v>7502009740763</v>
          </cell>
          <cell r="V144" t="str">
            <v>N</v>
          </cell>
          <cell r="Y144" t="str">
            <v>N</v>
          </cell>
        </row>
        <row r="145">
          <cell r="A145">
            <v>7502216796331</v>
          </cell>
          <cell r="V145" t="str">
            <v>N</v>
          </cell>
          <cell r="Y145" t="str">
            <v>N</v>
          </cell>
        </row>
        <row r="146">
          <cell r="A146">
            <v>7502001165489</v>
          </cell>
          <cell r="V146" t="str">
            <v>N</v>
          </cell>
          <cell r="Y146" t="str">
            <v>N</v>
          </cell>
        </row>
        <row r="147">
          <cell r="A147">
            <v>4015630006779</v>
          </cell>
          <cell r="V147" t="str">
            <v>S</v>
          </cell>
          <cell r="Y147" t="str">
            <v>N</v>
          </cell>
        </row>
        <row r="148">
          <cell r="A148">
            <v>7501075710250</v>
          </cell>
          <cell r="V148" t="str">
            <v>N</v>
          </cell>
          <cell r="Y148" t="str">
            <v>N</v>
          </cell>
        </row>
        <row r="149">
          <cell r="A149">
            <v>7501165003040</v>
          </cell>
          <cell r="V149" t="str">
            <v>N</v>
          </cell>
          <cell r="Y149" t="str">
            <v>N</v>
          </cell>
        </row>
        <row r="150">
          <cell r="A150">
            <v>7502211780359</v>
          </cell>
          <cell r="V150" t="str">
            <v>N</v>
          </cell>
          <cell r="Y150" t="str">
            <v>N</v>
          </cell>
        </row>
        <row r="151">
          <cell r="A151">
            <v>7501400800564</v>
          </cell>
          <cell r="V151" t="str">
            <v>N</v>
          </cell>
          <cell r="Y151" t="str">
            <v>N</v>
          </cell>
        </row>
        <row r="152">
          <cell r="A152">
            <v>7502208891471</v>
          </cell>
          <cell r="V152" t="str">
            <v>N</v>
          </cell>
          <cell r="Y152" t="str">
            <v>N</v>
          </cell>
        </row>
        <row r="153">
          <cell r="A153">
            <v>7502009744013</v>
          </cell>
          <cell r="V153" t="str">
            <v>N</v>
          </cell>
          <cell r="Y153" t="str">
            <v>N</v>
          </cell>
        </row>
        <row r="154">
          <cell r="A154">
            <v>7502227425022</v>
          </cell>
          <cell r="V154" t="str">
            <v>N</v>
          </cell>
          <cell r="Y154" t="str">
            <v>N</v>
          </cell>
        </row>
        <row r="155">
          <cell r="A155">
            <v>650240013805</v>
          </cell>
          <cell r="V155" t="str">
            <v>N</v>
          </cell>
          <cell r="Y155" t="str">
            <v>N</v>
          </cell>
        </row>
        <row r="156">
          <cell r="A156">
            <v>7501008443026</v>
          </cell>
          <cell r="V156" t="str">
            <v>N</v>
          </cell>
          <cell r="Y156" t="str">
            <v>N</v>
          </cell>
        </row>
        <row r="157">
          <cell r="A157">
            <v>7501075710113</v>
          </cell>
          <cell r="V157" t="str">
            <v>N</v>
          </cell>
          <cell r="Y157" t="str">
            <v>N</v>
          </cell>
        </row>
        <row r="158">
          <cell r="A158">
            <v>7501349012011</v>
          </cell>
          <cell r="V158" t="str">
            <v>N</v>
          </cell>
          <cell r="Y158" t="str">
            <v>N</v>
          </cell>
        </row>
        <row r="159">
          <cell r="A159">
            <v>7501349021488</v>
          </cell>
          <cell r="V159" t="str">
            <v>N</v>
          </cell>
          <cell r="Y159" t="str">
            <v>N</v>
          </cell>
        </row>
        <row r="160">
          <cell r="A160">
            <v>7501349021594</v>
          </cell>
          <cell r="V160" t="str">
            <v>N</v>
          </cell>
          <cell r="Y160" t="str">
            <v>N</v>
          </cell>
        </row>
        <row r="161">
          <cell r="A161">
            <v>780083140922</v>
          </cell>
          <cell r="V161" t="str">
            <v>N</v>
          </cell>
          <cell r="Y161" t="str">
            <v>N</v>
          </cell>
        </row>
        <row r="162">
          <cell r="A162">
            <v>7501075721072</v>
          </cell>
          <cell r="V162" t="str">
            <v>N</v>
          </cell>
          <cell r="Y162" t="str">
            <v>N</v>
          </cell>
        </row>
        <row r="163">
          <cell r="A163">
            <v>7501088509773</v>
          </cell>
          <cell r="V163" t="str">
            <v>N</v>
          </cell>
          <cell r="Y163" t="str">
            <v>N</v>
          </cell>
        </row>
        <row r="164">
          <cell r="A164">
            <v>7502253600714</v>
          </cell>
          <cell r="V164" t="str">
            <v>S</v>
          </cell>
          <cell r="Y164" t="str">
            <v>N</v>
          </cell>
        </row>
        <row r="165">
          <cell r="A165">
            <v>7501318673205</v>
          </cell>
          <cell r="V165" t="str">
            <v>N</v>
          </cell>
          <cell r="Y165" t="str">
            <v>N</v>
          </cell>
        </row>
        <row r="166">
          <cell r="A166">
            <v>7501318612655</v>
          </cell>
          <cell r="V166" t="str">
            <v>N</v>
          </cell>
          <cell r="Y166" t="str">
            <v>N</v>
          </cell>
        </row>
        <row r="167">
          <cell r="A167">
            <v>7502001162976</v>
          </cell>
          <cell r="V167" t="str">
            <v>N</v>
          </cell>
          <cell r="Y167" t="str">
            <v>N</v>
          </cell>
        </row>
        <row r="168">
          <cell r="A168">
            <v>7503000422283</v>
          </cell>
          <cell r="V168" t="str">
            <v>N</v>
          </cell>
          <cell r="Y168" t="str">
            <v>N</v>
          </cell>
        </row>
        <row r="169">
          <cell r="A169">
            <v>7502001165564</v>
          </cell>
          <cell r="V169" t="str">
            <v>N</v>
          </cell>
          <cell r="Y169" t="str">
            <v>N</v>
          </cell>
        </row>
        <row r="170">
          <cell r="A170">
            <v>7502001166066</v>
          </cell>
          <cell r="V170" t="str">
            <v>N</v>
          </cell>
          <cell r="Y170" t="str">
            <v>N</v>
          </cell>
        </row>
        <row r="171">
          <cell r="A171">
            <v>73796712105</v>
          </cell>
          <cell r="V171" t="str">
            <v>S</v>
          </cell>
          <cell r="Y171" t="str">
            <v>N</v>
          </cell>
        </row>
        <row r="172">
          <cell r="A172">
            <v>73796612320</v>
          </cell>
          <cell r="V172" t="str">
            <v>S</v>
          </cell>
          <cell r="Y172" t="str">
            <v>N</v>
          </cell>
        </row>
        <row r="173">
          <cell r="A173">
            <v>7501349025288</v>
          </cell>
          <cell r="V173" t="str">
            <v>N</v>
          </cell>
          <cell r="Y173" t="str">
            <v>N</v>
          </cell>
        </row>
        <row r="174">
          <cell r="A174">
            <v>7501349025271</v>
          </cell>
          <cell r="V174" t="str">
            <v>N</v>
          </cell>
          <cell r="Y174" t="str">
            <v>N</v>
          </cell>
        </row>
        <row r="175">
          <cell r="A175">
            <v>7501008427347</v>
          </cell>
          <cell r="V175" t="str">
            <v>N</v>
          </cell>
          <cell r="Y175" t="str">
            <v>N</v>
          </cell>
        </row>
        <row r="176">
          <cell r="A176">
            <v>650240007651</v>
          </cell>
          <cell r="V176" t="str">
            <v>N</v>
          </cell>
          <cell r="Y176" t="str">
            <v>N</v>
          </cell>
        </row>
        <row r="177">
          <cell r="A177">
            <v>7501573900535</v>
          </cell>
          <cell r="V177" t="str">
            <v>N</v>
          </cell>
          <cell r="Y177" t="str">
            <v>N</v>
          </cell>
        </row>
        <row r="178">
          <cell r="A178">
            <v>7501573900115</v>
          </cell>
          <cell r="V178" t="str">
            <v>N</v>
          </cell>
          <cell r="Y178" t="str">
            <v>N</v>
          </cell>
        </row>
        <row r="179">
          <cell r="A179">
            <v>7501573900177</v>
          </cell>
          <cell r="V179" t="str">
            <v>N</v>
          </cell>
          <cell r="Y179" t="str">
            <v>N</v>
          </cell>
        </row>
        <row r="180">
          <cell r="A180">
            <v>7502001165496</v>
          </cell>
          <cell r="V180" t="str">
            <v>N</v>
          </cell>
          <cell r="Y180" t="str">
            <v>N</v>
          </cell>
        </row>
        <row r="181">
          <cell r="A181">
            <v>7501008433515</v>
          </cell>
          <cell r="V181" t="str">
            <v>N</v>
          </cell>
          <cell r="Y181" t="str">
            <v>N</v>
          </cell>
        </row>
        <row r="182">
          <cell r="A182">
            <v>7502216792579</v>
          </cell>
          <cell r="V182" t="str">
            <v>N</v>
          </cell>
          <cell r="Y182" t="str">
            <v>N</v>
          </cell>
        </row>
        <row r="183">
          <cell r="A183">
            <v>7502009745126</v>
          </cell>
          <cell r="V183" t="str">
            <v>N</v>
          </cell>
          <cell r="Y183" t="str">
            <v>N</v>
          </cell>
        </row>
        <row r="184">
          <cell r="A184">
            <v>7503000422627</v>
          </cell>
          <cell r="V184" t="str">
            <v>N</v>
          </cell>
          <cell r="Y184" t="str">
            <v>N</v>
          </cell>
        </row>
        <row r="185">
          <cell r="A185">
            <v>7501349022799</v>
          </cell>
          <cell r="V185" t="str">
            <v>N</v>
          </cell>
          <cell r="Y185" t="str">
            <v>N</v>
          </cell>
        </row>
        <row r="186">
          <cell r="A186">
            <v>7501537102982</v>
          </cell>
          <cell r="V186" t="str">
            <v>N</v>
          </cell>
          <cell r="Y186" t="str">
            <v>N</v>
          </cell>
        </row>
        <row r="187">
          <cell r="A187">
            <v>7502208892355</v>
          </cell>
          <cell r="V187" t="str">
            <v>N</v>
          </cell>
          <cell r="Y187" t="str">
            <v>N</v>
          </cell>
        </row>
        <row r="188">
          <cell r="A188">
            <v>7502225092479</v>
          </cell>
          <cell r="V188" t="str">
            <v>N</v>
          </cell>
          <cell r="Y188" t="str">
            <v>N</v>
          </cell>
        </row>
        <row r="189">
          <cell r="A189">
            <v>7501836002969</v>
          </cell>
          <cell r="V189" t="str">
            <v>N</v>
          </cell>
          <cell r="Y189" t="str">
            <v>N</v>
          </cell>
        </row>
        <row r="190">
          <cell r="A190">
            <v>7501075710786</v>
          </cell>
          <cell r="V190" t="str">
            <v>N</v>
          </cell>
          <cell r="Y190" t="str">
            <v>N</v>
          </cell>
        </row>
        <row r="191">
          <cell r="A191">
            <v>7502009740503</v>
          </cell>
          <cell r="V191" t="str">
            <v>N</v>
          </cell>
          <cell r="Y191" t="str">
            <v>N</v>
          </cell>
        </row>
        <row r="192">
          <cell r="A192">
            <v>7502009745140</v>
          </cell>
          <cell r="V192" t="str">
            <v>N</v>
          </cell>
          <cell r="Y192" t="str">
            <v>N</v>
          </cell>
        </row>
        <row r="193">
          <cell r="A193">
            <v>7501349021860</v>
          </cell>
          <cell r="V193" t="str">
            <v>N</v>
          </cell>
          <cell r="Y193" t="str">
            <v>N</v>
          </cell>
        </row>
        <row r="194">
          <cell r="A194">
            <v>7501349021044</v>
          </cell>
          <cell r="V194" t="str">
            <v>N</v>
          </cell>
          <cell r="Y194" t="str">
            <v>N</v>
          </cell>
        </row>
        <row r="195">
          <cell r="A195">
            <v>7502211784272</v>
          </cell>
          <cell r="V195" t="str">
            <v>N</v>
          </cell>
          <cell r="Y195" t="str">
            <v>N</v>
          </cell>
        </row>
        <row r="196">
          <cell r="A196">
            <v>7502001163485</v>
          </cell>
          <cell r="V196" t="str">
            <v>N</v>
          </cell>
          <cell r="Y196" t="str">
            <v>N</v>
          </cell>
        </row>
        <row r="197">
          <cell r="A197">
            <v>7502009742774</v>
          </cell>
          <cell r="V197" t="str">
            <v>N</v>
          </cell>
          <cell r="Y197" t="str">
            <v>N</v>
          </cell>
        </row>
        <row r="198">
          <cell r="A198">
            <v>7502009740268</v>
          </cell>
          <cell r="V198" t="str">
            <v>N</v>
          </cell>
          <cell r="Y198" t="str">
            <v>N</v>
          </cell>
        </row>
        <row r="199">
          <cell r="A199">
            <v>780083144302</v>
          </cell>
          <cell r="V199" t="str">
            <v>N</v>
          </cell>
          <cell r="Y199" t="str">
            <v>N</v>
          </cell>
        </row>
        <row r="200">
          <cell r="A200">
            <v>785118752415</v>
          </cell>
          <cell r="V200" t="str">
            <v>N</v>
          </cell>
          <cell r="Y200" t="str">
            <v>N</v>
          </cell>
        </row>
        <row r="201">
          <cell r="A201">
            <v>7501349027329</v>
          </cell>
          <cell r="V201" t="str">
            <v>N</v>
          </cell>
          <cell r="Y201" t="str">
            <v>N</v>
          </cell>
        </row>
        <row r="202">
          <cell r="A202">
            <v>7502004401508</v>
          </cell>
          <cell r="V202" t="str">
            <v>N</v>
          </cell>
          <cell r="Y202" t="str">
            <v>N</v>
          </cell>
        </row>
        <row r="203">
          <cell r="A203">
            <v>7502004401454</v>
          </cell>
          <cell r="V203" t="str">
            <v>N</v>
          </cell>
          <cell r="Y203" t="str">
            <v>N</v>
          </cell>
        </row>
        <row r="204">
          <cell r="A204">
            <v>780083139759</v>
          </cell>
          <cell r="V204" t="str">
            <v>N</v>
          </cell>
          <cell r="Y204" t="str">
            <v>N</v>
          </cell>
        </row>
        <row r="205">
          <cell r="A205">
            <v>7501349025929</v>
          </cell>
          <cell r="V205" t="str">
            <v>N</v>
          </cell>
          <cell r="Y205" t="str">
            <v>N</v>
          </cell>
        </row>
        <row r="206">
          <cell r="A206">
            <v>7502216802919</v>
          </cell>
          <cell r="V206" t="str">
            <v>N</v>
          </cell>
          <cell r="Y206" t="str">
            <v>N</v>
          </cell>
        </row>
        <row r="207">
          <cell r="A207">
            <v>7502208892232</v>
          </cell>
          <cell r="V207" t="str">
            <v>N</v>
          </cell>
          <cell r="Y207" t="str">
            <v>N</v>
          </cell>
        </row>
        <row r="208">
          <cell r="A208">
            <v>7502001164833</v>
          </cell>
          <cell r="V208" t="str">
            <v>N</v>
          </cell>
          <cell r="Y208" t="str">
            <v>N</v>
          </cell>
        </row>
        <row r="209">
          <cell r="A209">
            <v>785118753771</v>
          </cell>
          <cell r="V209" t="str">
            <v>N</v>
          </cell>
          <cell r="Y209" t="str">
            <v>N</v>
          </cell>
        </row>
        <row r="210">
          <cell r="A210">
            <v>7501573900375</v>
          </cell>
          <cell r="V210" t="str">
            <v>N</v>
          </cell>
          <cell r="Y210" t="str">
            <v>N</v>
          </cell>
        </row>
        <row r="211">
          <cell r="A211">
            <v>7502001165311</v>
          </cell>
          <cell r="V211" t="str">
            <v>N</v>
          </cell>
          <cell r="Y211" t="str">
            <v>N</v>
          </cell>
        </row>
        <row r="212">
          <cell r="A212">
            <v>7501298221403</v>
          </cell>
          <cell r="V212" t="str">
            <v>N</v>
          </cell>
          <cell r="Y212" t="str">
            <v>N</v>
          </cell>
        </row>
        <row r="213">
          <cell r="A213">
            <v>7501298217635</v>
          </cell>
          <cell r="V213" t="str">
            <v>N</v>
          </cell>
          <cell r="Y213" t="str">
            <v>N</v>
          </cell>
        </row>
        <row r="214">
          <cell r="A214">
            <v>7501298217659</v>
          </cell>
          <cell r="V214" t="str">
            <v>N</v>
          </cell>
          <cell r="Y214" t="str">
            <v>N</v>
          </cell>
        </row>
        <row r="215">
          <cell r="A215">
            <v>780083148829</v>
          </cell>
          <cell r="V215" t="str">
            <v>N</v>
          </cell>
          <cell r="Y215" t="str">
            <v>N</v>
          </cell>
        </row>
        <row r="216">
          <cell r="A216">
            <v>780083148843</v>
          </cell>
          <cell r="V216" t="str">
            <v>N</v>
          </cell>
          <cell r="Y216" t="str">
            <v>N</v>
          </cell>
        </row>
        <row r="217">
          <cell r="A217">
            <v>7502009747281</v>
          </cell>
          <cell r="V217" t="str">
            <v>N</v>
          </cell>
          <cell r="Y217" t="str">
            <v>N</v>
          </cell>
        </row>
        <row r="218">
          <cell r="A218">
            <v>7502009741593</v>
          </cell>
          <cell r="V218" t="str">
            <v>N</v>
          </cell>
          <cell r="Y218" t="str">
            <v>N</v>
          </cell>
        </row>
        <row r="219">
          <cell r="A219">
            <v>7501836009661</v>
          </cell>
          <cell r="V219" t="str">
            <v>N</v>
          </cell>
          <cell r="Y219" t="str">
            <v>N</v>
          </cell>
        </row>
        <row r="220">
          <cell r="A220">
            <v>7501277078318</v>
          </cell>
          <cell r="V220" t="str">
            <v>N</v>
          </cell>
          <cell r="Y220" t="str">
            <v>N</v>
          </cell>
        </row>
        <row r="221">
          <cell r="A221">
            <v>7501328980119</v>
          </cell>
          <cell r="V221" t="str">
            <v>N</v>
          </cell>
          <cell r="Y221" t="str">
            <v>N</v>
          </cell>
        </row>
        <row r="222">
          <cell r="A222">
            <v>7501165010826</v>
          </cell>
          <cell r="V222" t="str">
            <v>N</v>
          </cell>
          <cell r="Y222" t="str">
            <v>N</v>
          </cell>
        </row>
        <row r="223">
          <cell r="A223">
            <v>7502211783282</v>
          </cell>
          <cell r="V223" t="str">
            <v>N</v>
          </cell>
          <cell r="Y223" t="str">
            <v>N</v>
          </cell>
        </row>
        <row r="224">
          <cell r="A224">
            <v>7502211783787</v>
          </cell>
          <cell r="V224" t="str">
            <v>N</v>
          </cell>
          <cell r="Y224" t="str">
            <v>N</v>
          </cell>
        </row>
        <row r="225">
          <cell r="A225">
            <v>7502009746239</v>
          </cell>
          <cell r="V225" t="str">
            <v>N</v>
          </cell>
          <cell r="Y225" t="str">
            <v>N</v>
          </cell>
        </row>
        <row r="226">
          <cell r="A226">
            <v>75004996</v>
          </cell>
          <cell r="V226" t="str">
            <v>N</v>
          </cell>
          <cell r="Y226" t="str">
            <v>N</v>
          </cell>
        </row>
        <row r="227">
          <cell r="A227">
            <v>7501159526029</v>
          </cell>
          <cell r="V227" t="str">
            <v>N</v>
          </cell>
          <cell r="Y227" t="str">
            <v>N</v>
          </cell>
        </row>
        <row r="228">
          <cell r="A228">
            <v>7501159525015</v>
          </cell>
          <cell r="V228" t="str">
            <v>N</v>
          </cell>
          <cell r="Y228" t="str">
            <v>N</v>
          </cell>
        </row>
        <row r="229">
          <cell r="A229">
            <v>7502001162013</v>
          </cell>
          <cell r="V229" t="str">
            <v>N</v>
          </cell>
          <cell r="Y229" t="str">
            <v>N</v>
          </cell>
        </row>
        <row r="230">
          <cell r="A230">
            <v>7502009741425</v>
          </cell>
          <cell r="V230" t="str">
            <v>N</v>
          </cell>
          <cell r="Y230" t="str">
            <v>N</v>
          </cell>
        </row>
        <row r="231">
          <cell r="A231">
            <v>780083146207</v>
          </cell>
          <cell r="V231" t="str">
            <v>N</v>
          </cell>
          <cell r="Y231" t="str">
            <v>N</v>
          </cell>
        </row>
        <row r="232">
          <cell r="A232">
            <v>780083144807</v>
          </cell>
          <cell r="V232" t="str">
            <v>N</v>
          </cell>
          <cell r="Y232" t="str">
            <v>N</v>
          </cell>
        </row>
        <row r="233">
          <cell r="A233">
            <v>7501300407047</v>
          </cell>
          <cell r="V233" t="str">
            <v>N</v>
          </cell>
          <cell r="Y233" t="str">
            <v>N</v>
          </cell>
        </row>
        <row r="234">
          <cell r="A234">
            <v>7502001164697</v>
          </cell>
          <cell r="V234" t="str">
            <v>N</v>
          </cell>
          <cell r="Y234" t="str">
            <v>N</v>
          </cell>
        </row>
        <row r="235">
          <cell r="A235">
            <v>785118753825</v>
          </cell>
          <cell r="V235" t="str">
            <v>N</v>
          </cell>
          <cell r="Y235" t="str">
            <v>N</v>
          </cell>
        </row>
        <row r="236">
          <cell r="A236">
            <v>7501008497340</v>
          </cell>
          <cell r="V236" t="str">
            <v>N</v>
          </cell>
          <cell r="Y236" t="str">
            <v>N</v>
          </cell>
        </row>
        <row r="237">
          <cell r="A237">
            <v>7502009745898</v>
          </cell>
          <cell r="V237" t="str">
            <v>N</v>
          </cell>
          <cell r="Y237" t="str">
            <v>N</v>
          </cell>
        </row>
        <row r="238">
          <cell r="A238">
            <v>7501478315397</v>
          </cell>
          <cell r="V238" t="str">
            <v>N</v>
          </cell>
          <cell r="Y238" t="str">
            <v>N</v>
          </cell>
        </row>
        <row r="239">
          <cell r="A239">
            <v>7502009740466</v>
          </cell>
          <cell r="V239" t="str">
            <v>N</v>
          </cell>
          <cell r="Y239" t="str">
            <v>N</v>
          </cell>
        </row>
        <row r="240">
          <cell r="A240">
            <v>7502009742095</v>
          </cell>
          <cell r="V240" t="str">
            <v>N</v>
          </cell>
          <cell r="Y240" t="str">
            <v>N</v>
          </cell>
        </row>
        <row r="241">
          <cell r="A241">
            <v>7501590211201</v>
          </cell>
          <cell r="V241" t="str">
            <v>N</v>
          </cell>
          <cell r="Y241" t="str">
            <v>N</v>
          </cell>
        </row>
        <row r="242">
          <cell r="A242">
            <v>7501349012943</v>
          </cell>
          <cell r="V242" t="str">
            <v>N</v>
          </cell>
          <cell r="Y242" t="str">
            <v>N</v>
          </cell>
        </row>
        <row r="243">
          <cell r="A243">
            <v>7506335701306</v>
          </cell>
          <cell r="V243" t="str">
            <v>N</v>
          </cell>
          <cell r="Y243" t="str">
            <v>N</v>
          </cell>
        </row>
        <row r="244">
          <cell r="A244">
            <v>7502009740282</v>
          </cell>
          <cell r="V244" t="str">
            <v>N</v>
          </cell>
          <cell r="Y244" t="str">
            <v>N</v>
          </cell>
        </row>
        <row r="245">
          <cell r="A245">
            <v>7502227870228</v>
          </cell>
          <cell r="V245" t="str">
            <v>N</v>
          </cell>
          <cell r="Y245" t="str">
            <v>N</v>
          </cell>
        </row>
        <row r="246">
          <cell r="A246">
            <v>7502009745522</v>
          </cell>
          <cell r="V246" t="str">
            <v>N</v>
          </cell>
          <cell r="Y246" t="str">
            <v>N</v>
          </cell>
        </row>
        <row r="247">
          <cell r="A247">
            <v>7502009745027</v>
          </cell>
          <cell r="V247" t="str">
            <v>N</v>
          </cell>
          <cell r="Y247" t="str">
            <v>N</v>
          </cell>
        </row>
        <row r="248">
          <cell r="A248">
            <v>7503008344907</v>
          </cell>
          <cell r="V248" t="str">
            <v>N</v>
          </cell>
          <cell r="Y248" t="str">
            <v>N</v>
          </cell>
        </row>
        <row r="249">
          <cell r="A249">
            <v>325325</v>
          </cell>
          <cell r="V249" t="str">
            <v>S</v>
          </cell>
          <cell r="Y249" t="str">
            <v>N</v>
          </cell>
        </row>
        <row r="250">
          <cell r="A250">
            <v>7501349026094</v>
          </cell>
          <cell r="V250" t="str">
            <v>N</v>
          </cell>
          <cell r="Y250" t="str">
            <v>N</v>
          </cell>
        </row>
        <row r="251">
          <cell r="A251">
            <v>4015630082988</v>
          </cell>
          <cell r="V251" t="str">
            <v>S</v>
          </cell>
          <cell r="Y251" t="str">
            <v>N</v>
          </cell>
        </row>
        <row r="252">
          <cell r="A252">
            <v>7501075717020</v>
          </cell>
          <cell r="V252" t="str">
            <v>N</v>
          </cell>
          <cell r="Y252" t="str">
            <v>N</v>
          </cell>
        </row>
        <row r="253">
          <cell r="A253">
            <v>897654</v>
          </cell>
          <cell r="V253" t="str">
            <v>S</v>
          </cell>
          <cell r="Y253" t="str">
            <v>N</v>
          </cell>
        </row>
        <row r="254">
          <cell r="A254">
            <v>7506022326676</v>
          </cell>
          <cell r="V254" t="str">
            <v>S</v>
          </cell>
          <cell r="Y254" t="str">
            <v>N</v>
          </cell>
        </row>
        <row r="255">
          <cell r="A255">
            <v>7501128110044</v>
          </cell>
          <cell r="V255" t="str">
            <v>S</v>
          </cell>
          <cell r="Y255" t="str">
            <v>N</v>
          </cell>
        </row>
        <row r="256">
          <cell r="A256">
            <v>7501128110051</v>
          </cell>
          <cell r="V256" t="str">
            <v>S</v>
          </cell>
          <cell r="Y256" t="str">
            <v>N</v>
          </cell>
        </row>
        <row r="257">
          <cell r="A257">
            <v>7502223112193</v>
          </cell>
          <cell r="V257" t="str">
            <v>N</v>
          </cell>
          <cell r="Y257" t="str">
            <v>N</v>
          </cell>
        </row>
        <row r="258">
          <cell r="A258">
            <v>7501349024045</v>
          </cell>
          <cell r="V258" t="str">
            <v>N</v>
          </cell>
          <cell r="Y258" t="str">
            <v>N</v>
          </cell>
        </row>
        <row r="259">
          <cell r="A259">
            <v>7501349028654</v>
          </cell>
          <cell r="V259" t="str">
            <v>N</v>
          </cell>
          <cell r="Y259" t="str">
            <v>N</v>
          </cell>
        </row>
        <row r="260">
          <cell r="A260">
            <v>7501328979502</v>
          </cell>
          <cell r="V260" t="str">
            <v>N</v>
          </cell>
          <cell r="Y260" t="str">
            <v>N</v>
          </cell>
        </row>
        <row r="261">
          <cell r="A261">
            <v>7501293201936</v>
          </cell>
          <cell r="V261" t="str">
            <v>N</v>
          </cell>
          <cell r="Y261" t="str">
            <v>N</v>
          </cell>
        </row>
        <row r="262">
          <cell r="A262">
            <v>7501075712223</v>
          </cell>
          <cell r="V262" t="str">
            <v>N</v>
          </cell>
          <cell r="Y262" t="str">
            <v>N</v>
          </cell>
        </row>
        <row r="263">
          <cell r="A263">
            <v>7502009740558</v>
          </cell>
          <cell r="V263" t="str">
            <v>N</v>
          </cell>
          <cell r="Y263" t="str">
            <v>N</v>
          </cell>
        </row>
        <row r="264">
          <cell r="A264">
            <v>7501537194130</v>
          </cell>
          <cell r="V264" t="str">
            <v>N</v>
          </cell>
          <cell r="Y264" t="str">
            <v>N</v>
          </cell>
        </row>
        <row r="265">
          <cell r="A265">
            <v>7501326004947</v>
          </cell>
          <cell r="V265" t="str">
            <v>N</v>
          </cell>
          <cell r="Y265" t="str">
            <v>N</v>
          </cell>
        </row>
        <row r="266">
          <cell r="A266">
            <v>7501349024267</v>
          </cell>
          <cell r="V266" t="str">
            <v>N</v>
          </cell>
          <cell r="Y266" t="str">
            <v>N</v>
          </cell>
        </row>
        <row r="267">
          <cell r="A267">
            <v>7501349023369</v>
          </cell>
          <cell r="V267" t="str">
            <v>N</v>
          </cell>
          <cell r="Y267" t="str">
            <v>N</v>
          </cell>
        </row>
        <row r="268">
          <cell r="A268">
            <v>7502009740510</v>
          </cell>
          <cell r="V268" t="str">
            <v>N</v>
          </cell>
          <cell r="Y268" t="str">
            <v>N</v>
          </cell>
        </row>
        <row r="269">
          <cell r="A269">
            <v>7502223111202</v>
          </cell>
          <cell r="V269" t="str">
            <v>N</v>
          </cell>
          <cell r="Y269" t="str">
            <v>N</v>
          </cell>
        </row>
        <row r="270">
          <cell r="A270">
            <v>7501537102999</v>
          </cell>
          <cell r="V270" t="str">
            <v>N</v>
          </cell>
          <cell r="Y270" t="str">
            <v>N</v>
          </cell>
        </row>
        <row r="271">
          <cell r="A271">
            <v>7503008344303</v>
          </cell>
          <cell r="V271" t="str">
            <v>N</v>
          </cell>
          <cell r="Y271" t="str">
            <v>N</v>
          </cell>
        </row>
        <row r="272">
          <cell r="A272">
            <v>4015630018277</v>
          </cell>
          <cell r="V272" t="str">
            <v>S</v>
          </cell>
          <cell r="Y272" t="str">
            <v>N</v>
          </cell>
        </row>
        <row r="273">
          <cell r="A273">
            <v>7502009740435</v>
          </cell>
          <cell r="V273" t="str">
            <v>N</v>
          </cell>
          <cell r="Y273" t="str">
            <v>N</v>
          </cell>
        </row>
        <row r="274">
          <cell r="A274">
            <v>7502009743856</v>
          </cell>
          <cell r="V274" t="str">
            <v>N</v>
          </cell>
          <cell r="Y274" t="str">
            <v>N</v>
          </cell>
        </row>
        <row r="275">
          <cell r="A275">
            <v>7502009741005</v>
          </cell>
          <cell r="V275" t="str">
            <v>N</v>
          </cell>
          <cell r="Y275" t="str">
            <v>N</v>
          </cell>
        </row>
        <row r="276">
          <cell r="A276">
            <v>7502009740305</v>
          </cell>
          <cell r="V276" t="str">
            <v>N</v>
          </cell>
          <cell r="Y276" t="str">
            <v>N</v>
          </cell>
        </row>
        <row r="277">
          <cell r="A277">
            <v>7503027742005</v>
          </cell>
          <cell r="V277" t="str">
            <v>S</v>
          </cell>
          <cell r="Y277" t="str">
            <v>N</v>
          </cell>
        </row>
        <row r="278">
          <cell r="A278">
            <v>7501258203586</v>
          </cell>
          <cell r="V278" t="str">
            <v>N</v>
          </cell>
          <cell r="Y278" t="str">
            <v>N</v>
          </cell>
        </row>
        <row r="279">
          <cell r="A279">
            <v>7502216803657</v>
          </cell>
          <cell r="V279" t="str">
            <v>N</v>
          </cell>
          <cell r="Y279" t="str">
            <v>N</v>
          </cell>
        </row>
        <row r="280">
          <cell r="A280">
            <v>780083141981</v>
          </cell>
          <cell r="V280" t="str">
            <v>N</v>
          </cell>
          <cell r="Y280" t="str">
            <v>N</v>
          </cell>
        </row>
        <row r="281">
          <cell r="A281">
            <v>785120753349</v>
          </cell>
          <cell r="V281" t="str">
            <v>N</v>
          </cell>
          <cell r="Y281" t="str">
            <v>N</v>
          </cell>
        </row>
        <row r="282">
          <cell r="A282">
            <v>7501075718096</v>
          </cell>
          <cell r="V282" t="str">
            <v>N</v>
          </cell>
          <cell r="Y282" t="str">
            <v>N</v>
          </cell>
        </row>
        <row r="283">
          <cell r="A283">
            <v>785120754087</v>
          </cell>
          <cell r="V283" t="str">
            <v>N</v>
          </cell>
          <cell r="Y283" t="str">
            <v>N</v>
          </cell>
        </row>
        <row r="284">
          <cell r="A284">
            <v>785120754766</v>
          </cell>
          <cell r="V284" t="str">
            <v>N</v>
          </cell>
          <cell r="Y284" t="str">
            <v>N</v>
          </cell>
        </row>
        <row r="285">
          <cell r="A285">
            <v>785120754841</v>
          </cell>
          <cell r="V285" t="str">
            <v>N</v>
          </cell>
          <cell r="Y285" t="str">
            <v>N</v>
          </cell>
        </row>
        <row r="286">
          <cell r="A286">
            <v>785120755022</v>
          </cell>
          <cell r="V286" t="str">
            <v>N</v>
          </cell>
          <cell r="Y286" t="str">
            <v>N</v>
          </cell>
        </row>
        <row r="287">
          <cell r="A287">
            <v>785118752941</v>
          </cell>
          <cell r="V287" t="str">
            <v>N</v>
          </cell>
          <cell r="Y287" t="str">
            <v>N</v>
          </cell>
        </row>
        <row r="288">
          <cell r="A288">
            <v>7502001162518</v>
          </cell>
          <cell r="V288" t="str">
            <v>N</v>
          </cell>
          <cell r="Y288" t="str">
            <v>N</v>
          </cell>
        </row>
        <row r="289">
          <cell r="A289">
            <v>7502001162525</v>
          </cell>
          <cell r="V289" t="str">
            <v>N</v>
          </cell>
          <cell r="Y289" t="str">
            <v>N</v>
          </cell>
        </row>
        <row r="290">
          <cell r="A290">
            <v>7451079003523</v>
          </cell>
          <cell r="V290" t="str">
            <v>N</v>
          </cell>
          <cell r="Y290" t="str">
            <v>N</v>
          </cell>
        </row>
        <row r="291">
          <cell r="A291">
            <v>7501349022126</v>
          </cell>
          <cell r="V291" t="str">
            <v>N</v>
          </cell>
          <cell r="Y291" t="str">
            <v>N</v>
          </cell>
        </row>
        <row r="292">
          <cell r="A292">
            <v>7501075713459</v>
          </cell>
          <cell r="V292" t="str">
            <v>N</v>
          </cell>
          <cell r="Y292" t="str">
            <v>N</v>
          </cell>
        </row>
        <row r="293">
          <cell r="A293">
            <v>7501349022515</v>
          </cell>
          <cell r="V293" t="str">
            <v>N</v>
          </cell>
          <cell r="Y293" t="str">
            <v>N</v>
          </cell>
        </row>
        <row r="294">
          <cell r="A294">
            <v>650240010538</v>
          </cell>
          <cell r="V294" t="str">
            <v>N</v>
          </cell>
          <cell r="Y294" t="str">
            <v>N</v>
          </cell>
        </row>
        <row r="295">
          <cell r="A295">
            <v>7501075722253</v>
          </cell>
          <cell r="V295" t="str">
            <v>N</v>
          </cell>
          <cell r="Y295" t="str">
            <v>N</v>
          </cell>
        </row>
        <row r="296">
          <cell r="A296">
            <v>7501075723137</v>
          </cell>
          <cell r="V296" t="str">
            <v>N</v>
          </cell>
          <cell r="Y296" t="str">
            <v>N</v>
          </cell>
        </row>
        <row r="297">
          <cell r="A297">
            <v>7501058715487</v>
          </cell>
          <cell r="V297" t="str">
            <v>N</v>
          </cell>
          <cell r="Y297" t="str">
            <v>N</v>
          </cell>
        </row>
        <row r="298">
          <cell r="A298">
            <v>7502227424995</v>
          </cell>
          <cell r="V298" t="str">
            <v>N</v>
          </cell>
          <cell r="Y298" t="str">
            <v>N</v>
          </cell>
        </row>
        <row r="299">
          <cell r="A299">
            <v>4104480412103</v>
          </cell>
          <cell r="V299" t="str">
            <v>N</v>
          </cell>
          <cell r="Y299" t="str">
            <v>N</v>
          </cell>
        </row>
        <row r="300">
          <cell r="A300">
            <v>7501349022485</v>
          </cell>
          <cell r="V300" t="str">
            <v>N</v>
          </cell>
          <cell r="Y300" t="str">
            <v>N</v>
          </cell>
        </row>
        <row r="301">
          <cell r="A301">
            <v>7501349011175</v>
          </cell>
          <cell r="V301" t="str">
            <v>N</v>
          </cell>
          <cell r="Y301" t="str">
            <v>N</v>
          </cell>
        </row>
        <row r="302">
          <cell r="A302">
            <v>7501001258023</v>
          </cell>
          <cell r="V302" t="str">
            <v>N</v>
          </cell>
          <cell r="Y302" t="str">
            <v>N</v>
          </cell>
        </row>
        <row r="303">
          <cell r="A303">
            <v>7501001155209</v>
          </cell>
          <cell r="V303" t="str">
            <v>N</v>
          </cell>
          <cell r="Y303" t="str">
            <v>N</v>
          </cell>
        </row>
        <row r="304">
          <cell r="A304">
            <v>20800753067</v>
          </cell>
          <cell r="V304" t="str">
            <v>N</v>
          </cell>
          <cell r="Y304" t="str">
            <v>N</v>
          </cell>
        </row>
        <row r="305">
          <cell r="A305">
            <v>7501349021211</v>
          </cell>
          <cell r="V305" t="str">
            <v>N</v>
          </cell>
          <cell r="Y305" t="str">
            <v>N</v>
          </cell>
        </row>
        <row r="306">
          <cell r="A306">
            <v>780083140595</v>
          </cell>
          <cell r="V306" t="str">
            <v>N</v>
          </cell>
          <cell r="Y306" t="str">
            <v>N</v>
          </cell>
        </row>
        <row r="307">
          <cell r="A307">
            <v>7501349028364</v>
          </cell>
          <cell r="V307" t="str">
            <v>N</v>
          </cell>
          <cell r="Y307" t="str">
            <v>N</v>
          </cell>
        </row>
        <row r="308">
          <cell r="A308">
            <v>7501249605634</v>
          </cell>
          <cell r="V308" t="str">
            <v>N</v>
          </cell>
          <cell r="Y308" t="str">
            <v>N</v>
          </cell>
        </row>
        <row r="309">
          <cell r="A309">
            <v>7501836009746</v>
          </cell>
          <cell r="V309" t="str">
            <v>N</v>
          </cell>
          <cell r="Y309" t="str">
            <v>N</v>
          </cell>
        </row>
        <row r="310">
          <cell r="A310">
            <v>7503008344501</v>
          </cell>
          <cell r="V310" t="str">
            <v>S</v>
          </cell>
          <cell r="Y310" t="str">
            <v>N</v>
          </cell>
        </row>
        <row r="311">
          <cell r="A311">
            <v>7502213042059</v>
          </cell>
          <cell r="V311" t="str">
            <v>N</v>
          </cell>
          <cell r="Y311" t="str">
            <v>N</v>
          </cell>
        </row>
        <row r="312">
          <cell r="A312">
            <v>7502240450711</v>
          </cell>
          <cell r="V312" t="str">
            <v>N</v>
          </cell>
          <cell r="Y312" t="str">
            <v>N</v>
          </cell>
        </row>
        <row r="313">
          <cell r="A313">
            <v>7502240450070</v>
          </cell>
          <cell r="V313" t="str">
            <v>N</v>
          </cell>
          <cell r="Y313" t="str">
            <v>N</v>
          </cell>
        </row>
        <row r="314">
          <cell r="A314">
            <v>650240011139</v>
          </cell>
          <cell r="V314" t="str">
            <v>N</v>
          </cell>
          <cell r="Y314" t="str">
            <v>N</v>
          </cell>
        </row>
        <row r="315">
          <cell r="A315">
            <v>7501109761388</v>
          </cell>
          <cell r="V315" t="str">
            <v>N</v>
          </cell>
          <cell r="Y315" t="str">
            <v>N</v>
          </cell>
        </row>
        <row r="316">
          <cell r="A316">
            <v>7501573900443</v>
          </cell>
          <cell r="V316" t="str">
            <v>N</v>
          </cell>
          <cell r="Y316" t="str">
            <v>N</v>
          </cell>
        </row>
        <row r="317">
          <cell r="A317">
            <v>7501573900269</v>
          </cell>
          <cell r="V317" t="str">
            <v>N</v>
          </cell>
          <cell r="Y317" t="str">
            <v>N</v>
          </cell>
        </row>
        <row r="318">
          <cell r="A318">
            <v>7502227871416</v>
          </cell>
          <cell r="V318" t="str">
            <v>N</v>
          </cell>
          <cell r="Y318" t="str">
            <v>N</v>
          </cell>
        </row>
        <row r="319">
          <cell r="A319">
            <v>7502235760139</v>
          </cell>
          <cell r="V319" t="str">
            <v>S</v>
          </cell>
          <cell r="Y319" t="str">
            <v>N</v>
          </cell>
        </row>
        <row r="320">
          <cell r="A320">
            <v>714908100228</v>
          </cell>
          <cell r="V320" t="str">
            <v>N</v>
          </cell>
          <cell r="Y320" t="str">
            <v>N</v>
          </cell>
        </row>
        <row r="321">
          <cell r="A321">
            <v>75006440</v>
          </cell>
          <cell r="V321" t="str">
            <v>N</v>
          </cell>
          <cell r="Y321" t="str">
            <v>N</v>
          </cell>
        </row>
        <row r="322">
          <cell r="A322">
            <v>7503003738404</v>
          </cell>
          <cell r="V322" t="str">
            <v>N</v>
          </cell>
          <cell r="Y322" t="str">
            <v>N</v>
          </cell>
        </row>
        <row r="323">
          <cell r="A323">
            <v>7502240450230</v>
          </cell>
          <cell r="V323" t="str">
            <v>N</v>
          </cell>
          <cell r="Y323" t="str">
            <v>N</v>
          </cell>
        </row>
        <row r="324">
          <cell r="A324">
            <v>7503003738879</v>
          </cell>
          <cell r="V324" t="str">
            <v>N</v>
          </cell>
          <cell r="Y324" t="str">
            <v>N</v>
          </cell>
        </row>
        <row r="325">
          <cell r="A325">
            <v>7501075723724</v>
          </cell>
          <cell r="V325" t="str">
            <v>N</v>
          </cell>
          <cell r="Y325" t="str">
            <v>N</v>
          </cell>
        </row>
        <row r="326">
          <cell r="A326">
            <v>7501298281407</v>
          </cell>
          <cell r="V326" t="str">
            <v>N</v>
          </cell>
          <cell r="Y326" t="str">
            <v>N</v>
          </cell>
        </row>
        <row r="327">
          <cell r="A327">
            <v>7503003738671</v>
          </cell>
          <cell r="V327" t="str">
            <v>N</v>
          </cell>
          <cell r="Y327" t="str">
            <v>N</v>
          </cell>
        </row>
        <row r="328">
          <cell r="A328">
            <v>7502256040067</v>
          </cell>
          <cell r="V328" t="str">
            <v>N</v>
          </cell>
          <cell r="Y328" t="str">
            <v>N</v>
          </cell>
        </row>
        <row r="329">
          <cell r="A329">
            <v>7501080912076</v>
          </cell>
          <cell r="V329" t="str">
            <v>S</v>
          </cell>
          <cell r="Y329" t="str">
            <v>N</v>
          </cell>
        </row>
        <row r="330">
          <cell r="A330">
            <v>650240032264</v>
          </cell>
          <cell r="V330" t="str">
            <v>S</v>
          </cell>
          <cell r="Y330" t="str">
            <v>N</v>
          </cell>
        </row>
        <row r="331">
          <cell r="A331">
            <v>650240032325</v>
          </cell>
          <cell r="V331" t="str">
            <v>S</v>
          </cell>
          <cell r="Y331" t="str">
            <v>N</v>
          </cell>
        </row>
        <row r="332">
          <cell r="A332">
            <v>650240032295</v>
          </cell>
          <cell r="V332" t="str">
            <v>S</v>
          </cell>
          <cell r="Y332" t="str">
            <v>N</v>
          </cell>
        </row>
        <row r="333">
          <cell r="A333">
            <v>650240032301</v>
          </cell>
          <cell r="V333" t="str">
            <v>S</v>
          </cell>
          <cell r="Y333" t="str">
            <v>N</v>
          </cell>
        </row>
        <row r="334">
          <cell r="A334">
            <v>650240032271</v>
          </cell>
          <cell r="V334" t="str">
            <v>S</v>
          </cell>
          <cell r="Y334" t="str">
            <v>N</v>
          </cell>
        </row>
        <row r="335">
          <cell r="A335">
            <v>7502208891549</v>
          </cell>
          <cell r="V335" t="str">
            <v>N</v>
          </cell>
          <cell r="Y335" t="str">
            <v>N</v>
          </cell>
        </row>
        <row r="336">
          <cell r="A336">
            <v>780083142308</v>
          </cell>
          <cell r="V336" t="str">
            <v>N</v>
          </cell>
          <cell r="Y336" t="str">
            <v>N</v>
          </cell>
        </row>
        <row r="337">
          <cell r="A337">
            <v>4015630064076</v>
          </cell>
          <cell r="V337" t="str">
            <v>S</v>
          </cell>
          <cell r="Y337" t="str">
            <v>N</v>
          </cell>
        </row>
        <row r="338">
          <cell r="A338">
            <v>75916565</v>
          </cell>
          <cell r="V338" t="str">
            <v>N</v>
          </cell>
          <cell r="Y338" t="str">
            <v>N</v>
          </cell>
        </row>
        <row r="339">
          <cell r="A339">
            <v>7501109790739</v>
          </cell>
          <cell r="V339" t="str">
            <v>N</v>
          </cell>
          <cell r="Y339" t="str">
            <v>N</v>
          </cell>
        </row>
        <row r="340">
          <cell r="A340">
            <v>7501349020993</v>
          </cell>
          <cell r="V340" t="str">
            <v>N</v>
          </cell>
          <cell r="Y340" t="str">
            <v>N</v>
          </cell>
        </row>
        <row r="341">
          <cell r="A341">
            <v>7501037925579</v>
          </cell>
          <cell r="V341" t="str">
            <v>N</v>
          </cell>
          <cell r="Y341" t="str">
            <v>N</v>
          </cell>
        </row>
        <row r="342">
          <cell r="A342">
            <v>7501537182960</v>
          </cell>
          <cell r="V342" t="str">
            <v>N</v>
          </cell>
          <cell r="Y342" t="str">
            <v>N</v>
          </cell>
        </row>
        <row r="343">
          <cell r="A343">
            <v>7501537164713</v>
          </cell>
          <cell r="V343" t="str">
            <v>N</v>
          </cell>
          <cell r="Y343" t="str">
            <v>N</v>
          </cell>
        </row>
        <row r="344">
          <cell r="A344">
            <v>7501537163266</v>
          </cell>
          <cell r="V344" t="str">
            <v>N</v>
          </cell>
          <cell r="Y344" t="str">
            <v>N</v>
          </cell>
        </row>
        <row r="345">
          <cell r="A345">
            <v>7501298223711</v>
          </cell>
          <cell r="V345" t="str">
            <v>N</v>
          </cell>
          <cell r="Y345" t="str">
            <v>N</v>
          </cell>
        </row>
        <row r="346">
          <cell r="A346">
            <v>650240010712</v>
          </cell>
          <cell r="V346" t="str">
            <v>N</v>
          </cell>
          <cell r="Y346" t="str">
            <v>N</v>
          </cell>
        </row>
        <row r="347">
          <cell r="A347">
            <v>650240011351</v>
          </cell>
          <cell r="V347" t="str">
            <v>N</v>
          </cell>
          <cell r="Y347" t="str">
            <v>N</v>
          </cell>
        </row>
        <row r="348">
          <cell r="A348">
            <v>785118752477</v>
          </cell>
          <cell r="V348" t="str">
            <v>N</v>
          </cell>
          <cell r="Y348" t="str">
            <v>N</v>
          </cell>
        </row>
        <row r="349">
          <cell r="A349">
            <v>6938056201093</v>
          </cell>
          <cell r="V349" t="str">
            <v>S</v>
          </cell>
          <cell r="Y349" t="str">
            <v>N</v>
          </cell>
        </row>
        <row r="350">
          <cell r="A350">
            <v>75006471</v>
          </cell>
          <cell r="V350" t="str">
            <v>N</v>
          </cell>
          <cell r="Y350" t="str">
            <v>N</v>
          </cell>
        </row>
        <row r="351">
          <cell r="A351">
            <v>7501001116187</v>
          </cell>
          <cell r="V351" t="str">
            <v>N</v>
          </cell>
          <cell r="Y351" t="str">
            <v>N</v>
          </cell>
        </row>
        <row r="352">
          <cell r="A352">
            <v>7590002012468</v>
          </cell>
          <cell r="V352" t="str">
            <v>N</v>
          </cell>
          <cell r="Y352" t="str">
            <v>N</v>
          </cell>
        </row>
        <row r="353">
          <cell r="A353">
            <v>7502227870532</v>
          </cell>
          <cell r="V353" t="str">
            <v>N</v>
          </cell>
          <cell r="Y353" t="str">
            <v>N</v>
          </cell>
        </row>
        <row r="354">
          <cell r="A354">
            <v>650240017094</v>
          </cell>
          <cell r="V354" t="str">
            <v>N</v>
          </cell>
          <cell r="Y354" t="str">
            <v>N</v>
          </cell>
        </row>
        <row r="355">
          <cell r="A355">
            <v>7503003738725</v>
          </cell>
          <cell r="V355" t="str">
            <v>N</v>
          </cell>
          <cell r="Y355" t="str">
            <v>N</v>
          </cell>
        </row>
        <row r="356">
          <cell r="A356">
            <v>7502001160507</v>
          </cell>
          <cell r="V356" t="str">
            <v>N</v>
          </cell>
          <cell r="Y356" t="str">
            <v>N</v>
          </cell>
        </row>
        <row r="357">
          <cell r="A357">
            <v>7502223553033</v>
          </cell>
          <cell r="V357" t="str">
            <v>N</v>
          </cell>
          <cell r="Y357" t="str">
            <v>N</v>
          </cell>
        </row>
        <row r="358">
          <cell r="A358">
            <v>650240057946</v>
          </cell>
          <cell r="V358" t="str">
            <v>S</v>
          </cell>
          <cell r="Y358" t="str">
            <v>N</v>
          </cell>
        </row>
        <row r="359">
          <cell r="A359">
            <v>7502001169197</v>
          </cell>
          <cell r="V359" t="str">
            <v>N</v>
          </cell>
          <cell r="Y359" t="str">
            <v>N</v>
          </cell>
        </row>
        <row r="360">
          <cell r="A360">
            <v>780083148966</v>
          </cell>
          <cell r="V360" t="str">
            <v>N</v>
          </cell>
          <cell r="Y360" t="str">
            <v>N</v>
          </cell>
        </row>
        <row r="361">
          <cell r="A361">
            <v>7503001007069</v>
          </cell>
          <cell r="V361" t="str">
            <v>N</v>
          </cell>
          <cell r="Y361" t="str">
            <v>N</v>
          </cell>
        </row>
        <row r="362">
          <cell r="A362">
            <v>7502006920038</v>
          </cell>
          <cell r="V362" t="str">
            <v>N</v>
          </cell>
          <cell r="Y362" t="str">
            <v>N</v>
          </cell>
        </row>
        <row r="363">
          <cell r="A363">
            <v>7501478315762</v>
          </cell>
          <cell r="V363" t="str">
            <v>N</v>
          </cell>
          <cell r="Y363" t="str">
            <v>N</v>
          </cell>
        </row>
        <row r="364">
          <cell r="A364">
            <v>780083144296</v>
          </cell>
          <cell r="V364" t="str">
            <v>N</v>
          </cell>
          <cell r="Y364" t="str">
            <v>N</v>
          </cell>
        </row>
        <row r="365">
          <cell r="A365">
            <v>7501008491966</v>
          </cell>
          <cell r="V365" t="str">
            <v>N</v>
          </cell>
          <cell r="Y365" t="str">
            <v>N</v>
          </cell>
        </row>
        <row r="366">
          <cell r="A366">
            <v>7502225094275</v>
          </cell>
          <cell r="V366" t="str">
            <v>N</v>
          </cell>
          <cell r="Y366" t="str">
            <v>N</v>
          </cell>
        </row>
        <row r="367">
          <cell r="A367">
            <v>7502216803817</v>
          </cell>
          <cell r="V367" t="str">
            <v>N</v>
          </cell>
          <cell r="Y367" t="str">
            <v>N</v>
          </cell>
        </row>
        <row r="368">
          <cell r="A368">
            <v>7502009741487</v>
          </cell>
          <cell r="V368" t="str">
            <v>N</v>
          </cell>
          <cell r="Y368" t="str">
            <v>N</v>
          </cell>
        </row>
        <row r="369">
          <cell r="A369">
            <v>7501159580014</v>
          </cell>
          <cell r="V369" t="str">
            <v>N</v>
          </cell>
          <cell r="Y369" t="str">
            <v>N</v>
          </cell>
        </row>
        <row r="370">
          <cell r="A370">
            <v>7501258204002</v>
          </cell>
          <cell r="V370" t="str">
            <v>N</v>
          </cell>
          <cell r="Y370" t="str">
            <v>N</v>
          </cell>
        </row>
        <row r="371">
          <cell r="A371">
            <v>7501326001137</v>
          </cell>
          <cell r="V371" t="str">
            <v>N</v>
          </cell>
          <cell r="Y371" t="str">
            <v>N</v>
          </cell>
        </row>
        <row r="372">
          <cell r="A372">
            <v>7502009746376</v>
          </cell>
          <cell r="V372" t="str">
            <v>N</v>
          </cell>
          <cell r="Y372" t="str">
            <v>N</v>
          </cell>
        </row>
        <row r="373">
          <cell r="A373">
            <v>7501349012172</v>
          </cell>
          <cell r="V373" t="str">
            <v>N</v>
          </cell>
          <cell r="Y373" t="str">
            <v>N</v>
          </cell>
        </row>
        <row r="374">
          <cell r="A374">
            <v>7502009740657</v>
          </cell>
          <cell r="V374" t="str">
            <v>N</v>
          </cell>
          <cell r="Y374" t="str">
            <v>N</v>
          </cell>
        </row>
        <row r="375">
          <cell r="A375">
            <v>7502227872697</v>
          </cell>
          <cell r="V375" t="str">
            <v>N</v>
          </cell>
          <cell r="Y375" t="str">
            <v>N</v>
          </cell>
        </row>
        <row r="376">
          <cell r="A376">
            <v>7502247373228</v>
          </cell>
          <cell r="V376" t="str">
            <v>N</v>
          </cell>
          <cell r="Y376" t="str">
            <v>N</v>
          </cell>
        </row>
        <row r="377">
          <cell r="A377">
            <v>7501075713107</v>
          </cell>
          <cell r="V377" t="str">
            <v>N</v>
          </cell>
          <cell r="Y377" t="str">
            <v>N</v>
          </cell>
        </row>
        <row r="378">
          <cell r="A378">
            <v>7501537100452</v>
          </cell>
          <cell r="V378" t="str">
            <v>N</v>
          </cell>
          <cell r="Y378" t="str">
            <v>N</v>
          </cell>
        </row>
        <row r="379">
          <cell r="A379">
            <v>7502211780045</v>
          </cell>
          <cell r="V379" t="str">
            <v>N</v>
          </cell>
          <cell r="Y379" t="str">
            <v>N</v>
          </cell>
        </row>
        <row r="380">
          <cell r="A380">
            <v>7502247374218</v>
          </cell>
          <cell r="V380" t="str">
            <v>N</v>
          </cell>
          <cell r="Y380" t="str">
            <v>N</v>
          </cell>
        </row>
        <row r="381">
          <cell r="A381">
            <v>785118752347</v>
          </cell>
          <cell r="V381" t="str">
            <v>N</v>
          </cell>
          <cell r="Y381" t="str">
            <v>N</v>
          </cell>
        </row>
        <row r="382">
          <cell r="A382">
            <v>650240031502</v>
          </cell>
          <cell r="V382" t="str">
            <v>N</v>
          </cell>
          <cell r="Y382" t="str">
            <v>N</v>
          </cell>
        </row>
        <row r="383">
          <cell r="A383">
            <v>650240031519</v>
          </cell>
          <cell r="V383" t="str">
            <v>N</v>
          </cell>
          <cell r="Y383" t="str">
            <v>N</v>
          </cell>
        </row>
        <row r="384">
          <cell r="A384">
            <v>7502216805361</v>
          </cell>
          <cell r="V384" t="str">
            <v>N</v>
          </cell>
          <cell r="Y384" t="str">
            <v>N</v>
          </cell>
        </row>
        <row r="385">
          <cell r="A385">
            <v>7501008496725</v>
          </cell>
          <cell r="V385" t="str">
            <v>N</v>
          </cell>
          <cell r="Y385" t="str">
            <v>N</v>
          </cell>
        </row>
        <row r="386">
          <cell r="A386">
            <v>7502276040405</v>
          </cell>
          <cell r="V386" t="str">
            <v>N</v>
          </cell>
          <cell r="Y386" t="str">
            <v>N</v>
          </cell>
        </row>
        <row r="387">
          <cell r="A387">
            <v>7501058623188</v>
          </cell>
          <cell r="V387" t="str">
            <v>N</v>
          </cell>
          <cell r="Y387" t="str">
            <v>N</v>
          </cell>
        </row>
        <row r="388">
          <cell r="A388">
            <v>7501058623317</v>
          </cell>
          <cell r="V388" t="str">
            <v>N</v>
          </cell>
          <cell r="Y388" t="str">
            <v>N</v>
          </cell>
        </row>
        <row r="389">
          <cell r="A389">
            <v>7501058623195</v>
          </cell>
          <cell r="V389" t="str">
            <v>N</v>
          </cell>
          <cell r="Y389" t="str">
            <v>N</v>
          </cell>
        </row>
        <row r="390">
          <cell r="A390">
            <v>7501058623300</v>
          </cell>
          <cell r="V390" t="str">
            <v>N</v>
          </cell>
          <cell r="Y390" t="str">
            <v>N</v>
          </cell>
        </row>
        <row r="391">
          <cell r="A391">
            <v>7501058623294</v>
          </cell>
          <cell r="V391" t="str">
            <v>N</v>
          </cell>
          <cell r="Y391" t="str">
            <v>N</v>
          </cell>
        </row>
        <row r="392">
          <cell r="A392">
            <v>7501065064134</v>
          </cell>
          <cell r="V392" t="str">
            <v>S</v>
          </cell>
          <cell r="Y392" t="str">
            <v>N</v>
          </cell>
        </row>
        <row r="393">
          <cell r="A393">
            <v>650240024931</v>
          </cell>
          <cell r="V393" t="str">
            <v>N</v>
          </cell>
          <cell r="Y393" t="str">
            <v>N</v>
          </cell>
        </row>
        <row r="394">
          <cell r="A394">
            <v>7501123013340</v>
          </cell>
          <cell r="V394" t="str">
            <v>N</v>
          </cell>
          <cell r="Y394" t="str">
            <v>N</v>
          </cell>
        </row>
        <row r="395">
          <cell r="A395" t="str">
            <v>7501125174797-</v>
          </cell>
          <cell r="V395" t="str">
            <v>N</v>
          </cell>
          <cell r="Y395" t="str">
            <v>N</v>
          </cell>
        </row>
        <row r="396">
          <cell r="A396">
            <v>7501417007666</v>
          </cell>
          <cell r="V396" t="str">
            <v>S</v>
          </cell>
          <cell r="Y396" t="str">
            <v>N</v>
          </cell>
        </row>
        <row r="397">
          <cell r="A397">
            <v>7501300407061</v>
          </cell>
          <cell r="V397" t="str">
            <v>N</v>
          </cell>
          <cell r="Y397" t="str">
            <v>N</v>
          </cell>
        </row>
        <row r="398">
          <cell r="A398">
            <v>7506022326058</v>
          </cell>
          <cell r="V398" t="str">
            <v>S</v>
          </cell>
          <cell r="Y398" t="str">
            <v>N</v>
          </cell>
        </row>
        <row r="399">
          <cell r="A399">
            <v>650240006647</v>
          </cell>
          <cell r="V399" t="str">
            <v>N</v>
          </cell>
          <cell r="Y399" t="str">
            <v>N</v>
          </cell>
        </row>
        <row r="400">
          <cell r="A400">
            <v>650240010507</v>
          </cell>
          <cell r="V400" t="str">
            <v>N</v>
          </cell>
          <cell r="Y400" t="str">
            <v>N</v>
          </cell>
        </row>
        <row r="401">
          <cell r="A401">
            <v>650240015571</v>
          </cell>
          <cell r="V401" t="str">
            <v>N</v>
          </cell>
          <cell r="Y401" t="str">
            <v>N</v>
          </cell>
        </row>
        <row r="402">
          <cell r="A402">
            <v>650240015366</v>
          </cell>
          <cell r="V402" t="str">
            <v>N</v>
          </cell>
          <cell r="Y402" t="str">
            <v>N</v>
          </cell>
        </row>
        <row r="403">
          <cell r="A403">
            <v>7501123013302</v>
          </cell>
          <cell r="V403" t="str">
            <v>N</v>
          </cell>
          <cell r="Y403" t="str">
            <v>N</v>
          </cell>
        </row>
        <row r="404">
          <cell r="A404">
            <v>35324</v>
          </cell>
          <cell r="V404" t="str">
            <v>S</v>
          </cell>
          <cell r="Y404" t="str">
            <v>N</v>
          </cell>
        </row>
        <row r="405">
          <cell r="A405">
            <v>7502214980015</v>
          </cell>
          <cell r="V405" t="str">
            <v>S</v>
          </cell>
          <cell r="Y405" t="str">
            <v>N</v>
          </cell>
        </row>
        <row r="406">
          <cell r="A406">
            <v>7502214982477</v>
          </cell>
          <cell r="V406" t="str">
            <v>S</v>
          </cell>
          <cell r="Y406" t="str">
            <v>N</v>
          </cell>
        </row>
        <row r="407">
          <cell r="A407">
            <v>7502214982491</v>
          </cell>
          <cell r="V407" t="str">
            <v>S</v>
          </cell>
          <cell r="Y407" t="str">
            <v>N</v>
          </cell>
        </row>
        <row r="408">
          <cell r="A408">
            <v>7502214982514</v>
          </cell>
          <cell r="V408" t="str">
            <v>S</v>
          </cell>
          <cell r="Y408" t="str">
            <v>N</v>
          </cell>
        </row>
        <row r="409">
          <cell r="A409">
            <v>7501825300373</v>
          </cell>
          <cell r="V409" t="str">
            <v>N</v>
          </cell>
          <cell r="Y409" t="str">
            <v>N</v>
          </cell>
        </row>
        <row r="410">
          <cell r="A410">
            <v>7501075720969</v>
          </cell>
          <cell r="V410" t="str">
            <v>N</v>
          </cell>
          <cell r="Y410" t="str">
            <v>N</v>
          </cell>
        </row>
        <row r="411">
          <cell r="A411">
            <v>7502208894397</v>
          </cell>
          <cell r="V411" t="str">
            <v>N</v>
          </cell>
          <cell r="Y411" t="str">
            <v>N</v>
          </cell>
        </row>
        <row r="412">
          <cell r="A412">
            <v>7501075717013</v>
          </cell>
          <cell r="V412" t="str">
            <v>N</v>
          </cell>
          <cell r="Y412" t="str">
            <v>N</v>
          </cell>
        </row>
        <row r="413">
          <cell r="A413">
            <v>785118753955</v>
          </cell>
          <cell r="V413" t="str">
            <v>N</v>
          </cell>
          <cell r="Y413" t="str">
            <v>N</v>
          </cell>
        </row>
        <row r="414">
          <cell r="A414">
            <v>7501125187131</v>
          </cell>
          <cell r="V414" t="str">
            <v>N</v>
          </cell>
          <cell r="Y414" t="str">
            <v>N</v>
          </cell>
        </row>
        <row r="415">
          <cell r="A415">
            <v>7501125104343</v>
          </cell>
          <cell r="V415" t="str">
            <v>N</v>
          </cell>
          <cell r="Y415" t="str">
            <v>N</v>
          </cell>
        </row>
        <row r="416">
          <cell r="A416">
            <v>7501125144851</v>
          </cell>
          <cell r="V416" t="str">
            <v>N</v>
          </cell>
          <cell r="Y416" t="str">
            <v>N</v>
          </cell>
        </row>
        <row r="417">
          <cell r="A417">
            <v>7501125103582</v>
          </cell>
          <cell r="V417" t="str">
            <v>N</v>
          </cell>
          <cell r="Y417" t="str">
            <v>N</v>
          </cell>
        </row>
        <row r="418">
          <cell r="A418">
            <v>7501125104688</v>
          </cell>
          <cell r="V418" t="str">
            <v>N</v>
          </cell>
          <cell r="Y418" t="str">
            <v>N</v>
          </cell>
        </row>
        <row r="419">
          <cell r="A419">
            <v>7501125118562</v>
          </cell>
          <cell r="V419" t="str">
            <v>N</v>
          </cell>
          <cell r="Y419" t="str">
            <v>N</v>
          </cell>
        </row>
        <row r="420">
          <cell r="A420">
            <v>7501125104268</v>
          </cell>
          <cell r="V420" t="str">
            <v>N</v>
          </cell>
          <cell r="Y420" t="str">
            <v>N</v>
          </cell>
        </row>
        <row r="421">
          <cell r="A421">
            <v>7501125174797</v>
          </cell>
          <cell r="V421" t="str">
            <v>N</v>
          </cell>
          <cell r="Y421" t="str">
            <v>N</v>
          </cell>
        </row>
        <row r="422">
          <cell r="A422">
            <v>7501125104411</v>
          </cell>
          <cell r="V422" t="str">
            <v>N</v>
          </cell>
          <cell r="Y422" t="str">
            <v>N</v>
          </cell>
        </row>
        <row r="423">
          <cell r="A423">
            <v>7501125187179</v>
          </cell>
          <cell r="V423" t="str">
            <v>N</v>
          </cell>
          <cell r="Y423" t="str">
            <v>N</v>
          </cell>
        </row>
        <row r="424">
          <cell r="A424">
            <v>7501125149221</v>
          </cell>
          <cell r="V424" t="str">
            <v>N</v>
          </cell>
          <cell r="Y424" t="str">
            <v>N</v>
          </cell>
        </row>
        <row r="425">
          <cell r="A425">
            <v>7501122963028</v>
          </cell>
          <cell r="V425" t="str">
            <v>N</v>
          </cell>
          <cell r="Y425" t="str">
            <v>N</v>
          </cell>
        </row>
        <row r="426">
          <cell r="A426">
            <v>7501349012004</v>
          </cell>
          <cell r="V426" t="str">
            <v>N</v>
          </cell>
          <cell r="Y426" t="str">
            <v>N</v>
          </cell>
        </row>
        <row r="427">
          <cell r="A427">
            <v>7502253602312</v>
          </cell>
          <cell r="V427" t="str">
            <v>S</v>
          </cell>
          <cell r="Y427" t="str">
            <v>N</v>
          </cell>
        </row>
        <row r="428">
          <cell r="A428">
            <v>7501059225411</v>
          </cell>
          <cell r="V428" t="str">
            <v>N</v>
          </cell>
          <cell r="Y428" t="str">
            <v>N</v>
          </cell>
        </row>
        <row r="429">
          <cell r="A429">
            <v>7503008821101</v>
          </cell>
          <cell r="V429" t="str">
            <v>S</v>
          </cell>
          <cell r="Y429" t="str">
            <v>N</v>
          </cell>
        </row>
        <row r="430">
          <cell r="A430">
            <v>7501349025387</v>
          </cell>
          <cell r="V430" t="str">
            <v>N</v>
          </cell>
          <cell r="Y430" t="str">
            <v>N</v>
          </cell>
        </row>
        <row r="431">
          <cell r="A431">
            <v>7501277093908</v>
          </cell>
          <cell r="V431" t="str">
            <v>N</v>
          </cell>
          <cell r="Y431" t="str">
            <v>N</v>
          </cell>
        </row>
        <row r="432">
          <cell r="A432">
            <v>7501095451096</v>
          </cell>
          <cell r="V432" t="str">
            <v>N</v>
          </cell>
          <cell r="Y432" t="str">
            <v>N</v>
          </cell>
        </row>
        <row r="433">
          <cell r="A433">
            <v>7502276040368</v>
          </cell>
          <cell r="V433" t="str">
            <v>N</v>
          </cell>
          <cell r="Y433" t="str">
            <v>N</v>
          </cell>
        </row>
        <row r="434">
          <cell r="A434">
            <v>7502009747366</v>
          </cell>
          <cell r="V434" t="str">
            <v>N</v>
          </cell>
          <cell r="Y434" t="str">
            <v>N</v>
          </cell>
        </row>
        <row r="435">
          <cell r="A435">
            <v>7501108767527</v>
          </cell>
          <cell r="V435" t="str">
            <v>N</v>
          </cell>
          <cell r="Y435" t="str">
            <v>N</v>
          </cell>
        </row>
        <row r="436">
          <cell r="A436">
            <v>4015630981977</v>
          </cell>
          <cell r="V436" t="str">
            <v>S</v>
          </cell>
          <cell r="Y436" t="str">
            <v>N</v>
          </cell>
        </row>
        <row r="437">
          <cell r="A437">
            <v>7501092793052</v>
          </cell>
          <cell r="V437" t="str">
            <v>N</v>
          </cell>
          <cell r="Y437" t="str">
            <v>N</v>
          </cell>
        </row>
        <row r="438">
          <cell r="A438" t="str">
            <v>7501125104688-</v>
          </cell>
          <cell r="V438" t="str">
            <v>N</v>
          </cell>
          <cell r="Y438" t="str">
            <v>N</v>
          </cell>
        </row>
        <row r="439">
          <cell r="A439">
            <v>4015630067084</v>
          </cell>
          <cell r="V439" t="str">
            <v>S</v>
          </cell>
          <cell r="Y439" t="str">
            <v>N</v>
          </cell>
        </row>
        <row r="440">
          <cell r="A440">
            <v>7501033954078</v>
          </cell>
          <cell r="V440" t="str">
            <v>S</v>
          </cell>
          <cell r="Y440" t="str">
            <v>N</v>
          </cell>
        </row>
        <row r="441">
          <cell r="A441">
            <v>780083149857</v>
          </cell>
          <cell r="V441" t="str">
            <v>N</v>
          </cell>
          <cell r="Y441" t="str">
            <v>N</v>
          </cell>
        </row>
        <row r="442">
          <cell r="A442">
            <v>7501868900134</v>
          </cell>
          <cell r="V442" t="str">
            <v>S</v>
          </cell>
          <cell r="Y442" t="str">
            <v>N</v>
          </cell>
        </row>
        <row r="443">
          <cell r="A443">
            <v>7501868900127</v>
          </cell>
          <cell r="V443" t="str">
            <v>S</v>
          </cell>
          <cell r="Y443" t="str">
            <v>N</v>
          </cell>
        </row>
        <row r="444">
          <cell r="A444">
            <v>7501058623201</v>
          </cell>
          <cell r="V444" t="str">
            <v>N</v>
          </cell>
          <cell r="Y444" t="str">
            <v>N</v>
          </cell>
        </row>
        <row r="445">
          <cell r="A445">
            <v>7501008409527</v>
          </cell>
          <cell r="V445" t="str">
            <v>N</v>
          </cell>
          <cell r="Y445" t="str">
            <v>N</v>
          </cell>
        </row>
        <row r="446">
          <cell r="A446">
            <v>300090275051</v>
          </cell>
          <cell r="V446" t="str">
            <v>N</v>
          </cell>
          <cell r="Y446" t="str">
            <v>N</v>
          </cell>
        </row>
        <row r="447">
          <cell r="A447">
            <v>7501008433676</v>
          </cell>
          <cell r="V447" t="str">
            <v>N</v>
          </cell>
          <cell r="Y447" t="str">
            <v>N</v>
          </cell>
        </row>
        <row r="448">
          <cell r="A448">
            <v>7501075715927</v>
          </cell>
          <cell r="V448" t="str">
            <v>N</v>
          </cell>
          <cell r="Y448" t="str">
            <v>N</v>
          </cell>
        </row>
        <row r="449">
          <cell r="A449">
            <v>7501825301653</v>
          </cell>
          <cell r="V449" t="str">
            <v>N</v>
          </cell>
          <cell r="Y449" t="str">
            <v>N</v>
          </cell>
        </row>
        <row r="450">
          <cell r="A450">
            <v>650240017100</v>
          </cell>
          <cell r="V450" t="str">
            <v>N</v>
          </cell>
          <cell r="Y450" t="str">
            <v>N</v>
          </cell>
        </row>
        <row r="451">
          <cell r="A451">
            <v>7501165000315</v>
          </cell>
          <cell r="V451" t="str">
            <v>N</v>
          </cell>
          <cell r="Y451" t="str">
            <v>N</v>
          </cell>
        </row>
        <row r="452">
          <cell r="A452">
            <v>7501125116810</v>
          </cell>
          <cell r="V452" t="str">
            <v>N</v>
          </cell>
          <cell r="Y452" t="str">
            <v>N</v>
          </cell>
        </row>
        <row r="453">
          <cell r="A453">
            <v>7501065060891</v>
          </cell>
          <cell r="V453" t="str">
            <v>N</v>
          </cell>
          <cell r="Y453" t="str">
            <v>N</v>
          </cell>
        </row>
        <row r="454">
          <cell r="A454">
            <v>7501058714312</v>
          </cell>
          <cell r="V454" t="str">
            <v>N</v>
          </cell>
          <cell r="Y454" t="str">
            <v>N</v>
          </cell>
        </row>
        <row r="455">
          <cell r="A455">
            <v>7501095452116</v>
          </cell>
          <cell r="V455" t="str">
            <v>N</v>
          </cell>
          <cell r="Y455" t="str">
            <v>N</v>
          </cell>
        </row>
        <row r="456">
          <cell r="A456">
            <v>7501095452505</v>
          </cell>
          <cell r="V456" t="str">
            <v>N</v>
          </cell>
          <cell r="Y456" t="str">
            <v>N</v>
          </cell>
        </row>
        <row r="457">
          <cell r="A457">
            <v>7501008485408</v>
          </cell>
          <cell r="V457" t="str">
            <v>N</v>
          </cell>
          <cell r="Y457" t="str">
            <v>N</v>
          </cell>
        </row>
        <row r="458">
          <cell r="A458">
            <v>7501095452147</v>
          </cell>
          <cell r="V458" t="str">
            <v>N</v>
          </cell>
          <cell r="Y458" t="str">
            <v>N</v>
          </cell>
        </row>
        <row r="459">
          <cell r="A459">
            <v>7501033954061</v>
          </cell>
          <cell r="V459" t="str">
            <v>S</v>
          </cell>
          <cell r="Y459" t="str">
            <v>N</v>
          </cell>
        </row>
        <row r="460">
          <cell r="A460">
            <v>7501008427330</v>
          </cell>
          <cell r="V460" t="str">
            <v>N</v>
          </cell>
          <cell r="Y460" t="str">
            <v>N</v>
          </cell>
        </row>
        <row r="461">
          <cell r="A461">
            <v>7501088505126</v>
          </cell>
          <cell r="V461" t="str">
            <v>N</v>
          </cell>
          <cell r="Y461" t="str">
            <v>N</v>
          </cell>
        </row>
        <row r="462">
          <cell r="A462">
            <v>75020286</v>
          </cell>
          <cell r="V462" t="str">
            <v>N</v>
          </cell>
          <cell r="Y462" t="str">
            <v>N</v>
          </cell>
        </row>
        <row r="463">
          <cell r="A463">
            <v>7501298219608</v>
          </cell>
          <cell r="V463" t="str">
            <v>N</v>
          </cell>
          <cell r="Y463" t="str">
            <v>N</v>
          </cell>
        </row>
        <row r="464">
          <cell r="A464">
            <v>5016003195303</v>
          </cell>
          <cell r="V464" t="str">
            <v>S</v>
          </cell>
          <cell r="Y464" t="str">
            <v>N</v>
          </cell>
        </row>
        <row r="465">
          <cell r="A465">
            <v>7501298281209</v>
          </cell>
          <cell r="V465" t="str">
            <v>N</v>
          </cell>
          <cell r="Y465" t="str">
            <v>N</v>
          </cell>
        </row>
        <row r="466">
          <cell r="A466" t="str">
            <v>7501125104411-</v>
          </cell>
          <cell r="V466" t="str">
            <v>N</v>
          </cell>
          <cell r="Y466" t="str">
            <v>N</v>
          </cell>
        </row>
        <row r="467">
          <cell r="A467">
            <v>7501125100246</v>
          </cell>
          <cell r="V467" t="str">
            <v>N</v>
          </cell>
          <cell r="Y467" t="str">
            <v>N</v>
          </cell>
        </row>
        <row r="468">
          <cell r="A468">
            <v>7501125100123</v>
          </cell>
          <cell r="V468" t="str">
            <v>N</v>
          </cell>
          <cell r="Y468" t="str">
            <v>N</v>
          </cell>
        </row>
        <row r="469">
          <cell r="A469">
            <v>7501125100253</v>
          </cell>
          <cell r="V469" t="str">
            <v>N</v>
          </cell>
          <cell r="Y469" t="str">
            <v>N</v>
          </cell>
        </row>
        <row r="470">
          <cell r="A470">
            <v>7502247373495</v>
          </cell>
          <cell r="V470" t="str">
            <v>N</v>
          </cell>
          <cell r="Y470" t="str">
            <v>N</v>
          </cell>
        </row>
        <row r="471">
          <cell r="A471">
            <v>7501349027787</v>
          </cell>
          <cell r="V471" t="str">
            <v>N</v>
          </cell>
          <cell r="Y471" t="str">
            <v>N</v>
          </cell>
        </row>
        <row r="472">
          <cell r="A472">
            <v>7502227871065</v>
          </cell>
          <cell r="V472" t="str">
            <v>N</v>
          </cell>
          <cell r="Y472" t="str">
            <v>N</v>
          </cell>
        </row>
        <row r="473">
          <cell r="A473">
            <v>785120755046</v>
          </cell>
          <cell r="V473" t="str">
            <v>N</v>
          </cell>
          <cell r="Y473" t="str">
            <v>N</v>
          </cell>
        </row>
        <row r="474">
          <cell r="A474">
            <v>7501058715494</v>
          </cell>
          <cell r="V474" t="str">
            <v>N</v>
          </cell>
          <cell r="Y474" t="str">
            <v>N</v>
          </cell>
        </row>
        <row r="475">
          <cell r="A475">
            <v>7502216805385</v>
          </cell>
          <cell r="V475" t="str">
            <v>N</v>
          </cell>
          <cell r="Y475" t="str">
            <v>N</v>
          </cell>
        </row>
        <row r="476">
          <cell r="A476">
            <v>7502216796737</v>
          </cell>
          <cell r="V476" t="str">
            <v>N</v>
          </cell>
          <cell r="Y476" t="str">
            <v>N</v>
          </cell>
        </row>
        <row r="477">
          <cell r="A477">
            <v>7502211789284</v>
          </cell>
          <cell r="V477" t="str">
            <v>N</v>
          </cell>
          <cell r="Y477" t="str">
            <v>N</v>
          </cell>
        </row>
        <row r="478">
          <cell r="A478">
            <v>7501349028487</v>
          </cell>
          <cell r="V478" t="str">
            <v>N</v>
          </cell>
          <cell r="Y478" t="str">
            <v>N</v>
          </cell>
        </row>
        <row r="479">
          <cell r="A479">
            <v>7502216795204</v>
          </cell>
          <cell r="V479" t="str">
            <v>N</v>
          </cell>
          <cell r="Y479" t="str">
            <v>N</v>
          </cell>
        </row>
        <row r="480">
          <cell r="A480">
            <v>7501125100130</v>
          </cell>
          <cell r="V480" t="str">
            <v>N</v>
          </cell>
          <cell r="Y480" t="str">
            <v>N</v>
          </cell>
        </row>
        <row r="481">
          <cell r="A481">
            <v>7502211788690</v>
          </cell>
          <cell r="V481" t="str">
            <v>N</v>
          </cell>
          <cell r="Y481" t="str">
            <v>N</v>
          </cell>
        </row>
        <row r="482">
          <cell r="A482">
            <v>7501537102586</v>
          </cell>
          <cell r="V482" t="str">
            <v>N</v>
          </cell>
          <cell r="Y482" t="str">
            <v>N</v>
          </cell>
        </row>
        <row r="483">
          <cell r="A483">
            <v>7502216796782</v>
          </cell>
          <cell r="V483" t="str">
            <v>N</v>
          </cell>
          <cell r="Y483" t="str">
            <v>N</v>
          </cell>
        </row>
        <row r="484">
          <cell r="A484">
            <v>650240053634</v>
          </cell>
          <cell r="V484" t="str">
            <v>N</v>
          </cell>
          <cell r="Y484" t="str">
            <v>N</v>
          </cell>
        </row>
        <row r="485">
          <cell r="A485">
            <v>7501070612368</v>
          </cell>
          <cell r="V485" t="str">
            <v>N</v>
          </cell>
          <cell r="Y485" t="str">
            <v>N</v>
          </cell>
        </row>
        <row r="486">
          <cell r="A486" t="str">
            <v>7501125104268-</v>
          </cell>
          <cell r="V486" t="str">
            <v>N</v>
          </cell>
          <cell r="Y486" t="str">
            <v>N</v>
          </cell>
        </row>
        <row r="487">
          <cell r="A487">
            <v>7501573921264</v>
          </cell>
          <cell r="V487" t="str">
            <v>N</v>
          </cell>
          <cell r="Y487" t="str">
            <v>N</v>
          </cell>
        </row>
        <row r="488">
          <cell r="A488">
            <v>7502223112346</v>
          </cell>
          <cell r="V488" t="str">
            <v>N</v>
          </cell>
          <cell r="Y488" t="str">
            <v>N</v>
          </cell>
        </row>
        <row r="489">
          <cell r="A489">
            <v>7501349024991</v>
          </cell>
          <cell r="V489" t="str">
            <v>N</v>
          </cell>
          <cell r="Y489" t="str">
            <v>N</v>
          </cell>
        </row>
        <row r="490">
          <cell r="A490">
            <v>780083139575</v>
          </cell>
          <cell r="V490" t="str">
            <v>N</v>
          </cell>
          <cell r="Y490" t="str">
            <v>N</v>
          </cell>
        </row>
        <row r="491">
          <cell r="A491">
            <v>7502240450018</v>
          </cell>
          <cell r="V491" t="str">
            <v>N</v>
          </cell>
          <cell r="Y491" t="str">
            <v>N</v>
          </cell>
        </row>
        <row r="492">
          <cell r="A492">
            <v>7502240450780</v>
          </cell>
          <cell r="V492" t="str">
            <v>N</v>
          </cell>
          <cell r="Y492" t="str">
            <v>N</v>
          </cell>
        </row>
        <row r="493">
          <cell r="A493">
            <v>7501563024586</v>
          </cell>
          <cell r="V493" t="str">
            <v>S</v>
          </cell>
          <cell r="Y493" t="str">
            <v>N</v>
          </cell>
        </row>
        <row r="494">
          <cell r="A494">
            <v>7502226292410</v>
          </cell>
          <cell r="V494" t="str">
            <v>N</v>
          </cell>
          <cell r="Y494" t="str">
            <v>N</v>
          </cell>
        </row>
        <row r="495">
          <cell r="A495">
            <v>7501349020412</v>
          </cell>
          <cell r="V495" t="str">
            <v>N</v>
          </cell>
          <cell r="Y495" t="str">
            <v>N</v>
          </cell>
        </row>
        <row r="496">
          <cell r="A496">
            <v>7501563020090</v>
          </cell>
          <cell r="V496" t="str">
            <v>S</v>
          </cell>
          <cell r="Y496" t="str">
            <v>N</v>
          </cell>
        </row>
        <row r="497">
          <cell r="A497">
            <v>7501563020366</v>
          </cell>
          <cell r="V497" t="str">
            <v>S</v>
          </cell>
          <cell r="Y497" t="str">
            <v>N</v>
          </cell>
        </row>
        <row r="498">
          <cell r="A498">
            <v>7501563020113</v>
          </cell>
          <cell r="V498" t="str">
            <v>S</v>
          </cell>
          <cell r="Y498" t="str">
            <v>N</v>
          </cell>
        </row>
        <row r="499">
          <cell r="A499">
            <v>7502216799318</v>
          </cell>
          <cell r="V499" t="str">
            <v>N</v>
          </cell>
          <cell r="Y499" t="str">
            <v>N</v>
          </cell>
        </row>
        <row r="500">
          <cell r="A500">
            <v>7502009740299</v>
          </cell>
          <cell r="V500" t="str">
            <v>N</v>
          </cell>
          <cell r="Y500" t="str">
            <v>N</v>
          </cell>
        </row>
        <row r="501">
          <cell r="A501">
            <v>7501349028494</v>
          </cell>
          <cell r="V501" t="str">
            <v>N</v>
          </cell>
          <cell r="Y501" t="str">
            <v>N</v>
          </cell>
        </row>
        <row r="502">
          <cell r="A502">
            <v>7501095409004</v>
          </cell>
          <cell r="V502" t="str">
            <v>N</v>
          </cell>
          <cell r="Y502" t="str">
            <v>N</v>
          </cell>
        </row>
        <row r="503">
          <cell r="A503">
            <v>8400005656</v>
          </cell>
          <cell r="V503" t="str">
            <v>S</v>
          </cell>
          <cell r="Y503" t="str">
            <v>N</v>
          </cell>
        </row>
        <row r="504">
          <cell r="A504">
            <v>759684317071</v>
          </cell>
          <cell r="V504" t="str">
            <v>S</v>
          </cell>
          <cell r="Y504" t="str">
            <v>N</v>
          </cell>
        </row>
        <row r="505">
          <cell r="A505">
            <v>8400005823</v>
          </cell>
          <cell r="V505" t="str">
            <v>N</v>
          </cell>
          <cell r="Y505" t="str">
            <v>N</v>
          </cell>
        </row>
        <row r="506">
          <cell r="A506" t="str">
            <v>7501125149221-</v>
          </cell>
          <cell r="V506" t="str">
            <v>N</v>
          </cell>
          <cell r="Y506" t="str">
            <v>N</v>
          </cell>
        </row>
        <row r="507">
          <cell r="A507">
            <v>714706910906</v>
          </cell>
          <cell r="V507" t="str">
            <v>S</v>
          </cell>
          <cell r="Y507" t="str">
            <v>N</v>
          </cell>
        </row>
        <row r="508">
          <cell r="A508">
            <v>714706910913</v>
          </cell>
          <cell r="V508" t="str">
            <v>N</v>
          </cell>
          <cell r="Y508" t="str">
            <v>N</v>
          </cell>
        </row>
        <row r="509">
          <cell r="A509">
            <v>714706910890</v>
          </cell>
          <cell r="V509" t="str">
            <v>S</v>
          </cell>
          <cell r="Y509" t="str">
            <v>N</v>
          </cell>
        </row>
        <row r="510">
          <cell r="A510">
            <v>714706910487</v>
          </cell>
          <cell r="V510" t="str">
            <v>N</v>
          </cell>
          <cell r="Y510" t="str">
            <v>N</v>
          </cell>
        </row>
        <row r="511">
          <cell r="A511">
            <v>714706907654</v>
          </cell>
          <cell r="V511" t="str">
            <v>N</v>
          </cell>
          <cell r="Y511" t="str">
            <v>S</v>
          </cell>
        </row>
        <row r="512">
          <cell r="A512">
            <v>714706100307</v>
          </cell>
          <cell r="V512" t="str">
            <v>N</v>
          </cell>
          <cell r="Y512" t="str">
            <v>N</v>
          </cell>
        </row>
        <row r="513">
          <cell r="A513">
            <v>714706904974</v>
          </cell>
          <cell r="V513" t="str">
            <v>N</v>
          </cell>
          <cell r="Y513" t="str">
            <v>N</v>
          </cell>
        </row>
        <row r="514">
          <cell r="A514">
            <v>714706902918</v>
          </cell>
          <cell r="V514" t="str">
            <v>N</v>
          </cell>
          <cell r="Y514" t="str">
            <v>N</v>
          </cell>
        </row>
        <row r="515">
          <cell r="A515">
            <v>714706903205</v>
          </cell>
          <cell r="V515" t="str">
            <v>N</v>
          </cell>
          <cell r="Y515" t="str">
            <v>N</v>
          </cell>
        </row>
        <row r="516">
          <cell r="A516">
            <v>714706903182</v>
          </cell>
          <cell r="V516" t="str">
            <v>N</v>
          </cell>
          <cell r="Y516" t="str">
            <v>S</v>
          </cell>
        </row>
        <row r="517">
          <cell r="A517">
            <v>7501008497593</v>
          </cell>
          <cell r="V517" t="str">
            <v>N</v>
          </cell>
          <cell r="Y517" t="str">
            <v>N</v>
          </cell>
        </row>
        <row r="518">
          <cell r="A518">
            <v>100003</v>
          </cell>
          <cell r="V518" t="str">
            <v>S</v>
          </cell>
          <cell r="Y518" t="str">
            <v>N</v>
          </cell>
        </row>
        <row r="519">
          <cell r="A519">
            <v>20000001</v>
          </cell>
          <cell r="V519" t="str">
            <v>S</v>
          </cell>
          <cell r="Y519" t="str">
            <v>N</v>
          </cell>
        </row>
        <row r="520">
          <cell r="A520">
            <v>7501417006133</v>
          </cell>
          <cell r="V520" t="str">
            <v>N</v>
          </cell>
          <cell r="Y520" t="str">
            <v>N</v>
          </cell>
        </row>
        <row r="521">
          <cell r="A521">
            <v>7501417007550</v>
          </cell>
          <cell r="V521" t="str">
            <v>N</v>
          </cell>
          <cell r="Y521" t="str">
            <v>N</v>
          </cell>
        </row>
        <row r="522">
          <cell r="A522">
            <v>7502216930865</v>
          </cell>
          <cell r="V522" t="str">
            <v>N</v>
          </cell>
          <cell r="Y522" t="str">
            <v>N</v>
          </cell>
        </row>
        <row r="523">
          <cell r="A523">
            <v>20000002</v>
          </cell>
          <cell r="V523" t="str">
            <v>S</v>
          </cell>
          <cell r="Y523" t="str">
            <v>N</v>
          </cell>
        </row>
        <row r="524">
          <cell r="A524">
            <v>7501058715517</v>
          </cell>
          <cell r="V524" t="str">
            <v>N</v>
          </cell>
          <cell r="Y524" t="str">
            <v>N</v>
          </cell>
        </row>
        <row r="525">
          <cell r="A525">
            <v>7501125155758</v>
          </cell>
          <cell r="V525" t="str">
            <v>N</v>
          </cell>
          <cell r="Y525" t="str">
            <v>N</v>
          </cell>
        </row>
        <row r="526">
          <cell r="A526">
            <v>7501109790029</v>
          </cell>
          <cell r="V526" t="str">
            <v>N</v>
          </cell>
          <cell r="Y526" t="str">
            <v>N</v>
          </cell>
        </row>
        <row r="527">
          <cell r="A527">
            <v>7502009745362</v>
          </cell>
          <cell r="V527" t="str">
            <v>N</v>
          </cell>
          <cell r="Y527" t="str">
            <v>N</v>
          </cell>
        </row>
        <row r="528">
          <cell r="A528">
            <v>7506022301772</v>
          </cell>
          <cell r="V528" t="str">
            <v>S</v>
          </cell>
          <cell r="Y528" t="str">
            <v>N</v>
          </cell>
        </row>
        <row r="529">
          <cell r="A529">
            <v>780083148584</v>
          </cell>
          <cell r="V529" t="str">
            <v>N</v>
          </cell>
          <cell r="Y529" t="str">
            <v>N</v>
          </cell>
        </row>
        <row r="530">
          <cell r="A530">
            <v>7502227426982</v>
          </cell>
          <cell r="V530" t="str">
            <v>N</v>
          </cell>
          <cell r="Y530" t="str">
            <v>N</v>
          </cell>
        </row>
        <row r="531">
          <cell r="A531">
            <v>7501095467264</v>
          </cell>
          <cell r="V531" t="str">
            <v>N</v>
          </cell>
          <cell r="Y531" t="str">
            <v>N</v>
          </cell>
        </row>
        <row r="532">
          <cell r="A532">
            <v>7503001007212</v>
          </cell>
          <cell r="V532" t="str">
            <v>N</v>
          </cell>
          <cell r="Y532" t="str">
            <v>N</v>
          </cell>
        </row>
        <row r="533">
          <cell r="A533">
            <v>650240052545</v>
          </cell>
          <cell r="V533" t="str">
            <v>N</v>
          </cell>
          <cell r="Y533" t="str">
            <v>N</v>
          </cell>
        </row>
        <row r="534">
          <cell r="A534">
            <v>7501022101155</v>
          </cell>
          <cell r="V534" t="str">
            <v>N</v>
          </cell>
          <cell r="Y534" t="str">
            <v>N</v>
          </cell>
        </row>
        <row r="535">
          <cell r="A535">
            <v>7506346600162</v>
          </cell>
          <cell r="V535" t="str">
            <v>S</v>
          </cell>
          <cell r="Y535" t="str">
            <v>N</v>
          </cell>
        </row>
        <row r="536">
          <cell r="A536">
            <v>7502208891228</v>
          </cell>
          <cell r="V536" t="str">
            <v>N</v>
          </cell>
          <cell r="Y536" t="str">
            <v>N</v>
          </cell>
        </row>
        <row r="537">
          <cell r="A537">
            <v>8400007148</v>
          </cell>
          <cell r="V537" t="str">
            <v>N</v>
          </cell>
          <cell r="Y537" t="str">
            <v>N</v>
          </cell>
        </row>
        <row r="538">
          <cell r="A538">
            <v>8400007087</v>
          </cell>
          <cell r="V538" t="str">
            <v>N</v>
          </cell>
          <cell r="Y538" t="str">
            <v>N</v>
          </cell>
        </row>
        <row r="539">
          <cell r="A539">
            <v>7501258210393</v>
          </cell>
          <cell r="V539" t="str">
            <v>N</v>
          </cell>
          <cell r="Y539" t="str">
            <v>N</v>
          </cell>
        </row>
        <row r="540">
          <cell r="A540">
            <v>7501258206723</v>
          </cell>
          <cell r="V540" t="str">
            <v>N</v>
          </cell>
          <cell r="Y540" t="str">
            <v>N</v>
          </cell>
        </row>
        <row r="541">
          <cell r="A541">
            <v>7501258205870</v>
          </cell>
          <cell r="V541" t="str">
            <v>N</v>
          </cell>
          <cell r="Y541" t="str">
            <v>N</v>
          </cell>
        </row>
        <row r="542">
          <cell r="A542">
            <v>7501258205863</v>
          </cell>
          <cell r="V542" t="str">
            <v>N</v>
          </cell>
          <cell r="Y542" t="str">
            <v>N</v>
          </cell>
        </row>
        <row r="543">
          <cell r="A543">
            <v>7501258214506</v>
          </cell>
          <cell r="V543" t="str">
            <v>N</v>
          </cell>
          <cell r="Y543" t="str">
            <v>N</v>
          </cell>
        </row>
        <row r="544">
          <cell r="A544">
            <v>3664798025705</v>
          </cell>
          <cell r="V544" t="str">
            <v>N</v>
          </cell>
          <cell r="Y544" t="str">
            <v>N</v>
          </cell>
        </row>
        <row r="545">
          <cell r="A545">
            <v>7501109902866</v>
          </cell>
          <cell r="V545" t="str">
            <v>N</v>
          </cell>
          <cell r="Y545" t="str">
            <v>N</v>
          </cell>
        </row>
        <row r="546">
          <cell r="A546">
            <v>7501072310378</v>
          </cell>
          <cell r="V546" t="str">
            <v>N</v>
          </cell>
          <cell r="Y546" t="str">
            <v>N</v>
          </cell>
        </row>
        <row r="547">
          <cell r="A547">
            <v>7501072310392</v>
          </cell>
          <cell r="V547" t="str">
            <v>N</v>
          </cell>
          <cell r="Y547" t="str">
            <v>N</v>
          </cell>
        </row>
        <row r="548">
          <cell r="A548">
            <v>7502240450025</v>
          </cell>
          <cell r="V548" t="str">
            <v>N</v>
          </cell>
          <cell r="Y548" t="str">
            <v>N</v>
          </cell>
        </row>
        <row r="549">
          <cell r="A549">
            <v>7501058792792</v>
          </cell>
          <cell r="V549" t="str">
            <v>N</v>
          </cell>
          <cell r="Y549" t="str">
            <v>N</v>
          </cell>
        </row>
        <row r="550">
          <cell r="A550">
            <v>354312225140</v>
          </cell>
          <cell r="V550" t="str">
            <v>N</v>
          </cell>
          <cell r="Y550" t="str">
            <v>N</v>
          </cell>
        </row>
        <row r="551">
          <cell r="A551">
            <v>354312225133</v>
          </cell>
          <cell r="V551" t="str">
            <v>N</v>
          </cell>
          <cell r="Y551" t="str">
            <v>N</v>
          </cell>
        </row>
        <row r="552">
          <cell r="A552">
            <v>7502208891235</v>
          </cell>
          <cell r="V552" t="str">
            <v>N</v>
          </cell>
          <cell r="Y552" t="str">
            <v>N</v>
          </cell>
        </row>
        <row r="553">
          <cell r="A553">
            <v>7502009745409</v>
          </cell>
          <cell r="V553" t="str">
            <v>N</v>
          </cell>
          <cell r="Y553" t="str">
            <v>N</v>
          </cell>
        </row>
        <row r="554">
          <cell r="A554">
            <v>7501095409059</v>
          </cell>
          <cell r="V554" t="str">
            <v>N</v>
          </cell>
          <cell r="Y554" t="str">
            <v>N</v>
          </cell>
        </row>
        <row r="555">
          <cell r="A555">
            <v>7501417515956</v>
          </cell>
          <cell r="V555" t="str">
            <v>S</v>
          </cell>
          <cell r="Y555" t="str">
            <v>N</v>
          </cell>
        </row>
        <row r="556">
          <cell r="A556">
            <v>7501048922208</v>
          </cell>
          <cell r="V556" t="str">
            <v>S</v>
          </cell>
          <cell r="Y556" t="str">
            <v>N</v>
          </cell>
        </row>
        <row r="557">
          <cell r="A557">
            <v>7501349028036</v>
          </cell>
          <cell r="V557" t="str">
            <v>N</v>
          </cell>
          <cell r="Y557" t="str">
            <v>N</v>
          </cell>
        </row>
        <row r="558">
          <cell r="A558">
            <v>75049638</v>
          </cell>
          <cell r="V558" t="str">
            <v>N</v>
          </cell>
          <cell r="Y558" t="str">
            <v>N</v>
          </cell>
        </row>
        <row r="559">
          <cell r="A559">
            <v>7501006842104</v>
          </cell>
          <cell r="V559" t="str">
            <v>S</v>
          </cell>
          <cell r="Y559" t="str">
            <v>N</v>
          </cell>
        </row>
        <row r="560">
          <cell r="A560">
            <v>7501165010673</v>
          </cell>
          <cell r="V560" t="str">
            <v>N</v>
          </cell>
          <cell r="Y560" t="str">
            <v>N</v>
          </cell>
        </row>
        <row r="561">
          <cell r="A561">
            <v>7501165010727</v>
          </cell>
          <cell r="V561" t="str">
            <v>N</v>
          </cell>
          <cell r="Y561" t="str">
            <v>N</v>
          </cell>
        </row>
        <row r="562">
          <cell r="A562">
            <v>7501033956133</v>
          </cell>
          <cell r="V562" t="str">
            <v>S</v>
          </cell>
          <cell r="Y562" t="str">
            <v>N</v>
          </cell>
        </row>
        <row r="563">
          <cell r="A563">
            <v>7501033954085</v>
          </cell>
          <cell r="V563" t="str">
            <v>S</v>
          </cell>
          <cell r="Y563" t="str">
            <v>N</v>
          </cell>
        </row>
        <row r="564">
          <cell r="A564">
            <v>7501165000230</v>
          </cell>
          <cell r="V564" t="str">
            <v>N</v>
          </cell>
          <cell r="Y564" t="str">
            <v>N</v>
          </cell>
        </row>
        <row r="565">
          <cell r="A565">
            <v>7501326004176</v>
          </cell>
          <cell r="V565" t="str">
            <v>N</v>
          </cell>
          <cell r="Y565" t="str">
            <v>N</v>
          </cell>
        </row>
        <row r="566">
          <cell r="A566">
            <v>7502227426715</v>
          </cell>
          <cell r="V566" t="str">
            <v>N</v>
          </cell>
          <cell r="Y566" t="str">
            <v>N</v>
          </cell>
        </row>
        <row r="567">
          <cell r="A567">
            <v>7502224227360</v>
          </cell>
          <cell r="V567" t="str">
            <v>N</v>
          </cell>
          <cell r="Y567" t="str">
            <v>N</v>
          </cell>
        </row>
        <row r="568">
          <cell r="A568">
            <v>637420440828</v>
          </cell>
          <cell r="V568" t="str">
            <v>N</v>
          </cell>
          <cell r="Y568" t="str">
            <v>N</v>
          </cell>
        </row>
        <row r="569">
          <cell r="A569">
            <v>637420440835</v>
          </cell>
          <cell r="V569" t="str">
            <v>N</v>
          </cell>
          <cell r="Y569" t="str">
            <v>N</v>
          </cell>
        </row>
        <row r="570">
          <cell r="A570">
            <v>7501165011786</v>
          </cell>
          <cell r="V570" t="str">
            <v>N</v>
          </cell>
          <cell r="Y570" t="str">
            <v>N</v>
          </cell>
        </row>
        <row r="571">
          <cell r="A571">
            <v>7501033956126</v>
          </cell>
          <cell r="V571" t="str">
            <v>S</v>
          </cell>
          <cell r="Y571" t="str">
            <v>N</v>
          </cell>
        </row>
        <row r="572">
          <cell r="A572">
            <v>7502009741326</v>
          </cell>
          <cell r="V572" t="str">
            <v>N</v>
          </cell>
          <cell r="Y572" t="str">
            <v>N</v>
          </cell>
        </row>
        <row r="573">
          <cell r="A573">
            <v>7501130713158</v>
          </cell>
          <cell r="V573" t="str">
            <v>N</v>
          </cell>
          <cell r="Y573" t="str">
            <v>N</v>
          </cell>
        </row>
        <row r="574">
          <cell r="A574">
            <v>7502211784036</v>
          </cell>
          <cell r="V574" t="str">
            <v>N</v>
          </cell>
          <cell r="Y574" t="str">
            <v>N</v>
          </cell>
        </row>
        <row r="575">
          <cell r="A575">
            <v>7501124815851</v>
          </cell>
          <cell r="V575" t="str">
            <v>N</v>
          </cell>
          <cell r="Y575" t="str">
            <v>N</v>
          </cell>
        </row>
        <row r="576">
          <cell r="A576">
            <v>637420223803</v>
          </cell>
          <cell r="V576" t="str">
            <v>S</v>
          </cell>
          <cell r="Y576" t="str">
            <v>N</v>
          </cell>
        </row>
        <row r="577">
          <cell r="A577">
            <v>7502009746222</v>
          </cell>
          <cell r="V577" t="str">
            <v>N</v>
          </cell>
          <cell r="Y577" t="str">
            <v>N</v>
          </cell>
        </row>
        <row r="578">
          <cell r="A578">
            <v>7502216931220</v>
          </cell>
          <cell r="V578" t="str">
            <v>N</v>
          </cell>
          <cell r="Y578" t="str">
            <v>N</v>
          </cell>
        </row>
        <row r="579">
          <cell r="A579">
            <v>7501075717914</v>
          </cell>
          <cell r="V579" t="str">
            <v>N</v>
          </cell>
          <cell r="Y579" t="str">
            <v>N</v>
          </cell>
        </row>
        <row r="580">
          <cell r="A580">
            <v>7501033956140</v>
          </cell>
          <cell r="V580" t="str">
            <v>S</v>
          </cell>
          <cell r="Y580" t="str">
            <v>N</v>
          </cell>
        </row>
        <row r="581">
          <cell r="A581">
            <v>7502208894557</v>
          </cell>
          <cell r="V581" t="str">
            <v>N</v>
          </cell>
          <cell r="Y581" t="str">
            <v>N</v>
          </cell>
        </row>
        <row r="582">
          <cell r="A582">
            <v>7501349024922</v>
          </cell>
          <cell r="V582" t="str">
            <v>N</v>
          </cell>
          <cell r="Y582" t="str">
            <v>N</v>
          </cell>
        </row>
        <row r="583">
          <cell r="A583">
            <v>7501369200016</v>
          </cell>
          <cell r="V583" t="str">
            <v>N</v>
          </cell>
          <cell r="Y583" t="str">
            <v>N</v>
          </cell>
        </row>
        <row r="584">
          <cell r="A584">
            <v>7501349024366</v>
          </cell>
          <cell r="V584" t="str">
            <v>N</v>
          </cell>
          <cell r="Y584" t="str">
            <v>N</v>
          </cell>
        </row>
        <row r="585">
          <cell r="A585">
            <v>7502224240215</v>
          </cell>
          <cell r="V585" t="str">
            <v>S</v>
          </cell>
          <cell r="Y585" t="str">
            <v>N</v>
          </cell>
        </row>
        <row r="586">
          <cell r="A586">
            <v>7501349020771</v>
          </cell>
          <cell r="V586" t="str">
            <v>N</v>
          </cell>
          <cell r="Y586" t="str">
            <v>N</v>
          </cell>
        </row>
        <row r="587">
          <cell r="A587">
            <v>7502009745393</v>
          </cell>
          <cell r="V587" t="str">
            <v>N</v>
          </cell>
          <cell r="Y587" t="str">
            <v>N</v>
          </cell>
        </row>
        <row r="588">
          <cell r="A588">
            <v>7501258206563</v>
          </cell>
          <cell r="V588" t="str">
            <v>N</v>
          </cell>
          <cell r="Y588" t="str">
            <v>N</v>
          </cell>
        </row>
        <row r="589">
          <cell r="A589">
            <v>7501125142994</v>
          </cell>
          <cell r="V589" t="str">
            <v>N</v>
          </cell>
          <cell r="Y589" t="str">
            <v>N</v>
          </cell>
        </row>
        <row r="590">
          <cell r="A590">
            <v>7502240450827</v>
          </cell>
          <cell r="V590" t="str">
            <v>N</v>
          </cell>
          <cell r="Y590" t="str">
            <v>N</v>
          </cell>
        </row>
        <row r="591">
          <cell r="A591">
            <v>650240035395</v>
          </cell>
          <cell r="V591" t="str">
            <v>S</v>
          </cell>
          <cell r="Y591" t="str">
            <v>N</v>
          </cell>
        </row>
        <row r="592">
          <cell r="A592" t="str">
            <v>650240032264*</v>
          </cell>
          <cell r="V592" t="str">
            <v>S</v>
          </cell>
          <cell r="Y592" t="str">
            <v>N</v>
          </cell>
        </row>
        <row r="593">
          <cell r="A593">
            <v>650240032257</v>
          </cell>
          <cell r="V593" t="str">
            <v>S</v>
          </cell>
          <cell r="Y593" t="str">
            <v>N</v>
          </cell>
        </row>
        <row r="594">
          <cell r="A594" t="str">
            <v>650240032301*</v>
          </cell>
          <cell r="V594" t="str">
            <v>S</v>
          </cell>
          <cell r="Y594" t="str">
            <v>N</v>
          </cell>
        </row>
        <row r="595">
          <cell r="A595" t="str">
            <v>650240057946-1</v>
          </cell>
          <cell r="V595" t="str">
            <v>S</v>
          </cell>
          <cell r="Y595" t="str">
            <v>N</v>
          </cell>
        </row>
        <row r="596">
          <cell r="A596">
            <v>7501825300724</v>
          </cell>
          <cell r="V596" t="str">
            <v>N</v>
          </cell>
          <cell r="Y596" t="str">
            <v>N</v>
          </cell>
        </row>
        <row r="597">
          <cell r="A597">
            <v>354312225027</v>
          </cell>
          <cell r="V597" t="str">
            <v>N</v>
          </cell>
          <cell r="Y597" t="str">
            <v>N</v>
          </cell>
        </row>
        <row r="598">
          <cell r="A598">
            <v>17501073025414</v>
          </cell>
          <cell r="V598" t="str">
            <v>S</v>
          </cell>
          <cell r="Y598" t="str">
            <v>N</v>
          </cell>
        </row>
        <row r="599">
          <cell r="A599">
            <v>7502001165724</v>
          </cell>
          <cell r="V599" t="str">
            <v>N</v>
          </cell>
          <cell r="Y599" t="str">
            <v>N</v>
          </cell>
        </row>
        <row r="600">
          <cell r="A600">
            <v>7502253600516</v>
          </cell>
          <cell r="V600" t="str">
            <v>S</v>
          </cell>
          <cell r="Y600" t="str">
            <v>N</v>
          </cell>
        </row>
        <row r="601">
          <cell r="A601">
            <v>7502253602282</v>
          </cell>
          <cell r="V601" t="str">
            <v>S</v>
          </cell>
          <cell r="Y601" t="str">
            <v>N</v>
          </cell>
        </row>
        <row r="602">
          <cell r="A602">
            <v>7502253600486</v>
          </cell>
          <cell r="V602" t="str">
            <v>S</v>
          </cell>
          <cell r="Y602" t="str">
            <v>N</v>
          </cell>
        </row>
        <row r="603">
          <cell r="A603">
            <v>7502253600493</v>
          </cell>
          <cell r="V603" t="str">
            <v>S</v>
          </cell>
          <cell r="Y603" t="str">
            <v>N</v>
          </cell>
        </row>
        <row r="604">
          <cell r="A604">
            <v>7502211783657</v>
          </cell>
          <cell r="V604" t="str">
            <v>N</v>
          </cell>
          <cell r="Y604" t="str">
            <v>N</v>
          </cell>
        </row>
        <row r="605">
          <cell r="A605">
            <v>7501035908123</v>
          </cell>
          <cell r="V605" t="str">
            <v>S</v>
          </cell>
          <cell r="Y605" t="str">
            <v>N</v>
          </cell>
        </row>
        <row r="606">
          <cell r="A606">
            <v>7501035908116</v>
          </cell>
          <cell r="V606" t="str">
            <v>S</v>
          </cell>
          <cell r="Y606" t="str">
            <v>N</v>
          </cell>
        </row>
        <row r="607">
          <cell r="A607">
            <v>7509546058962</v>
          </cell>
          <cell r="V607" t="str">
            <v>S</v>
          </cell>
          <cell r="Y607" t="str">
            <v>N</v>
          </cell>
        </row>
        <row r="608">
          <cell r="A608">
            <v>7501070600556</v>
          </cell>
          <cell r="V608" t="str">
            <v>N</v>
          </cell>
          <cell r="Y608" t="str">
            <v>N</v>
          </cell>
        </row>
        <row r="609">
          <cell r="A609">
            <v>7501070600730</v>
          </cell>
          <cell r="V609" t="str">
            <v>N</v>
          </cell>
          <cell r="Y609" t="str">
            <v>N</v>
          </cell>
        </row>
        <row r="610">
          <cell r="A610">
            <v>7501057002663</v>
          </cell>
          <cell r="V610" t="str">
            <v>N</v>
          </cell>
          <cell r="Y610" t="str">
            <v>N</v>
          </cell>
        </row>
        <row r="611">
          <cell r="A611">
            <v>7501314704187</v>
          </cell>
          <cell r="V611" t="str">
            <v>N</v>
          </cell>
          <cell r="Y611" t="str">
            <v>N</v>
          </cell>
        </row>
        <row r="612">
          <cell r="A612">
            <v>7501314704156</v>
          </cell>
          <cell r="V612" t="str">
            <v>N</v>
          </cell>
          <cell r="Y612" t="str">
            <v>N</v>
          </cell>
        </row>
        <row r="613">
          <cell r="A613">
            <v>7501075717860</v>
          </cell>
          <cell r="V613" t="str">
            <v>N</v>
          </cell>
          <cell r="Y613" t="str">
            <v>N</v>
          </cell>
        </row>
        <row r="614">
          <cell r="A614">
            <v>7501349028234</v>
          </cell>
          <cell r="V614" t="str">
            <v>N</v>
          </cell>
          <cell r="Y614" t="str">
            <v>N</v>
          </cell>
        </row>
        <row r="615">
          <cell r="A615">
            <v>5000174305449</v>
          </cell>
          <cell r="V615" t="str">
            <v>S</v>
          </cell>
          <cell r="Y615" t="str">
            <v>N</v>
          </cell>
        </row>
        <row r="616">
          <cell r="A616">
            <v>5000174003963</v>
          </cell>
          <cell r="V616" t="str">
            <v>S</v>
          </cell>
          <cell r="Y616" t="str">
            <v>N</v>
          </cell>
        </row>
        <row r="617">
          <cell r="A617">
            <v>7501008498798</v>
          </cell>
          <cell r="V617" t="str">
            <v>N</v>
          </cell>
          <cell r="Y617" t="str">
            <v>N</v>
          </cell>
        </row>
        <row r="618">
          <cell r="A618">
            <v>7502253602367</v>
          </cell>
          <cell r="V618" t="str">
            <v>S</v>
          </cell>
          <cell r="Y618" t="str">
            <v>N</v>
          </cell>
        </row>
        <row r="619">
          <cell r="A619">
            <v>7501537166311</v>
          </cell>
          <cell r="V619" t="str">
            <v>N</v>
          </cell>
          <cell r="Y619" t="str">
            <v>N</v>
          </cell>
        </row>
        <row r="620">
          <cell r="A620">
            <v>7502001165588</v>
          </cell>
          <cell r="V620" t="str">
            <v>N</v>
          </cell>
          <cell r="Y620" t="str">
            <v>N</v>
          </cell>
        </row>
        <row r="621">
          <cell r="A621">
            <v>7502211789352</v>
          </cell>
          <cell r="V621" t="str">
            <v>N</v>
          </cell>
          <cell r="Y621" t="str">
            <v>N</v>
          </cell>
        </row>
        <row r="622">
          <cell r="A622">
            <v>7501258203395</v>
          </cell>
          <cell r="V622" t="str">
            <v>N</v>
          </cell>
          <cell r="Y622" t="str">
            <v>N</v>
          </cell>
        </row>
        <row r="623">
          <cell r="A623">
            <v>7501384547912</v>
          </cell>
          <cell r="V623" t="str">
            <v>N</v>
          </cell>
          <cell r="Y623" t="str">
            <v>N</v>
          </cell>
        </row>
        <row r="624">
          <cell r="A624">
            <v>7501008433553</v>
          </cell>
          <cell r="V624" t="str">
            <v>N</v>
          </cell>
          <cell r="Y624" t="str">
            <v>N</v>
          </cell>
        </row>
        <row r="625">
          <cell r="A625">
            <v>7502240450773</v>
          </cell>
          <cell r="V625" t="str">
            <v>N</v>
          </cell>
          <cell r="Y625" t="str">
            <v>N</v>
          </cell>
        </row>
        <row r="626">
          <cell r="A626">
            <v>7501825300717</v>
          </cell>
          <cell r="V626" t="str">
            <v>N</v>
          </cell>
          <cell r="Y626" t="str">
            <v>N</v>
          </cell>
        </row>
        <row r="627">
          <cell r="A627">
            <v>7501088509766</v>
          </cell>
          <cell r="V627" t="str">
            <v>N</v>
          </cell>
          <cell r="Y627" t="str">
            <v>N</v>
          </cell>
        </row>
        <row r="628">
          <cell r="A628">
            <v>7501287630926</v>
          </cell>
          <cell r="V628" t="str">
            <v>N</v>
          </cell>
          <cell r="Y628" t="str">
            <v>N</v>
          </cell>
        </row>
        <row r="629">
          <cell r="A629">
            <v>7502216792289</v>
          </cell>
          <cell r="V629" t="str">
            <v>N</v>
          </cell>
          <cell r="Y629" t="str">
            <v>N</v>
          </cell>
        </row>
        <row r="630">
          <cell r="A630">
            <v>7501125195105</v>
          </cell>
          <cell r="V630" t="str">
            <v>N</v>
          </cell>
          <cell r="Y630" t="str">
            <v>N</v>
          </cell>
        </row>
        <row r="631">
          <cell r="A631">
            <v>7501007532363</v>
          </cell>
          <cell r="V631" t="str">
            <v>N</v>
          </cell>
          <cell r="Y631" t="str">
            <v>N</v>
          </cell>
        </row>
        <row r="632">
          <cell r="A632">
            <v>7502001162600</v>
          </cell>
          <cell r="V632" t="str">
            <v>N</v>
          </cell>
          <cell r="Y632" t="str">
            <v>N</v>
          </cell>
        </row>
        <row r="633">
          <cell r="A633">
            <v>7506022326737</v>
          </cell>
          <cell r="V633" t="str">
            <v>S</v>
          </cell>
          <cell r="Y633" t="str">
            <v>N</v>
          </cell>
        </row>
        <row r="634">
          <cell r="A634">
            <v>7501287630506</v>
          </cell>
          <cell r="V634" t="str">
            <v>N</v>
          </cell>
          <cell r="Y634" t="str">
            <v>N</v>
          </cell>
        </row>
        <row r="635">
          <cell r="A635">
            <v>7502211781059</v>
          </cell>
          <cell r="V635" t="str">
            <v>N</v>
          </cell>
          <cell r="Y635" t="str">
            <v>N</v>
          </cell>
        </row>
        <row r="636">
          <cell r="A636">
            <v>650240036729</v>
          </cell>
          <cell r="V636" t="str">
            <v>N</v>
          </cell>
          <cell r="Y636" t="str">
            <v>N</v>
          </cell>
        </row>
        <row r="637">
          <cell r="A637">
            <v>7501128108041</v>
          </cell>
          <cell r="V637" t="str">
            <v>S</v>
          </cell>
          <cell r="Y637" t="str">
            <v>N</v>
          </cell>
        </row>
        <row r="638">
          <cell r="A638">
            <v>7501128114233</v>
          </cell>
          <cell r="V638" t="str">
            <v>S</v>
          </cell>
          <cell r="Y638" t="str">
            <v>N</v>
          </cell>
        </row>
        <row r="639">
          <cell r="A639">
            <v>7501128114134</v>
          </cell>
          <cell r="V639" t="str">
            <v>S</v>
          </cell>
          <cell r="Y639" t="str">
            <v>N</v>
          </cell>
        </row>
        <row r="640">
          <cell r="A640">
            <v>7501128114226</v>
          </cell>
          <cell r="V640" t="str">
            <v>S</v>
          </cell>
          <cell r="Y640" t="str">
            <v>N</v>
          </cell>
        </row>
        <row r="641">
          <cell r="A641">
            <v>7501128114127</v>
          </cell>
          <cell r="V641" t="str">
            <v>S</v>
          </cell>
          <cell r="Y641" t="str">
            <v>N</v>
          </cell>
        </row>
        <row r="642">
          <cell r="A642">
            <v>7501128114141</v>
          </cell>
          <cell r="V642" t="str">
            <v>S</v>
          </cell>
          <cell r="Y642" t="str">
            <v>N</v>
          </cell>
        </row>
        <row r="643">
          <cell r="A643">
            <v>7501128156141</v>
          </cell>
          <cell r="V643" t="str">
            <v>S</v>
          </cell>
          <cell r="Y643" t="str">
            <v>N</v>
          </cell>
        </row>
        <row r="644">
          <cell r="A644">
            <v>7501328979496</v>
          </cell>
          <cell r="V644" t="str">
            <v>N</v>
          </cell>
          <cell r="Y644" t="str">
            <v>N</v>
          </cell>
        </row>
        <row r="645">
          <cell r="A645">
            <v>7502226296074</v>
          </cell>
          <cell r="V645" t="str">
            <v>N</v>
          </cell>
          <cell r="Y645" t="str">
            <v>N</v>
          </cell>
        </row>
        <row r="646">
          <cell r="A646">
            <v>7501258205085</v>
          </cell>
          <cell r="V646" t="str">
            <v>N</v>
          </cell>
          <cell r="Y646" t="str">
            <v>N</v>
          </cell>
        </row>
        <row r="647">
          <cell r="A647">
            <v>7501258205092</v>
          </cell>
          <cell r="V647" t="str">
            <v>N</v>
          </cell>
          <cell r="Y647" t="str">
            <v>N</v>
          </cell>
        </row>
        <row r="648">
          <cell r="A648">
            <v>7501165011632</v>
          </cell>
          <cell r="V648" t="str">
            <v>N</v>
          </cell>
          <cell r="Y648" t="str">
            <v>N</v>
          </cell>
        </row>
        <row r="649">
          <cell r="A649">
            <v>7501349011007</v>
          </cell>
          <cell r="V649" t="str">
            <v>N</v>
          </cell>
          <cell r="Y649" t="str">
            <v>N</v>
          </cell>
        </row>
        <row r="650">
          <cell r="A650">
            <v>7501128113038</v>
          </cell>
          <cell r="V650" t="str">
            <v>S</v>
          </cell>
          <cell r="Y650" t="str">
            <v>N</v>
          </cell>
        </row>
        <row r="651">
          <cell r="A651">
            <v>7501128119528</v>
          </cell>
          <cell r="V651" t="str">
            <v>S</v>
          </cell>
          <cell r="Y651" t="str">
            <v>N</v>
          </cell>
        </row>
        <row r="652">
          <cell r="A652">
            <v>7501128114417</v>
          </cell>
          <cell r="V652" t="str">
            <v>S</v>
          </cell>
          <cell r="Y652" t="str">
            <v>N</v>
          </cell>
        </row>
        <row r="653">
          <cell r="A653">
            <v>7501128119498</v>
          </cell>
          <cell r="V653" t="str">
            <v>S</v>
          </cell>
          <cell r="Y653" t="str">
            <v>N</v>
          </cell>
        </row>
        <row r="654">
          <cell r="A654">
            <v>7501128119627</v>
          </cell>
          <cell r="V654" t="str">
            <v>S</v>
          </cell>
          <cell r="Y654" t="str">
            <v>N</v>
          </cell>
        </row>
        <row r="655">
          <cell r="A655">
            <v>7501128114509</v>
          </cell>
          <cell r="V655" t="str">
            <v>S</v>
          </cell>
          <cell r="Y655" t="str">
            <v>N</v>
          </cell>
        </row>
        <row r="656">
          <cell r="A656">
            <v>7501075723861</v>
          </cell>
          <cell r="V656" t="str">
            <v>N</v>
          </cell>
          <cell r="Y656" t="str">
            <v>N</v>
          </cell>
        </row>
        <row r="657">
          <cell r="A657">
            <v>7501258215664</v>
          </cell>
          <cell r="V657" t="str">
            <v>N</v>
          </cell>
          <cell r="Y657" t="str">
            <v>N</v>
          </cell>
        </row>
        <row r="658">
          <cell r="A658">
            <v>7502009740732</v>
          </cell>
          <cell r="V658" t="str">
            <v>N</v>
          </cell>
          <cell r="Y658" t="str">
            <v>N</v>
          </cell>
        </row>
        <row r="659">
          <cell r="A659">
            <v>7501035908246</v>
          </cell>
          <cell r="V659" t="str">
            <v>S</v>
          </cell>
          <cell r="Y659" t="str">
            <v>N</v>
          </cell>
        </row>
        <row r="660">
          <cell r="A660">
            <v>780083139889</v>
          </cell>
          <cell r="V660" t="str">
            <v>N</v>
          </cell>
          <cell r="Y660" t="str">
            <v>N</v>
          </cell>
        </row>
        <row r="661">
          <cell r="A661">
            <v>7503004908738</v>
          </cell>
          <cell r="V661" t="str">
            <v>N</v>
          </cell>
          <cell r="Y661" t="str">
            <v>N</v>
          </cell>
        </row>
        <row r="662">
          <cell r="A662">
            <v>7503001007205</v>
          </cell>
          <cell r="V662" t="str">
            <v>N</v>
          </cell>
          <cell r="Y662" t="str">
            <v>N</v>
          </cell>
        </row>
        <row r="663">
          <cell r="A663">
            <v>7502009744105</v>
          </cell>
          <cell r="V663" t="str">
            <v>S</v>
          </cell>
          <cell r="Y663" t="str">
            <v>N</v>
          </cell>
        </row>
        <row r="664">
          <cell r="A664">
            <v>7896009490651</v>
          </cell>
          <cell r="V664" t="str">
            <v>S</v>
          </cell>
          <cell r="Y664" t="str">
            <v>N</v>
          </cell>
        </row>
        <row r="665">
          <cell r="A665">
            <v>7502009744082</v>
          </cell>
          <cell r="V665" t="str">
            <v>S</v>
          </cell>
          <cell r="Y665" t="str">
            <v>N</v>
          </cell>
        </row>
        <row r="666">
          <cell r="A666">
            <v>7502001160385</v>
          </cell>
          <cell r="V666" t="str">
            <v>N</v>
          </cell>
          <cell r="Y666" t="str">
            <v>N</v>
          </cell>
        </row>
        <row r="667">
          <cell r="A667">
            <v>7502009741340</v>
          </cell>
          <cell r="V667" t="str">
            <v>N</v>
          </cell>
          <cell r="Y667" t="str">
            <v>N</v>
          </cell>
        </row>
        <row r="668">
          <cell r="A668">
            <v>7501258211024</v>
          </cell>
          <cell r="V668" t="str">
            <v>N</v>
          </cell>
          <cell r="Y668" t="str">
            <v>N</v>
          </cell>
        </row>
        <row r="669">
          <cell r="A669">
            <v>7501258215657</v>
          </cell>
          <cell r="V669" t="str">
            <v>N</v>
          </cell>
          <cell r="Y669" t="str">
            <v>N</v>
          </cell>
        </row>
        <row r="670">
          <cell r="A670">
            <v>7501258205221</v>
          </cell>
          <cell r="V670" t="str">
            <v>N</v>
          </cell>
          <cell r="Y670" t="str">
            <v>N</v>
          </cell>
        </row>
        <row r="671">
          <cell r="A671">
            <v>7502009746055</v>
          </cell>
          <cell r="V671" t="str">
            <v>N</v>
          </cell>
          <cell r="Y671" t="str">
            <v>N</v>
          </cell>
        </row>
        <row r="672">
          <cell r="A672">
            <v>7501349021983</v>
          </cell>
          <cell r="V672" t="str">
            <v>N</v>
          </cell>
          <cell r="Y672" t="str">
            <v>N</v>
          </cell>
        </row>
        <row r="673">
          <cell r="A673">
            <v>7501573902584</v>
          </cell>
          <cell r="V673" t="str">
            <v>N</v>
          </cell>
          <cell r="Y673" t="str">
            <v>N</v>
          </cell>
        </row>
        <row r="674">
          <cell r="A674">
            <v>7501298221397</v>
          </cell>
          <cell r="V674" t="str">
            <v>N</v>
          </cell>
          <cell r="Y674" t="str">
            <v>N</v>
          </cell>
        </row>
        <row r="675">
          <cell r="A675">
            <v>7501590211232</v>
          </cell>
          <cell r="V675" t="str">
            <v>N</v>
          </cell>
          <cell r="Y675" t="str">
            <v>N</v>
          </cell>
        </row>
        <row r="676">
          <cell r="A676">
            <v>7502253601247</v>
          </cell>
          <cell r="V676" t="str">
            <v>S</v>
          </cell>
          <cell r="Y676" t="str">
            <v>N</v>
          </cell>
        </row>
        <row r="677">
          <cell r="A677">
            <v>780083148577</v>
          </cell>
          <cell r="V677" t="str">
            <v>N</v>
          </cell>
          <cell r="Y677" t="str">
            <v>N</v>
          </cell>
        </row>
        <row r="678">
          <cell r="A678">
            <v>70330744370</v>
          </cell>
          <cell r="V678" t="str">
            <v>S</v>
          </cell>
          <cell r="Y678" t="str">
            <v>N</v>
          </cell>
        </row>
        <row r="679">
          <cell r="A679">
            <v>7501075725216</v>
          </cell>
          <cell r="V679" t="str">
            <v>N</v>
          </cell>
          <cell r="Y679" t="str">
            <v>N</v>
          </cell>
        </row>
        <row r="680">
          <cell r="A680">
            <v>7501033956294</v>
          </cell>
          <cell r="V680" t="str">
            <v>S</v>
          </cell>
          <cell r="Y680" t="str">
            <v>N</v>
          </cell>
        </row>
        <row r="681">
          <cell r="A681">
            <v>780083149840</v>
          </cell>
          <cell r="V681" t="str">
            <v>N</v>
          </cell>
          <cell r="Y681" t="str">
            <v>N</v>
          </cell>
        </row>
        <row r="682">
          <cell r="A682">
            <v>7501349022874</v>
          </cell>
          <cell r="V682" t="str">
            <v>N</v>
          </cell>
          <cell r="Y682" t="str">
            <v>N</v>
          </cell>
        </row>
        <row r="683">
          <cell r="A683">
            <v>714908100099</v>
          </cell>
          <cell r="V683" t="str">
            <v>N</v>
          </cell>
          <cell r="Y683" t="str">
            <v>N</v>
          </cell>
        </row>
        <row r="684">
          <cell r="A684">
            <v>7501547509023</v>
          </cell>
          <cell r="V684" t="str">
            <v>N</v>
          </cell>
          <cell r="Y684" t="str">
            <v>N</v>
          </cell>
        </row>
        <row r="685">
          <cell r="A685">
            <v>7501258215640</v>
          </cell>
          <cell r="V685" t="str">
            <v>N</v>
          </cell>
          <cell r="Y685" t="str">
            <v>N</v>
          </cell>
        </row>
        <row r="686">
          <cell r="A686">
            <v>7501258208017</v>
          </cell>
          <cell r="V686" t="str">
            <v>S</v>
          </cell>
          <cell r="Y686" t="str">
            <v>N</v>
          </cell>
        </row>
        <row r="687">
          <cell r="A687">
            <v>7702003477270</v>
          </cell>
          <cell r="V687" t="str">
            <v>S</v>
          </cell>
          <cell r="Y687" t="str">
            <v>N</v>
          </cell>
        </row>
        <row r="688">
          <cell r="A688">
            <v>7500462746605</v>
          </cell>
          <cell r="V688" t="str">
            <v>S</v>
          </cell>
          <cell r="Y688" t="str">
            <v>N</v>
          </cell>
        </row>
        <row r="689">
          <cell r="A689">
            <v>7500462746612</v>
          </cell>
          <cell r="V689" t="str">
            <v>S</v>
          </cell>
          <cell r="Y689" t="str">
            <v>N</v>
          </cell>
        </row>
        <row r="690">
          <cell r="A690">
            <v>7500462746698</v>
          </cell>
          <cell r="V690" t="str">
            <v>S</v>
          </cell>
          <cell r="Y690" t="str">
            <v>N</v>
          </cell>
        </row>
        <row r="691">
          <cell r="A691">
            <v>7503008344495</v>
          </cell>
          <cell r="V691" t="str">
            <v>S</v>
          </cell>
          <cell r="Y691" t="str">
            <v>N</v>
          </cell>
        </row>
        <row r="692">
          <cell r="A692">
            <v>7502209810365</v>
          </cell>
          <cell r="V692" t="str">
            <v>N</v>
          </cell>
          <cell r="Y692" t="str">
            <v>N</v>
          </cell>
        </row>
        <row r="693">
          <cell r="A693">
            <v>7502209810358</v>
          </cell>
          <cell r="V693" t="str">
            <v>N</v>
          </cell>
          <cell r="Y693" t="str">
            <v>N</v>
          </cell>
        </row>
        <row r="694">
          <cell r="A694">
            <v>7503027742043</v>
          </cell>
          <cell r="V694" t="str">
            <v>S</v>
          </cell>
          <cell r="Y694" t="str">
            <v>N</v>
          </cell>
        </row>
        <row r="695">
          <cell r="A695">
            <v>7500142105692</v>
          </cell>
          <cell r="V695" t="str">
            <v>S</v>
          </cell>
          <cell r="Y695" t="str">
            <v>N</v>
          </cell>
        </row>
        <row r="696">
          <cell r="A696">
            <v>7502214982828</v>
          </cell>
          <cell r="V696" t="str">
            <v>S</v>
          </cell>
          <cell r="Y696" t="str">
            <v>N</v>
          </cell>
        </row>
        <row r="697">
          <cell r="A697" t="str">
            <v>7501349022133CCC</v>
          </cell>
          <cell r="V697" t="str">
            <v>N</v>
          </cell>
          <cell r="Y697" t="str">
            <v>N</v>
          </cell>
        </row>
        <row r="698">
          <cell r="A698">
            <v>7502003381153</v>
          </cell>
          <cell r="V698" t="str">
            <v>N</v>
          </cell>
          <cell r="Y698" t="str">
            <v>N</v>
          </cell>
        </row>
        <row r="699">
          <cell r="A699">
            <v>7502003381146</v>
          </cell>
          <cell r="V699" t="str">
            <v>N</v>
          </cell>
          <cell r="Y699" t="str">
            <v>N</v>
          </cell>
        </row>
        <row r="700">
          <cell r="A700">
            <v>780083148676</v>
          </cell>
          <cell r="V700" t="str">
            <v>N</v>
          </cell>
          <cell r="Y700" t="str">
            <v>N</v>
          </cell>
        </row>
        <row r="701">
          <cell r="A701">
            <v>7501008485316</v>
          </cell>
          <cell r="V701" t="str">
            <v>N</v>
          </cell>
          <cell r="Y701" t="str">
            <v>N</v>
          </cell>
        </row>
        <row r="702">
          <cell r="A702">
            <v>7501349021808</v>
          </cell>
          <cell r="V702" t="str">
            <v>N</v>
          </cell>
          <cell r="Y702" t="str">
            <v>N</v>
          </cell>
        </row>
        <row r="703">
          <cell r="A703">
            <v>650240036378</v>
          </cell>
          <cell r="V703" t="str">
            <v>N</v>
          </cell>
          <cell r="Y703" t="str">
            <v>N</v>
          </cell>
        </row>
        <row r="704">
          <cell r="A704">
            <v>7501298223704</v>
          </cell>
          <cell r="V704" t="str">
            <v>N</v>
          </cell>
          <cell r="Y704" t="str">
            <v>N</v>
          </cell>
        </row>
        <row r="705">
          <cell r="A705">
            <v>7506339394733</v>
          </cell>
          <cell r="V705" t="str">
            <v>S</v>
          </cell>
          <cell r="Y705" t="str">
            <v>N</v>
          </cell>
        </row>
        <row r="706">
          <cell r="A706">
            <v>17501128113134</v>
          </cell>
          <cell r="V706" t="str">
            <v>S</v>
          </cell>
          <cell r="Y706" t="str">
            <v>N</v>
          </cell>
        </row>
        <row r="707">
          <cell r="A707">
            <v>17501128113226</v>
          </cell>
          <cell r="V707" t="str">
            <v>S</v>
          </cell>
          <cell r="Y707" t="str">
            <v>N</v>
          </cell>
        </row>
        <row r="708">
          <cell r="A708">
            <v>7501128119573</v>
          </cell>
          <cell r="V708" t="str">
            <v>S</v>
          </cell>
          <cell r="Y708" t="str">
            <v>N</v>
          </cell>
        </row>
        <row r="709">
          <cell r="A709">
            <v>17501128113127</v>
          </cell>
          <cell r="V709" t="str">
            <v>S</v>
          </cell>
          <cell r="Y709" t="str">
            <v>N</v>
          </cell>
        </row>
        <row r="710">
          <cell r="A710">
            <v>17501128113233</v>
          </cell>
          <cell r="V710" t="str">
            <v>S</v>
          </cell>
          <cell r="Y710" t="str">
            <v>N</v>
          </cell>
        </row>
        <row r="711">
          <cell r="A711">
            <v>17501128113332</v>
          </cell>
          <cell r="V711" t="str">
            <v>S</v>
          </cell>
          <cell r="Y711" t="str">
            <v>N</v>
          </cell>
        </row>
        <row r="712">
          <cell r="A712">
            <v>7501128119542</v>
          </cell>
          <cell r="V712" t="str">
            <v>S</v>
          </cell>
          <cell r="Y712" t="str">
            <v>N</v>
          </cell>
        </row>
        <row r="713">
          <cell r="A713">
            <v>7502211780687</v>
          </cell>
          <cell r="V713" t="str">
            <v>N</v>
          </cell>
          <cell r="Y713" t="str">
            <v>N</v>
          </cell>
        </row>
        <row r="714">
          <cell r="A714">
            <v>7501058714305</v>
          </cell>
          <cell r="V714" t="str">
            <v>N</v>
          </cell>
          <cell r="Y714" t="str">
            <v>N</v>
          </cell>
        </row>
        <row r="715">
          <cell r="A715">
            <v>7502270710045</v>
          </cell>
          <cell r="V715" t="str">
            <v>S</v>
          </cell>
          <cell r="Y715" t="str">
            <v>N</v>
          </cell>
        </row>
        <row r="716">
          <cell r="A716">
            <v>7502270710007</v>
          </cell>
          <cell r="V716" t="str">
            <v>S</v>
          </cell>
          <cell r="Y716" t="str">
            <v>N</v>
          </cell>
        </row>
        <row r="717">
          <cell r="A717">
            <v>7502270710021</v>
          </cell>
          <cell r="V717" t="str">
            <v>S</v>
          </cell>
          <cell r="Y717" t="str">
            <v>N</v>
          </cell>
        </row>
        <row r="718">
          <cell r="A718">
            <v>7502270710069</v>
          </cell>
          <cell r="V718" t="str">
            <v>S</v>
          </cell>
          <cell r="Y718" t="str">
            <v>N</v>
          </cell>
        </row>
        <row r="719">
          <cell r="A719">
            <v>7502270710014</v>
          </cell>
          <cell r="V719" t="str">
            <v>S</v>
          </cell>
          <cell r="Y719" t="str">
            <v>N</v>
          </cell>
        </row>
        <row r="720">
          <cell r="A720">
            <v>7502270710038</v>
          </cell>
          <cell r="V720" t="str">
            <v>S</v>
          </cell>
          <cell r="Y720" t="str">
            <v>N</v>
          </cell>
        </row>
        <row r="721">
          <cell r="A721">
            <v>7502270710076</v>
          </cell>
          <cell r="V721" t="str">
            <v>S</v>
          </cell>
          <cell r="Y721" t="str">
            <v>N</v>
          </cell>
        </row>
        <row r="722">
          <cell r="A722">
            <v>785118754273</v>
          </cell>
          <cell r="V722" t="str">
            <v>N</v>
          </cell>
          <cell r="Y722" t="str">
            <v>N</v>
          </cell>
        </row>
        <row r="723">
          <cell r="A723">
            <v>7502009740978</v>
          </cell>
          <cell r="V723" t="str">
            <v>N</v>
          </cell>
          <cell r="Y723" t="str">
            <v>N</v>
          </cell>
        </row>
        <row r="724">
          <cell r="A724">
            <v>7502009741043</v>
          </cell>
          <cell r="V724" t="str">
            <v>N</v>
          </cell>
          <cell r="Y724" t="str">
            <v>N</v>
          </cell>
        </row>
        <row r="725">
          <cell r="A725">
            <v>7502009741067</v>
          </cell>
          <cell r="V725" t="str">
            <v>N</v>
          </cell>
          <cell r="Y725" t="str">
            <v>N</v>
          </cell>
        </row>
        <row r="726">
          <cell r="A726">
            <v>7501361681028</v>
          </cell>
          <cell r="V726" t="str">
            <v>N</v>
          </cell>
          <cell r="Y726" t="str">
            <v>N</v>
          </cell>
        </row>
        <row r="727">
          <cell r="A727">
            <v>7501547522220</v>
          </cell>
          <cell r="V727" t="str">
            <v>N</v>
          </cell>
          <cell r="Y727" t="str">
            <v>N</v>
          </cell>
        </row>
        <row r="728">
          <cell r="A728">
            <v>7501547522138</v>
          </cell>
          <cell r="V728" t="str">
            <v>N</v>
          </cell>
          <cell r="Y728" t="str">
            <v>N</v>
          </cell>
        </row>
        <row r="729">
          <cell r="A729">
            <v>7502006922711</v>
          </cell>
          <cell r="V729" t="str">
            <v>N</v>
          </cell>
          <cell r="Y729" t="str">
            <v>N</v>
          </cell>
        </row>
        <row r="730">
          <cell r="A730" t="str">
            <v>7501417007666-</v>
          </cell>
          <cell r="V730" t="str">
            <v>S</v>
          </cell>
          <cell r="Y730" t="str">
            <v>N</v>
          </cell>
        </row>
        <row r="731">
          <cell r="A731">
            <v>7502270710052</v>
          </cell>
          <cell r="V731" t="str">
            <v>S</v>
          </cell>
          <cell r="Y731" t="str">
            <v>N</v>
          </cell>
        </row>
        <row r="732">
          <cell r="A732" t="str">
            <v>7501058623294-</v>
          </cell>
          <cell r="V732" t="str">
            <v>N</v>
          </cell>
          <cell r="Y732" t="str">
            <v>N</v>
          </cell>
        </row>
        <row r="733">
          <cell r="A733">
            <v>785118753528</v>
          </cell>
          <cell r="V733" t="str">
            <v>N</v>
          </cell>
          <cell r="Y733" t="str">
            <v>N</v>
          </cell>
        </row>
        <row r="734">
          <cell r="A734">
            <v>7501249607768</v>
          </cell>
          <cell r="V734" t="str">
            <v>N</v>
          </cell>
          <cell r="Y734" t="str">
            <v>N</v>
          </cell>
        </row>
        <row r="735">
          <cell r="A735">
            <v>7501836002020</v>
          </cell>
          <cell r="V735" t="str">
            <v>N</v>
          </cell>
          <cell r="Y735" t="str">
            <v>N</v>
          </cell>
        </row>
        <row r="736">
          <cell r="A736">
            <v>7502216805118</v>
          </cell>
          <cell r="V736" t="str">
            <v>N</v>
          </cell>
          <cell r="Y736" t="str">
            <v>N</v>
          </cell>
        </row>
        <row r="737">
          <cell r="A737">
            <v>7506452400007</v>
          </cell>
          <cell r="V737" t="str">
            <v>N</v>
          </cell>
          <cell r="Y737" t="str">
            <v>S</v>
          </cell>
        </row>
        <row r="738">
          <cell r="A738">
            <v>7500462746643</v>
          </cell>
          <cell r="V738" t="str">
            <v>N</v>
          </cell>
          <cell r="Y738" t="str">
            <v>S</v>
          </cell>
        </row>
        <row r="739">
          <cell r="A739">
            <v>7506452400014</v>
          </cell>
          <cell r="V739" t="str">
            <v>N</v>
          </cell>
          <cell r="Y739" t="str">
            <v>S</v>
          </cell>
        </row>
        <row r="740">
          <cell r="A740">
            <v>780083140939</v>
          </cell>
          <cell r="V740" t="str">
            <v>N</v>
          </cell>
          <cell r="Y740" t="str">
            <v>N</v>
          </cell>
        </row>
        <row r="741">
          <cell r="A741">
            <v>7501033956317</v>
          </cell>
          <cell r="V741" t="str">
            <v>S</v>
          </cell>
          <cell r="Y741" t="str">
            <v>N</v>
          </cell>
        </row>
        <row r="742">
          <cell r="A742">
            <v>7502009741296</v>
          </cell>
          <cell r="V742" t="str">
            <v>N</v>
          </cell>
          <cell r="Y742" t="str">
            <v>N</v>
          </cell>
        </row>
        <row r="743">
          <cell r="A743">
            <v>7501258207010</v>
          </cell>
          <cell r="V743" t="str">
            <v>N</v>
          </cell>
          <cell r="Y743" t="str">
            <v>N</v>
          </cell>
        </row>
        <row r="744">
          <cell r="A744">
            <v>7501075724684</v>
          </cell>
          <cell r="V744" t="str">
            <v>N</v>
          </cell>
          <cell r="Y744" t="str">
            <v>N</v>
          </cell>
        </row>
        <row r="745">
          <cell r="A745">
            <v>7501258208000</v>
          </cell>
          <cell r="V745" t="str">
            <v>N</v>
          </cell>
          <cell r="Y745" t="str">
            <v>N</v>
          </cell>
        </row>
        <row r="746">
          <cell r="A746">
            <v>729513107883</v>
          </cell>
          <cell r="V746" t="str">
            <v>S</v>
          </cell>
          <cell r="Y746" t="str">
            <v>N</v>
          </cell>
        </row>
        <row r="747">
          <cell r="A747">
            <v>729513107906</v>
          </cell>
          <cell r="V747" t="str">
            <v>S</v>
          </cell>
          <cell r="Y747" t="str">
            <v>N</v>
          </cell>
        </row>
        <row r="748">
          <cell r="A748">
            <v>729513107944</v>
          </cell>
          <cell r="V748" t="str">
            <v>S</v>
          </cell>
          <cell r="Y748" t="str">
            <v>N</v>
          </cell>
        </row>
        <row r="749">
          <cell r="A749" t="str">
            <v>7502001165595CC</v>
          </cell>
          <cell r="V749" t="str">
            <v>N</v>
          </cell>
          <cell r="Y749" t="str">
            <v>N</v>
          </cell>
        </row>
        <row r="750">
          <cell r="A750">
            <v>7501547522145</v>
          </cell>
          <cell r="V750" t="str">
            <v>N</v>
          </cell>
          <cell r="Y750" t="str">
            <v>N</v>
          </cell>
        </row>
        <row r="751">
          <cell r="A751">
            <v>7501573901105</v>
          </cell>
          <cell r="V751" t="str">
            <v>N</v>
          </cell>
          <cell r="Y751" t="str">
            <v>N</v>
          </cell>
        </row>
        <row r="752">
          <cell r="A752">
            <v>7501537161118</v>
          </cell>
          <cell r="V752" t="str">
            <v>N</v>
          </cell>
          <cell r="Y752" t="str">
            <v>N</v>
          </cell>
        </row>
        <row r="753">
          <cell r="A753">
            <v>110</v>
          </cell>
          <cell r="V753" t="str">
            <v>S</v>
          </cell>
          <cell r="Y753" t="str">
            <v>N</v>
          </cell>
        </row>
        <row r="754">
          <cell r="A754">
            <v>7501672690948</v>
          </cell>
          <cell r="V754" t="str">
            <v>N</v>
          </cell>
          <cell r="Y754" t="str">
            <v>N</v>
          </cell>
        </row>
        <row r="755">
          <cell r="A755">
            <v>7503027446248</v>
          </cell>
          <cell r="V755" t="str">
            <v>N</v>
          </cell>
          <cell r="Y755" t="str">
            <v>N</v>
          </cell>
        </row>
        <row r="756">
          <cell r="A756">
            <v>7509546058955</v>
          </cell>
          <cell r="V756" t="str">
            <v>S</v>
          </cell>
          <cell r="Y756" t="str">
            <v>N</v>
          </cell>
        </row>
        <row r="757">
          <cell r="A757">
            <v>7506335703416</v>
          </cell>
          <cell r="V757" t="str">
            <v>N</v>
          </cell>
          <cell r="Y757" t="str">
            <v>N</v>
          </cell>
        </row>
        <row r="758">
          <cell r="A758">
            <v>7509546058986</v>
          </cell>
          <cell r="V758" t="str">
            <v>S</v>
          </cell>
          <cell r="Y758" t="str">
            <v>N</v>
          </cell>
        </row>
        <row r="759">
          <cell r="A759">
            <v>7501384546809</v>
          </cell>
          <cell r="V759" t="str">
            <v>N</v>
          </cell>
          <cell r="Y759" t="str">
            <v>N</v>
          </cell>
        </row>
        <row r="760">
          <cell r="A760">
            <v>7501825300274</v>
          </cell>
          <cell r="V760" t="str">
            <v>N</v>
          </cell>
          <cell r="Y760" t="str">
            <v>N</v>
          </cell>
        </row>
        <row r="761">
          <cell r="A761">
            <v>656599040226</v>
          </cell>
          <cell r="V761" t="str">
            <v>N</v>
          </cell>
          <cell r="Y761" t="str">
            <v>N</v>
          </cell>
        </row>
        <row r="762">
          <cell r="A762">
            <v>7501384545574</v>
          </cell>
          <cell r="V762" t="str">
            <v>N</v>
          </cell>
          <cell r="Y762" t="str">
            <v>N</v>
          </cell>
        </row>
        <row r="763">
          <cell r="A763">
            <v>7501825301004</v>
          </cell>
          <cell r="V763" t="str">
            <v>N</v>
          </cell>
          <cell r="Y763" t="str">
            <v>N</v>
          </cell>
        </row>
        <row r="764">
          <cell r="A764">
            <v>7502216803183</v>
          </cell>
          <cell r="V764" t="str">
            <v>N</v>
          </cell>
          <cell r="Y764" t="str">
            <v>N</v>
          </cell>
        </row>
        <row r="765">
          <cell r="A765">
            <v>7500435169035</v>
          </cell>
          <cell r="V765" t="str">
            <v>S</v>
          </cell>
          <cell r="Y765" t="str">
            <v>N</v>
          </cell>
        </row>
        <row r="766">
          <cell r="A766">
            <v>7502213042752</v>
          </cell>
          <cell r="V766" t="str">
            <v>N</v>
          </cell>
          <cell r="Y766" t="str">
            <v>N</v>
          </cell>
        </row>
        <row r="767">
          <cell r="A767">
            <v>7502213042745</v>
          </cell>
          <cell r="V767" t="str">
            <v>N</v>
          </cell>
          <cell r="Y767" t="str">
            <v>N</v>
          </cell>
        </row>
        <row r="768">
          <cell r="A768">
            <v>614143495502</v>
          </cell>
          <cell r="V768" t="str">
            <v>S</v>
          </cell>
          <cell r="Y768" t="str">
            <v>N</v>
          </cell>
        </row>
        <row r="769">
          <cell r="A769">
            <v>788115529752</v>
          </cell>
          <cell r="V769" t="str">
            <v>S</v>
          </cell>
          <cell r="Y769" t="str">
            <v>N</v>
          </cell>
        </row>
        <row r="770">
          <cell r="A770">
            <v>788115529790</v>
          </cell>
          <cell r="V770" t="str">
            <v>S</v>
          </cell>
          <cell r="Y770" t="str">
            <v>N</v>
          </cell>
        </row>
        <row r="771">
          <cell r="A771">
            <v>7502253602350</v>
          </cell>
          <cell r="V771" t="str">
            <v>S</v>
          </cell>
          <cell r="Y771" t="str">
            <v>N</v>
          </cell>
        </row>
        <row r="772">
          <cell r="A772">
            <v>8400009265</v>
          </cell>
          <cell r="V772" t="str">
            <v>N</v>
          </cell>
          <cell r="Y772" t="str">
            <v>N</v>
          </cell>
        </row>
        <row r="773">
          <cell r="A773">
            <v>7502009745737</v>
          </cell>
          <cell r="V773" t="str">
            <v>N</v>
          </cell>
          <cell r="Y773" t="str">
            <v>N</v>
          </cell>
        </row>
        <row r="774">
          <cell r="A774" t="str">
            <v>7501537102968CCC</v>
          </cell>
          <cell r="V774" t="str">
            <v>N</v>
          </cell>
          <cell r="Y774" t="str">
            <v>N</v>
          </cell>
        </row>
        <row r="775">
          <cell r="A775">
            <v>7502259891543</v>
          </cell>
          <cell r="V775" t="str">
            <v>S</v>
          </cell>
          <cell r="Y775" t="str">
            <v>N</v>
          </cell>
        </row>
        <row r="776">
          <cell r="A776">
            <v>7501028610361</v>
          </cell>
          <cell r="V776" t="str">
            <v>S</v>
          </cell>
          <cell r="Y776" t="str">
            <v>N</v>
          </cell>
        </row>
        <row r="777">
          <cell r="A777">
            <v>7501075718225</v>
          </cell>
          <cell r="V777" t="str">
            <v>N</v>
          </cell>
          <cell r="Y777" t="str">
            <v>N</v>
          </cell>
        </row>
        <row r="778">
          <cell r="A778">
            <v>7501361681288</v>
          </cell>
          <cell r="V778" t="str">
            <v>N</v>
          </cell>
          <cell r="Y778" t="str">
            <v>N</v>
          </cell>
        </row>
        <row r="779">
          <cell r="A779">
            <v>650240036385</v>
          </cell>
          <cell r="V779" t="str">
            <v>N</v>
          </cell>
          <cell r="Y779" t="str">
            <v>N</v>
          </cell>
        </row>
        <row r="780">
          <cell r="A780">
            <v>7502001165298</v>
          </cell>
          <cell r="V780" t="str">
            <v>N</v>
          </cell>
          <cell r="Y780" t="str">
            <v>N</v>
          </cell>
        </row>
        <row r="781">
          <cell r="A781">
            <v>7503027446279</v>
          </cell>
          <cell r="V781" t="str">
            <v>N</v>
          </cell>
          <cell r="Y781" t="str">
            <v>N</v>
          </cell>
        </row>
        <row r="782">
          <cell r="A782">
            <v>7502211789031</v>
          </cell>
          <cell r="V782" t="str">
            <v>N</v>
          </cell>
          <cell r="Y782" t="str">
            <v>N</v>
          </cell>
        </row>
        <row r="783">
          <cell r="A783">
            <v>7501825304555</v>
          </cell>
          <cell r="V783" t="str">
            <v>N</v>
          </cell>
          <cell r="Y783" t="str">
            <v>N</v>
          </cell>
        </row>
        <row r="784">
          <cell r="A784">
            <v>7502211783527</v>
          </cell>
          <cell r="V784" t="str">
            <v>N</v>
          </cell>
          <cell r="Y784" t="str">
            <v>N</v>
          </cell>
        </row>
        <row r="785">
          <cell r="A785">
            <v>7501825301875</v>
          </cell>
          <cell r="V785" t="str">
            <v>N</v>
          </cell>
          <cell r="Y785" t="str">
            <v>N</v>
          </cell>
        </row>
        <row r="786">
          <cell r="A786">
            <v>7502001163775</v>
          </cell>
          <cell r="V786" t="str">
            <v>N</v>
          </cell>
          <cell r="Y786" t="str">
            <v>N</v>
          </cell>
        </row>
        <row r="787">
          <cell r="A787">
            <v>7502211781189</v>
          </cell>
          <cell r="V787" t="str">
            <v>N</v>
          </cell>
          <cell r="Y787" t="str">
            <v>N</v>
          </cell>
        </row>
        <row r="788">
          <cell r="A788">
            <v>7501075718232</v>
          </cell>
          <cell r="V788" t="str">
            <v>N</v>
          </cell>
          <cell r="Y788" t="str">
            <v>N</v>
          </cell>
        </row>
        <row r="789">
          <cell r="A789">
            <v>7502274790791</v>
          </cell>
          <cell r="V789" t="str">
            <v>N</v>
          </cell>
          <cell r="Y789" t="str">
            <v>N</v>
          </cell>
        </row>
        <row r="790">
          <cell r="A790">
            <v>7502009740770</v>
          </cell>
          <cell r="V790" t="str">
            <v>N</v>
          </cell>
          <cell r="Y790" t="str">
            <v>N</v>
          </cell>
        </row>
        <row r="791">
          <cell r="A791">
            <v>7502001166110</v>
          </cell>
          <cell r="V791" t="str">
            <v>N</v>
          </cell>
          <cell r="Y791" t="str">
            <v>N</v>
          </cell>
        </row>
        <row r="792">
          <cell r="A792">
            <v>7503001007694</v>
          </cell>
          <cell r="V792" t="str">
            <v>N</v>
          </cell>
          <cell r="Y792" t="str">
            <v>N</v>
          </cell>
        </row>
        <row r="793">
          <cell r="A793">
            <v>7501299303085</v>
          </cell>
          <cell r="V793" t="str">
            <v>N</v>
          </cell>
          <cell r="Y793" t="str">
            <v>N</v>
          </cell>
        </row>
        <row r="794">
          <cell r="A794">
            <v>7502209810082</v>
          </cell>
          <cell r="V794" t="str">
            <v>N</v>
          </cell>
          <cell r="Y794" t="str">
            <v>N</v>
          </cell>
        </row>
        <row r="795">
          <cell r="A795">
            <v>7501573906346</v>
          </cell>
          <cell r="V795" t="str">
            <v>N</v>
          </cell>
          <cell r="Y795" t="str">
            <v>N</v>
          </cell>
        </row>
        <row r="796">
          <cell r="A796">
            <v>7501159580182</v>
          </cell>
          <cell r="V796" t="str">
            <v>N</v>
          </cell>
          <cell r="Y796" t="str">
            <v>N</v>
          </cell>
        </row>
        <row r="797">
          <cell r="A797">
            <v>7501088507854</v>
          </cell>
          <cell r="V797" t="str">
            <v>N</v>
          </cell>
          <cell r="Y797" t="str">
            <v>N</v>
          </cell>
        </row>
        <row r="798">
          <cell r="A798">
            <v>7501008495339</v>
          </cell>
          <cell r="V798" t="str">
            <v>N</v>
          </cell>
          <cell r="Y798" t="str">
            <v>N</v>
          </cell>
        </row>
        <row r="799">
          <cell r="A799">
            <v>7501298214986</v>
          </cell>
          <cell r="V799" t="str">
            <v>N</v>
          </cell>
          <cell r="Y799" t="str">
            <v>N</v>
          </cell>
        </row>
        <row r="800">
          <cell r="A800">
            <v>7501349028937</v>
          </cell>
          <cell r="V800" t="str">
            <v>N</v>
          </cell>
          <cell r="Y800" t="str">
            <v>N</v>
          </cell>
        </row>
        <row r="801">
          <cell r="A801">
            <v>7503001007137</v>
          </cell>
          <cell r="V801" t="str">
            <v>N</v>
          </cell>
          <cell r="Y801" t="str">
            <v>N</v>
          </cell>
        </row>
        <row r="802">
          <cell r="A802">
            <v>780083139766</v>
          </cell>
          <cell r="V802" t="str">
            <v>N</v>
          </cell>
          <cell r="Y802" t="str">
            <v>N</v>
          </cell>
        </row>
        <row r="803">
          <cell r="A803">
            <v>7501547509016</v>
          </cell>
          <cell r="V803" t="str">
            <v>N</v>
          </cell>
          <cell r="Y803" t="str">
            <v>N</v>
          </cell>
        </row>
        <row r="804">
          <cell r="A804">
            <v>7506452400267</v>
          </cell>
          <cell r="V804" t="str">
            <v>S</v>
          </cell>
          <cell r="Y804" t="str">
            <v>N</v>
          </cell>
        </row>
        <row r="805">
          <cell r="A805">
            <v>7503001007090</v>
          </cell>
          <cell r="V805" t="str">
            <v>N</v>
          </cell>
          <cell r="Y805" t="str">
            <v>N</v>
          </cell>
        </row>
        <row r="806">
          <cell r="A806">
            <v>7502211780069</v>
          </cell>
          <cell r="V806" t="str">
            <v>N</v>
          </cell>
          <cell r="Y806" t="str">
            <v>N</v>
          </cell>
        </row>
        <row r="807">
          <cell r="A807">
            <v>7501573900436</v>
          </cell>
          <cell r="V807" t="str">
            <v>N</v>
          </cell>
          <cell r="Y807" t="str">
            <v>N</v>
          </cell>
        </row>
        <row r="808">
          <cell r="A808">
            <v>7501094910570</v>
          </cell>
          <cell r="V808" t="str">
            <v>N</v>
          </cell>
          <cell r="Y808" t="str">
            <v>N</v>
          </cell>
        </row>
        <row r="809">
          <cell r="A809">
            <v>780083141882</v>
          </cell>
          <cell r="V809" t="str">
            <v>N</v>
          </cell>
          <cell r="Y809" t="str">
            <v>N</v>
          </cell>
        </row>
        <row r="810">
          <cell r="A810">
            <v>7502223112186</v>
          </cell>
          <cell r="V810" t="str">
            <v>N</v>
          </cell>
          <cell r="Y810" t="str">
            <v>N</v>
          </cell>
        </row>
        <row r="811">
          <cell r="A811">
            <v>7503001007120</v>
          </cell>
          <cell r="V811" t="str">
            <v>N</v>
          </cell>
          <cell r="Y811" t="str">
            <v>N</v>
          </cell>
        </row>
        <row r="812">
          <cell r="A812">
            <v>7506022327635</v>
          </cell>
          <cell r="V812" t="str">
            <v>N</v>
          </cell>
          <cell r="Y812" t="str">
            <v>N</v>
          </cell>
        </row>
        <row r="813">
          <cell r="A813">
            <v>7501836000194</v>
          </cell>
          <cell r="V813" t="str">
            <v>N</v>
          </cell>
          <cell r="Y813" t="str">
            <v>N</v>
          </cell>
        </row>
        <row r="814">
          <cell r="A814">
            <v>7501537101961</v>
          </cell>
          <cell r="V814" t="str">
            <v>N</v>
          </cell>
          <cell r="Y814" t="str">
            <v>N</v>
          </cell>
        </row>
        <row r="815">
          <cell r="A815">
            <v>7501573904335</v>
          </cell>
          <cell r="V815" t="str">
            <v>N</v>
          </cell>
          <cell r="Y815" t="str">
            <v>N</v>
          </cell>
        </row>
        <row r="816">
          <cell r="A816">
            <v>7502234760451</v>
          </cell>
          <cell r="V816" t="str">
            <v>N</v>
          </cell>
          <cell r="Y816" t="str">
            <v>N</v>
          </cell>
        </row>
        <row r="817">
          <cell r="A817">
            <v>7501478316073</v>
          </cell>
          <cell r="V817" t="str">
            <v>N</v>
          </cell>
          <cell r="Y817" t="str">
            <v>N</v>
          </cell>
        </row>
        <row r="818">
          <cell r="A818">
            <v>7503001007052</v>
          </cell>
          <cell r="V818" t="str">
            <v>N</v>
          </cell>
          <cell r="Y818" t="str">
            <v>N</v>
          </cell>
        </row>
        <row r="819">
          <cell r="A819">
            <v>7503001007076</v>
          </cell>
          <cell r="V819" t="str">
            <v>N</v>
          </cell>
          <cell r="Y819" t="str">
            <v>N</v>
          </cell>
        </row>
        <row r="820">
          <cell r="A820">
            <v>7501573903246</v>
          </cell>
          <cell r="V820" t="str">
            <v>N</v>
          </cell>
          <cell r="Y820" t="str">
            <v>N</v>
          </cell>
        </row>
        <row r="821">
          <cell r="A821">
            <v>7502006921967</v>
          </cell>
          <cell r="V821" t="str">
            <v>N</v>
          </cell>
          <cell r="Y821" t="str">
            <v>N</v>
          </cell>
        </row>
        <row r="822">
          <cell r="A822">
            <v>7502006921974</v>
          </cell>
          <cell r="V822" t="str">
            <v>N</v>
          </cell>
          <cell r="Y822" t="str">
            <v>N</v>
          </cell>
        </row>
        <row r="823">
          <cell r="A823">
            <v>6938056210170</v>
          </cell>
          <cell r="V823" t="str">
            <v>S</v>
          </cell>
          <cell r="Y823" t="str">
            <v>N</v>
          </cell>
        </row>
        <row r="824">
          <cell r="A824">
            <v>7590002037843</v>
          </cell>
          <cell r="V824" t="str">
            <v>N</v>
          </cell>
          <cell r="Y824" t="str">
            <v>N</v>
          </cell>
        </row>
        <row r="825">
          <cell r="A825">
            <v>7501258205474</v>
          </cell>
          <cell r="V825" t="str">
            <v>N</v>
          </cell>
          <cell r="Y825" t="str">
            <v>N</v>
          </cell>
        </row>
        <row r="826">
          <cell r="A826">
            <v>7501070612320</v>
          </cell>
          <cell r="V826" t="str">
            <v>N</v>
          </cell>
          <cell r="Y826" t="str">
            <v>N</v>
          </cell>
        </row>
        <row r="827">
          <cell r="A827">
            <v>7501573903260</v>
          </cell>
          <cell r="V827" t="str">
            <v>N</v>
          </cell>
          <cell r="Y827" t="str">
            <v>N</v>
          </cell>
        </row>
        <row r="828">
          <cell r="A828">
            <v>7501349020085</v>
          </cell>
          <cell r="V828" t="str">
            <v>N</v>
          </cell>
          <cell r="Y828" t="str">
            <v>N</v>
          </cell>
        </row>
        <row r="829">
          <cell r="A829">
            <v>7501537102067</v>
          </cell>
          <cell r="V829" t="str">
            <v>N</v>
          </cell>
          <cell r="Y829" t="str">
            <v>N</v>
          </cell>
        </row>
        <row r="830">
          <cell r="A830">
            <v>4895225300730</v>
          </cell>
          <cell r="V830" t="str">
            <v>S</v>
          </cell>
          <cell r="Y830" t="str">
            <v>N</v>
          </cell>
        </row>
        <row r="831">
          <cell r="A831">
            <v>7501644707490</v>
          </cell>
          <cell r="V831" t="str">
            <v>N</v>
          </cell>
          <cell r="Y831" t="str">
            <v>N</v>
          </cell>
        </row>
        <row r="832">
          <cell r="A832">
            <v>7501130713547</v>
          </cell>
          <cell r="V832" t="str">
            <v>S</v>
          </cell>
          <cell r="Y832" t="str">
            <v>N</v>
          </cell>
        </row>
        <row r="833">
          <cell r="A833">
            <v>7501130713851</v>
          </cell>
          <cell r="V833" t="str">
            <v>S</v>
          </cell>
          <cell r="Y833" t="str">
            <v>N</v>
          </cell>
        </row>
        <row r="834">
          <cell r="A834">
            <v>7501130742134</v>
          </cell>
          <cell r="V834" t="str">
            <v>S</v>
          </cell>
          <cell r="Y834" t="str">
            <v>N</v>
          </cell>
        </row>
        <row r="835">
          <cell r="A835">
            <v>7501130711642</v>
          </cell>
          <cell r="V835" t="str">
            <v>S</v>
          </cell>
          <cell r="Y835" t="str">
            <v>N</v>
          </cell>
        </row>
        <row r="836">
          <cell r="A836">
            <v>785118754242</v>
          </cell>
          <cell r="V836" t="str">
            <v>N</v>
          </cell>
          <cell r="Y836" t="str">
            <v>N</v>
          </cell>
        </row>
        <row r="837">
          <cell r="A837">
            <v>7503001007113</v>
          </cell>
          <cell r="V837" t="str">
            <v>N</v>
          </cell>
          <cell r="Y837" t="str">
            <v>N</v>
          </cell>
        </row>
        <row r="838">
          <cell r="A838">
            <v>7501563380439</v>
          </cell>
          <cell r="V838" t="str">
            <v>N</v>
          </cell>
          <cell r="Y838" t="str">
            <v>N</v>
          </cell>
        </row>
        <row r="839">
          <cell r="A839">
            <v>7506400900474</v>
          </cell>
          <cell r="V839" t="str">
            <v>S</v>
          </cell>
          <cell r="Y839" t="str">
            <v>N</v>
          </cell>
        </row>
        <row r="840">
          <cell r="A840">
            <v>7501128110068</v>
          </cell>
          <cell r="V840" t="str">
            <v>S</v>
          </cell>
          <cell r="Y840" t="str">
            <v>N</v>
          </cell>
        </row>
        <row r="841">
          <cell r="A841">
            <v>7502001160231</v>
          </cell>
          <cell r="V841" t="str">
            <v>N</v>
          </cell>
          <cell r="Y841" t="str">
            <v>N</v>
          </cell>
        </row>
        <row r="842">
          <cell r="A842">
            <v>729513146981</v>
          </cell>
          <cell r="V842" t="str">
            <v>S</v>
          </cell>
          <cell r="Y842" t="str">
            <v>N</v>
          </cell>
        </row>
        <row r="843">
          <cell r="A843">
            <v>729513146714</v>
          </cell>
          <cell r="V843" t="str">
            <v>S</v>
          </cell>
          <cell r="Y843" t="str">
            <v>N</v>
          </cell>
        </row>
        <row r="844">
          <cell r="A844">
            <v>729513146738</v>
          </cell>
          <cell r="V844" t="str">
            <v>S</v>
          </cell>
          <cell r="Y844" t="str">
            <v>N</v>
          </cell>
        </row>
        <row r="845">
          <cell r="A845">
            <v>729513146745</v>
          </cell>
          <cell r="V845" t="str">
            <v>S</v>
          </cell>
          <cell r="Y845" t="str">
            <v>N</v>
          </cell>
        </row>
        <row r="846">
          <cell r="A846">
            <v>729513146769</v>
          </cell>
          <cell r="V846" t="str">
            <v>S</v>
          </cell>
          <cell r="Y846" t="str">
            <v>N</v>
          </cell>
        </row>
        <row r="847">
          <cell r="A847">
            <v>729513146776</v>
          </cell>
          <cell r="V847" t="str">
            <v>S</v>
          </cell>
          <cell r="Y847" t="str">
            <v>N</v>
          </cell>
        </row>
        <row r="848">
          <cell r="A848">
            <v>7502305940003</v>
          </cell>
          <cell r="V848" t="str">
            <v>S</v>
          </cell>
          <cell r="Y848" t="str">
            <v>N</v>
          </cell>
        </row>
        <row r="849">
          <cell r="A849">
            <v>7502305940010</v>
          </cell>
          <cell r="V849" t="str">
            <v>S</v>
          </cell>
          <cell r="Y849" t="str">
            <v>N</v>
          </cell>
        </row>
        <row r="850">
          <cell r="A850">
            <v>7502009744587</v>
          </cell>
          <cell r="V850" t="str">
            <v>N</v>
          </cell>
          <cell r="Y850" t="str">
            <v>N</v>
          </cell>
        </row>
        <row r="851">
          <cell r="A851">
            <v>7502209810211</v>
          </cell>
          <cell r="V851" t="str">
            <v>N</v>
          </cell>
          <cell r="Y851" t="str">
            <v>N</v>
          </cell>
        </row>
        <row r="852">
          <cell r="A852">
            <v>7501033958717</v>
          </cell>
          <cell r="V852" t="str">
            <v>S</v>
          </cell>
          <cell r="Y852" t="str">
            <v>N</v>
          </cell>
        </row>
        <row r="853">
          <cell r="A853">
            <v>7501130709830</v>
          </cell>
          <cell r="V853" t="str">
            <v>S</v>
          </cell>
          <cell r="Y853" t="str">
            <v>N</v>
          </cell>
        </row>
        <row r="854">
          <cell r="A854">
            <v>7501471888393</v>
          </cell>
          <cell r="V854" t="str">
            <v>N</v>
          </cell>
          <cell r="Y854" t="str">
            <v>N</v>
          </cell>
        </row>
        <row r="855">
          <cell r="A855">
            <v>7501471897029</v>
          </cell>
          <cell r="V855" t="str">
            <v>N</v>
          </cell>
          <cell r="Y855" t="str">
            <v>N</v>
          </cell>
        </row>
        <row r="856">
          <cell r="A856">
            <v>7501471888249</v>
          </cell>
          <cell r="V856" t="str">
            <v>N</v>
          </cell>
          <cell r="Y856" t="str">
            <v>N</v>
          </cell>
        </row>
        <row r="857">
          <cell r="A857">
            <v>7501537101886</v>
          </cell>
          <cell r="V857" t="str">
            <v>N</v>
          </cell>
          <cell r="Y857" t="str">
            <v>N</v>
          </cell>
        </row>
        <row r="858">
          <cell r="A858">
            <v>7502208892133</v>
          </cell>
          <cell r="V858" t="str">
            <v>N</v>
          </cell>
          <cell r="Y858" t="str">
            <v>N</v>
          </cell>
        </row>
        <row r="859">
          <cell r="A859">
            <v>7502305940027</v>
          </cell>
          <cell r="V859" t="str">
            <v>S</v>
          </cell>
          <cell r="Y859" t="str">
            <v>N</v>
          </cell>
        </row>
        <row r="860">
          <cell r="A860">
            <v>7502227420218</v>
          </cell>
          <cell r="V860" t="str">
            <v>N</v>
          </cell>
          <cell r="Y860" t="str">
            <v>N</v>
          </cell>
        </row>
        <row r="861">
          <cell r="A861">
            <v>7501065095978</v>
          </cell>
          <cell r="V861" t="str">
            <v>N</v>
          </cell>
          <cell r="Y861" t="str">
            <v>N</v>
          </cell>
        </row>
        <row r="862">
          <cell r="A862">
            <v>7501065095947</v>
          </cell>
          <cell r="V862" t="str">
            <v>N</v>
          </cell>
          <cell r="Y862" t="str">
            <v>N</v>
          </cell>
        </row>
        <row r="863">
          <cell r="A863">
            <v>7501075713718</v>
          </cell>
          <cell r="V863" t="str">
            <v>N</v>
          </cell>
          <cell r="Y863" t="str">
            <v>N</v>
          </cell>
        </row>
        <row r="864">
          <cell r="A864">
            <v>7502216808430</v>
          </cell>
          <cell r="V864" t="str">
            <v>N</v>
          </cell>
          <cell r="Y864" t="str">
            <v>N</v>
          </cell>
        </row>
        <row r="865">
          <cell r="A865">
            <v>354312225164</v>
          </cell>
          <cell r="V865" t="str">
            <v>S</v>
          </cell>
          <cell r="Y865" t="str">
            <v>N</v>
          </cell>
        </row>
        <row r="866">
          <cell r="A866">
            <v>7502250340255</v>
          </cell>
          <cell r="V866" t="str">
            <v>S</v>
          </cell>
          <cell r="Y866" t="str">
            <v>N</v>
          </cell>
        </row>
        <row r="867">
          <cell r="A867">
            <v>7501573900337</v>
          </cell>
          <cell r="V867" t="str">
            <v>N</v>
          </cell>
          <cell r="Y867" t="str">
            <v>N</v>
          </cell>
        </row>
        <row r="868">
          <cell r="A868">
            <v>7501128110242</v>
          </cell>
          <cell r="V868" t="str">
            <v>S</v>
          </cell>
          <cell r="Y868" t="str">
            <v>N</v>
          </cell>
        </row>
        <row r="869">
          <cell r="A869">
            <v>7501128110266</v>
          </cell>
          <cell r="V869" t="str">
            <v>S</v>
          </cell>
          <cell r="Y869" t="str">
            <v>N</v>
          </cell>
        </row>
        <row r="870">
          <cell r="A870">
            <v>7501128110259</v>
          </cell>
          <cell r="V870" t="str">
            <v>S</v>
          </cell>
          <cell r="Y870" t="str">
            <v>N</v>
          </cell>
        </row>
        <row r="871">
          <cell r="A871">
            <v>7501349027060</v>
          </cell>
          <cell r="V871" t="str">
            <v>N</v>
          </cell>
          <cell r="Y871" t="str">
            <v>N</v>
          </cell>
        </row>
        <row r="872">
          <cell r="A872">
            <v>7501075717518</v>
          </cell>
          <cell r="V872" t="str">
            <v>N</v>
          </cell>
          <cell r="Y872" t="str">
            <v>N</v>
          </cell>
        </row>
        <row r="873">
          <cell r="A873">
            <v>7506021105098</v>
          </cell>
          <cell r="V873" t="str">
            <v>S</v>
          </cell>
          <cell r="Y873" t="str">
            <v>N</v>
          </cell>
        </row>
        <row r="874">
          <cell r="A874">
            <v>7501871721214</v>
          </cell>
          <cell r="V874" t="str">
            <v>N</v>
          </cell>
          <cell r="Y874" t="str">
            <v>N</v>
          </cell>
        </row>
        <row r="875">
          <cell r="A875">
            <v>7502276040436</v>
          </cell>
          <cell r="V875" t="str">
            <v>S</v>
          </cell>
          <cell r="Y875" t="str">
            <v>N</v>
          </cell>
        </row>
        <row r="876">
          <cell r="A876">
            <v>7501825305200</v>
          </cell>
          <cell r="V876" t="str">
            <v>N</v>
          </cell>
          <cell r="Y876" t="str">
            <v>N</v>
          </cell>
        </row>
        <row r="877">
          <cell r="A877">
            <v>785118754259</v>
          </cell>
          <cell r="V877" t="str">
            <v>N</v>
          </cell>
          <cell r="Y877" t="str">
            <v>N</v>
          </cell>
        </row>
        <row r="878">
          <cell r="A878">
            <v>7500435145497</v>
          </cell>
          <cell r="V878" t="str">
            <v>N</v>
          </cell>
          <cell r="Y878" t="str">
            <v>N</v>
          </cell>
        </row>
        <row r="879">
          <cell r="A879">
            <v>7503008821095</v>
          </cell>
          <cell r="V879" t="str">
            <v>S</v>
          </cell>
          <cell r="Y879" t="str">
            <v>N</v>
          </cell>
        </row>
        <row r="880">
          <cell r="A880">
            <v>7501349024175</v>
          </cell>
          <cell r="V880" t="str">
            <v>N</v>
          </cell>
          <cell r="Y880" t="str">
            <v>N</v>
          </cell>
        </row>
        <row r="881">
          <cell r="A881">
            <v>7501547505056</v>
          </cell>
          <cell r="V881" t="str">
            <v>N</v>
          </cell>
          <cell r="Y881" t="str">
            <v>N</v>
          </cell>
        </row>
        <row r="882">
          <cell r="A882">
            <v>7501130709847</v>
          </cell>
          <cell r="V882" t="str">
            <v>S</v>
          </cell>
          <cell r="Y882" t="str">
            <v>N</v>
          </cell>
        </row>
        <row r="883">
          <cell r="A883">
            <v>7502001169296</v>
          </cell>
          <cell r="V883" t="str">
            <v>N</v>
          </cell>
          <cell r="Y883" t="str">
            <v>N</v>
          </cell>
        </row>
        <row r="884">
          <cell r="A884">
            <v>780083149062</v>
          </cell>
          <cell r="V884" t="str">
            <v>N</v>
          </cell>
          <cell r="Y884" t="str">
            <v>N</v>
          </cell>
        </row>
        <row r="885">
          <cell r="A885">
            <v>780083148928</v>
          </cell>
          <cell r="V885" t="str">
            <v>N</v>
          </cell>
          <cell r="Y885" t="str">
            <v>N</v>
          </cell>
        </row>
        <row r="886">
          <cell r="A886">
            <v>780083146863</v>
          </cell>
          <cell r="V886" t="str">
            <v>N</v>
          </cell>
          <cell r="Y886" t="str">
            <v>N</v>
          </cell>
        </row>
        <row r="887">
          <cell r="A887">
            <v>780083142018</v>
          </cell>
          <cell r="V887" t="str">
            <v>N</v>
          </cell>
          <cell r="Y887" t="str">
            <v>N</v>
          </cell>
        </row>
        <row r="888">
          <cell r="A888">
            <v>780083148935</v>
          </cell>
          <cell r="V888" t="str">
            <v>N</v>
          </cell>
          <cell r="Y888" t="str">
            <v>N</v>
          </cell>
        </row>
        <row r="889">
          <cell r="A889">
            <v>780083149895</v>
          </cell>
          <cell r="V889" t="str">
            <v>N</v>
          </cell>
          <cell r="Y889" t="str">
            <v>N</v>
          </cell>
        </row>
        <row r="890">
          <cell r="A890">
            <v>780083142537</v>
          </cell>
          <cell r="V890" t="str">
            <v>N</v>
          </cell>
          <cell r="Y890" t="str">
            <v>N</v>
          </cell>
        </row>
        <row r="891">
          <cell r="A891">
            <v>780083149888</v>
          </cell>
          <cell r="V891" t="str">
            <v>N</v>
          </cell>
          <cell r="Y891" t="str">
            <v>N</v>
          </cell>
        </row>
        <row r="892">
          <cell r="A892">
            <v>7501008496701</v>
          </cell>
          <cell r="V892" t="str">
            <v>N</v>
          </cell>
          <cell r="Y892" t="str">
            <v>N</v>
          </cell>
        </row>
        <row r="893">
          <cell r="A893">
            <v>7501088509810</v>
          </cell>
          <cell r="V893" t="str">
            <v>N</v>
          </cell>
          <cell r="Y893" t="str">
            <v>N</v>
          </cell>
        </row>
        <row r="894">
          <cell r="A894">
            <v>7502208892294</v>
          </cell>
          <cell r="V894" t="str">
            <v>N</v>
          </cell>
          <cell r="Y894" t="str">
            <v>N</v>
          </cell>
        </row>
        <row r="895">
          <cell r="A895">
            <v>7509546073767</v>
          </cell>
          <cell r="V895" t="str">
            <v>S</v>
          </cell>
          <cell r="Y895" t="str">
            <v>N</v>
          </cell>
        </row>
        <row r="896">
          <cell r="A896">
            <v>7509546077284</v>
          </cell>
          <cell r="V896" t="str">
            <v>S</v>
          </cell>
          <cell r="Y896" t="str">
            <v>N</v>
          </cell>
        </row>
        <row r="897">
          <cell r="A897">
            <v>7509546078434</v>
          </cell>
          <cell r="V897" t="str">
            <v>S</v>
          </cell>
          <cell r="Y897" t="str">
            <v>N</v>
          </cell>
        </row>
        <row r="898">
          <cell r="A898">
            <v>70330717534</v>
          </cell>
          <cell r="V898" t="str">
            <v>S</v>
          </cell>
          <cell r="Y898" t="str">
            <v>N</v>
          </cell>
        </row>
        <row r="899">
          <cell r="A899">
            <v>7502009744570</v>
          </cell>
          <cell r="V899" t="str">
            <v>N</v>
          </cell>
          <cell r="Y899" t="str">
            <v>N</v>
          </cell>
        </row>
        <row r="900">
          <cell r="A900" t="str">
            <v>7501058623201--</v>
          </cell>
          <cell r="V900" t="str">
            <v>N</v>
          </cell>
          <cell r="Y900" t="str">
            <v>N</v>
          </cell>
        </row>
        <row r="901">
          <cell r="A901">
            <v>75016401</v>
          </cell>
          <cell r="V901" t="str">
            <v>N</v>
          </cell>
          <cell r="Y901" t="str">
            <v>N</v>
          </cell>
        </row>
        <row r="902">
          <cell r="A902">
            <v>7502227427309</v>
          </cell>
          <cell r="V902" t="str">
            <v>N</v>
          </cell>
          <cell r="Y902" t="str">
            <v>N</v>
          </cell>
        </row>
        <row r="903">
          <cell r="A903">
            <v>7501349022768</v>
          </cell>
          <cell r="V903" t="str">
            <v>N</v>
          </cell>
          <cell r="Y903" t="str">
            <v>N</v>
          </cell>
        </row>
        <row r="904">
          <cell r="A904">
            <v>7502009747168</v>
          </cell>
          <cell r="V904" t="str">
            <v>N</v>
          </cell>
          <cell r="Y904" t="str">
            <v>N</v>
          </cell>
        </row>
        <row r="905">
          <cell r="A905">
            <v>7503003134701</v>
          </cell>
          <cell r="V905" t="str">
            <v>N</v>
          </cell>
          <cell r="Y905" t="str">
            <v>N</v>
          </cell>
        </row>
        <row r="906">
          <cell r="A906">
            <v>7501128110389</v>
          </cell>
          <cell r="V906" t="str">
            <v>S</v>
          </cell>
          <cell r="Y906" t="str">
            <v>N</v>
          </cell>
        </row>
        <row r="907">
          <cell r="A907">
            <v>7502002462143</v>
          </cell>
          <cell r="V907" t="str">
            <v>N</v>
          </cell>
          <cell r="Y907" t="str">
            <v>N</v>
          </cell>
        </row>
        <row r="908">
          <cell r="A908" t="str">
            <v>7501258204590CC</v>
          </cell>
          <cell r="V908" t="str">
            <v>N</v>
          </cell>
          <cell r="Y908" t="str">
            <v>N</v>
          </cell>
        </row>
        <row r="909">
          <cell r="A909">
            <v>7501050613453</v>
          </cell>
          <cell r="V909" t="str">
            <v>N</v>
          </cell>
          <cell r="Y909" t="str">
            <v>N</v>
          </cell>
        </row>
        <row r="910">
          <cell r="A910">
            <v>7501349025059</v>
          </cell>
          <cell r="V910" t="str">
            <v>N</v>
          </cell>
          <cell r="Y910" t="str">
            <v>N</v>
          </cell>
        </row>
        <row r="911">
          <cell r="A911">
            <v>7503001007649</v>
          </cell>
          <cell r="V911" t="str">
            <v>N</v>
          </cell>
          <cell r="Y911" t="str">
            <v>N</v>
          </cell>
        </row>
        <row r="912">
          <cell r="A912" t="str">
            <v>7503000422610CC</v>
          </cell>
          <cell r="V912" t="str">
            <v>N</v>
          </cell>
          <cell r="Y912" t="str">
            <v>N</v>
          </cell>
        </row>
        <row r="913">
          <cell r="A913">
            <v>7503000422511</v>
          </cell>
          <cell r="V913" t="str">
            <v>N</v>
          </cell>
          <cell r="Y913" t="str">
            <v>N</v>
          </cell>
        </row>
        <row r="914">
          <cell r="A914">
            <v>7501573906469</v>
          </cell>
          <cell r="V914" t="str">
            <v>N</v>
          </cell>
          <cell r="Y914" t="str">
            <v>N</v>
          </cell>
        </row>
        <row r="915">
          <cell r="A915">
            <v>7502009746321</v>
          </cell>
          <cell r="V915" t="str">
            <v>N</v>
          </cell>
          <cell r="Y915" t="str">
            <v>N</v>
          </cell>
        </row>
        <row r="916">
          <cell r="A916">
            <v>75016418</v>
          </cell>
          <cell r="V916" t="str">
            <v>N</v>
          </cell>
          <cell r="Y916" t="str">
            <v>N</v>
          </cell>
        </row>
        <row r="917">
          <cell r="A917">
            <v>7506425603589</v>
          </cell>
          <cell r="V917" t="str">
            <v>S</v>
          </cell>
          <cell r="Y917" t="str">
            <v>N</v>
          </cell>
        </row>
        <row r="918">
          <cell r="A918">
            <v>7501943493698</v>
          </cell>
          <cell r="V918" t="str">
            <v>S</v>
          </cell>
          <cell r="Y918" t="str">
            <v>N</v>
          </cell>
        </row>
        <row r="919">
          <cell r="A919">
            <v>7502216791602</v>
          </cell>
          <cell r="V919" t="str">
            <v>N</v>
          </cell>
          <cell r="Y919" t="str">
            <v>N</v>
          </cell>
        </row>
        <row r="920">
          <cell r="A920">
            <v>7502009744853</v>
          </cell>
          <cell r="V920" t="str">
            <v>N</v>
          </cell>
          <cell r="Y920" t="str">
            <v>N</v>
          </cell>
        </row>
        <row r="921">
          <cell r="A921">
            <v>7502216808362</v>
          </cell>
          <cell r="V921" t="str">
            <v>N</v>
          </cell>
          <cell r="Y921" t="str">
            <v>N</v>
          </cell>
        </row>
        <row r="922">
          <cell r="A922">
            <v>7502216792920</v>
          </cell>
          <cell r="V922" t="str">
            <v>N</v>
          </cell>
          <cell r="Y922" t="str">
            <v>N</v>
          </cell>
        </row>
        <row r="923">
          <cell r="A923">
            <v>7503003134268</v>
          </cell>
          <cell r="V923" t="str">
            <v>N</v>
          </cell>
          <cell r="Y923" t="str">
            <v>N</v>
          </cell>
        </row>
        <row r="924">
          <cell r="A924">
            <v>7791293032153</v>
          </cell>
          <cell r="V924" t="str">
            <v>S</v>
          </cell>
          <cell r="Y924" t="str">
            <v>N</v>
          </cell>
        </row>
        <row r="925">
          <cell r="A925">
            <v>7506306202832</v>
          </cell>
          <cell r="V925" t="str">
            <v>S</v>
          </cell>
          <cell r="Y925" t="str">
            <v>N</v>
          </cell>
        </row>
        <row r="926">
          <cell r="A926">
            <v>7506306226722</v>
          </cell>
          <cell r="V926" t="str">
            <v>S</v>
          </cell>
          <cell r="Y926" t="str">
            <v>N</v>
          </cell>
        </row>
        <row r="927">
          <cell r="A927">
            <v>7791293025810</v>
          </cell>
          <cell r="V927" t="str">
            <v>S</v>
          </cell>
          <cell r="Y927" t="str">
            <v>N</v>
          </cell>
        </row>
        <row r="928">
          <cell r="A928">
            <v>7502009744440</v>
          </cell>
          <cell r="V928" t="str">
            <v>N</v>
          </cell>
          <cell r="Y928" t="str">
            <v>N</v>
          </cell>
        </row>
        <row r="929">
          <cell r="A929">
            <v>7502009747779</v>
          </cell>
          <cell r="V929" t="str">
            <v>N</v>
          </cell>
          <cell r="Y929" t="str">
            <v>N</v>
          </cell>
        </row>
        <row r="930">
          <cell r="A930">
            <v>7501058793393</v>
          </cell>
          <cell r="V930" t="str">
            <v>N</v>
          </cell>
          <cell r="Y930" t="str">
            <v>N</v>
          </cell>
        </row>
        <row r="931">
          <cell r="A931">
            <v>354312425403</v>
          </cell>
          <cell r="V931" t="str">
            <v>S</v>
          </cell>
          <cell r="Y931" t="str">
            <v>N</v>
          </cell>
        </row>
        <row r="932">
          <cell r="A932">
            <v>7501298221823</v>
          </cell>
          <cell r="V932" t="str">
            <v>N</v>
          </cell>
          <cell r="Y932" t="str">
            <v>N</v>
          </cell>
        </row>
        <row r="933">
          <cell r="A933">
            <v>354312425106</v>
          </cell>
          <cell r="V933" t="str">
            <v>S</v>
          </cell>
          <cell r="Y933" t="str">
            <v>N</v>
          </cell>
        </row>
        <row r="934">
          <cell r="A934">
            <v>7502009746710</v>
          </cell>
          <cell r="V934" t="str">
            <v>N</v>
          </cell>
          <cell r="Y934" t="str">
            <v>N</v>
          </cell>
        </row>
        <row r="935">
          <cell r="A935">
            <v>75049812</v>
          </cell>
          <cell r="V935" t="str">
            <v>N</v>
          </cell>
          <cell r="Y935" t="str">
            <v>N</v>
          </cell>
        </row>
        <row r="936">
          <cell r="A936">
            <v>7501109902637</v>
          </cell>
          <cell r="V936" t="str">
            <v>N</v>
          </cell>
          <cell r="Y936" t="str">
            <v>N</v>
          </cell>
        </row>
        <row r="937">
          <cell r="A937">
            <v>7502211784289</v>
          </cell>
          <cell r="V937" t="str">
            <v>N</v>
          </cell>
          <cell r="Y937" t="str">
            <v>N</v>
          </cell>
        </row>
        <row r="938">
          <cell r="A938">
            <v>7502222840349</v>
          </cell>
          <cell r="V938" t="str">
            <v>N</v>
          </cell>
          <cell r="Y938" t="str">
            <v>N</v>
          </cell>
        </row>
        <row r="939">
          <cell r="A939">
            <v>7501537103354</v>
          </cell>
          <cell r="V939" t="str">
            <v>N</v>
          </cell>
          <cell r="Y939" t="str">
            <v>N</v>
          </cell>
        </row>
        <row r="940">
          <cell r="A940">
            <v>5415062392317</v>
          </cell>
          <cell r="V940" t="str">
            <v>N</v>
          </cell>
          <cell r="Y940" t="str">
            <v>N</v>
          </cell>
        </row>
        <row r="941">
          <cell r="A941">
            <v>7502009746802</v>
          </cell>
          <cell r="V941" t="str">
            <v>N</v>
          </cell>
          <cell r="Y941" t="str">
            <v>N</v>
          </cell>
        </row>
        <row r="942">
          <cell r="A942">
            <v>7501349028326</v>
          </cell>
          <cell r="V942" t="str">
            <v>N</v>
          </cell>
          <cell r="Y942" t="str">
            <v>N</v>
          </cell>
        </row>
        <row r="943">
          <cell r="A943">
            <v>7509546073743</v>
          </cell>
          <cell r="V943" t="str">
            <v>S</v>
          </cell>
          <cell r="Y943" t="str">
            <v>N</v>
          </cell>
        </row>
        <row r="944">
          <cell r="A944">
            <v>7502001038707</v>
          </cell>
          <cell r="V944" t="str">
            <v>N</v>
          </cell>
          <cell r="Y944" t="str">
            <v>N</v>
          </cell>
        </row>
        <row r="945">
          <cell r="A945">
            <v>7502211789321</v>
          </cell>
          <cell r="V945" t="str">
            <v>N</v>
          </cell>
          <cell r="Y945" t="str">
            <v>N</v>
          </cell>
        </row>
        <row r="946">
          <cell r="A946">
            <v>7502223112353</v>
          </cell>
          <cell r="V946" t="str">
            <v>N</v>
          </cell>
          <cell r="Y946" t="str">
            <v>N</v>
          </cell>
        </row>
        <row r="947">
          <cell r="A947">
            <v>785120755466</v>
          </cell>
          <cell r="V947" t="str">
            <v>N</v>
          </cell>
          <cell r="Y947" t="str">
            <v>N</v>
          </cell>
        </row>
        <row r="948">
          <cell r="A948">
            <v>7506428800602</v>
          </cell>
          <cell r="V948" t="str">
            <v>S</v>
          </cell>
          <cell r="Y948" t="str">
            <v>N</v>
          </cell>
        </row>
        <row r="949">
          <cell r="A949">
            <v>7506428800305</v>
          </cell>
          <cell r="V949" t="str">
            <v>S</v>
          </cell>
          <cell r="Y949" t="str">
            <v>N</v>
          </cell>
        </row>
        <row r="950">
          <cell r="A950">
            <v>7501590211225</v>
          </cell>
          <cell r="V950" t="str">
            <v>S</v>
          </cell>
          <cell r="Y950" t="str">
            <v>N</v>
          </cell>
        </row>
        <row r="951">
          <cell r="A951">
            <v>7502216791299</v>
          </cell>
          <cell r="V951" t="str">
            <v>N</v>
          </cell>
          <cell r="Y951" t="str">
            <v>N</v>
          </cell>
        </row>
        <row r="952">
          <cell r="A952">
            <v>7502305940034</v>
          </cell>
          <cell r="V952" t="str">
            <v>S</v>
          </cell>
          <cell r="Y952" t="str">
            <v>N</v>
          </cell>
        </row>
        <row r="953">
          <cell r="A953">
            <v>7502305940058</v>
          </cell>
          <cell r="V953" t="str">
            <v>S</v>
          </cell>
          <cell r="Y953" t="str">
            <v>N</v>
          </cell>
        </row>
        <row r="954">
          <cell r="A954">
            <v>7502227871409</v>
          </cell>
          <cell r="V954" t="str">
            <v>N</v>
          </cell>
          <cell r="Y954" t="str">
            <v>N</v>
          </cell>
        </row>
        <row r="955">
          <cell r="A955">
            <v>7502216795051</v>
          </cell>
          <cell r="V955" t="str">
            <v>N</v>
          </cell>
          <cell r="Y955" t="str">
            <v>N</v>
          </cell>
        </row>
        <row r="956">
          <cell r="A956">
            <v>7502009740367</v>
          </cell>
          <cell r="V956" t="str">
            <v>N</v>
          </cell>
          <cell r="Y956" t="str">
            <v>N</v>
          </cell>
        </row>
        <row r="957">
          <cell r="A957">
            <v>7502009740374</v>
          </cell>
          <cell r="V957" t="str">
            <v>N</v>
          </cell>
          <cell r="Y957" t="str">
            <v>N</v>
          </cell>
        </row>
        <row r="958">
          <cell r="A958">
            <v>7501868901131</v>
          </cell>
          <cell r="V958" t="str">
            <v>S</v>
          </cell>
          <cell r="Y958" t="str">
            <v>N</v>
          </cell>
        </row>
        <row r="959">
          <cell r="A959">
            <v>7501868901124</v>
          </cell>
          <cell r="V959" t="str">
            <v>S</v>
          </cell>
          <cell r="Y959" t="str">
            <v>N</v>
          </cell>
        </row>
        <row r="960">
          <cell r="A960">
            <v>7501868901117</v>
          </cell>
          <cell r="V960" t="str">
            <v>S</v>
          </cell>
          <cell r="Y960" t="str">
            <v>N</v>
          </cell>
        </row>
        <row r="961">
          <cell r="A961">
            <v>729514000190</v>
          </cell>
          <cell r="V961" t="str">
            <v>S</v>
          </cell>
          <cell r="Y961" t="str">
            <v>N</v>
          </cell>
        </row>
        <row r="962">
          <cell r="A962">
            <v>4021447739687</v>
          </cell>
          <cell r="V962" t="str">
            <v>S</v>
          </cell>
          <cell r="Y962" t="str">
            <v>N</v>
          </cell>
        </row>
        <row r="963">
          <cell r="A963">
            <v>4021447930350</v>
          </cell>
          <cell r="V963" t="str">
            <v>S</v>
          </cell>
          <cell r="Y963" t="str">
            <v>N</v>
          </cell>
        </row>
        <row r="964">
          <cell r="A964">
            <v>4021447089782</v>
          </cell>
          <cell r="V964" t="str">
            <v>S</v>
          </cell>
          <cell r="Y964" t="str">
            <v>N</v>
          </cell>
        </row>
        <row r="965">
          <cell r="A965">
            <v>729513130041</v>
          </cell>
          <cell r="V965" t="str">
            <v>S</v>
          </cell>
          <cell r="Y965" t="str">
            <v>N</v>
          </cell>
        </row>
        <row r="966">
          <cell r="A966">
            <v>729513130027</v>
          </cell>
          <cell r="V966" t="str">
            <v>S</v>
          </cell>
          <cell r="Y966" t="str">
            <v>N</v>
          </cell>
        </row>
        <row r="967">
          <cell r="A967">
            <v>729513107890</v>
          </cell>
          <cell r="V967" t="str">
            <v>S</v>
          </cell>
          <cell r="Y967" t="str">
            <v>N</v>
          </cell>
        </row>
        <row r="968">
          <cell r="A968">
            <v>729513107913</v>
          </cell>
          <cell r="V968" t="str">
            <v>S</v>
          </cell>
          <cell r="Y968" t="str">
            <v>N</v>
          </cell>
        </row>
        <row r="969">
          <cell r="A969">
            <v>7503008344617</v>
          </cell>
          <cell r="V969" t="str">
            <v>S</v>
          </cell>
          <cell r="Y969" t="str">
            <v>N</v>
          </cell>
        </row>
        <row r="970">
          <cell r="A970">
            <v>7501349014299</v>
          </cell>
          <cell r="V970" t="str">
            <v>N</v>
          </cell>
          <cell r="Y970" t="str">
            <v>N</v>
          </cell>
        </row>
        <row r="971">
          <cell r="A971">
            <v>7502227875964</v>
          </cell>
          <cell r="V971" t="str">
            <v>N</v>
          </cell>
          <cell r="Y971" t="str">
            <v>N</v>
          </cell>
        </row>
        <row r="972">
          <cell r="A972">
            <v>7506021101021</v>
          </cell>
          <cell r="V972" t="str">
            <v>S</v>
          </cell>
          <cell r="Y972" t="str">
            <v>N</v>
          </cell>
        </row>
        <row r="973">
          <cell r="A973">
            <v>7502001163065</v>
          </cell>
          <cell r="V973" t="str">
            <v>N</v>
          </cell>
          <cell r="Y973" t="str">
            <v>N</v>
          </cell>
        </row>
        <row r="974">
          <cell r="A974">
            <v>7502001163119</v>
          </cell>
          <cell r="V974" t="str">
            <v>N</v>
          </cell>
          <cell r="Y974" t="str">
            <v>N</v>
          </cell>
        </row>
        <row r="975">
          <cell r="A975">
            <v>7502211789833</v>
          </cell>
          <cell r="V975" t="str">
            <v>S</v>
          </cell>
          <cell r="Y975" t="str">
            <v>N</v>
          </cell>
        </row>
        <row r="976">
          <cell r="A976">
            <v>7502211789826</v>
          </cell>
          <cell r="V976" t="str">
            <v>S</v>
          </cell>
          <cell r="Y976" t="str">
            <v>N</v>
          </cell>
        </row>
        <row r="977">
          <cell r="A977">
            <v>7503001007663</v>
          </cell>
          <cell r="V977" t="str">
            <v>N</v>
          </cell>
          <cell r="Y977" t="str">
            <v>N</v>
          </cell>
        </row>
        <row r="978">
          <cell r="A978">
            <v>7506021100710</v>
          </cell>
          <cell r="V978" t="str">
            <v>S</v>
          </cell>
          <cell r="Y978" t="str">
            <v>N</v>
          </cell>
        </row>
        <row r="979">
          <cell r="A979">
            <v>7502009740312</v>
          </cell>
          <cell r="V979" t="str">
            <v>N</v>
          </cell>
          <cell r="Y979" t="str">
            <v>N</v>
          </cell>
        </row>
        <row r="980">
          <cell r="A980">
            <v>7502216801196</v>
          </cell>
          <cell r="V980" t="str">
            <v>N</v>
          </cell>
          <cell r="Y980" t="str">
            <v>N</v>
          </cell>
        </row>
        <row r="981">
          <cell r="A981">
            <v>7501349022881</v>
          </cell>
          <cell r="V981" t="str">
            <v>N</v>
          </cell>
          <cell r="Y981" t="str">
            <v>N</v>
          </cell>
        </row>
        <row r="982">
          <cell r="A982">
            <v>7501537102272</v>
          </cell>
          <cell r="V982" t="str">
            <v>N</v>
          </cell>
          <cell r="Y982" t="str">
            <v>N</v>
          </cell>
        </row>
        <row r="983">
          <cell r="A983">
            <v>7501299307298</v>
          </cell>
          <cell r="V983" t="str">
            <v>N</v>
          </cell>
          <cell r="Y983" t="str">
            <v>N</v>
          </cell>
        </row>
        <row r="984">
          <cell r="A984">
            <v>7501065095718</v>
          </cell>
          <cell r="V984" t="str">
            <v>N</v>
          </cell>
          <cell r="Y984" t="str">
            <v>N</v>
          </cell>
        </row>
        <row r="985">
          <cell r="A985">
            <v>7502227875506</v>
          </cell>
          <cell r="V985" t="str">
            <v>N</v>
          </cell>
          <cell r="Y985" t="str">
            <v>N</v>
          </cell>
        </row>
        <row r="986">
          <cell r="A986">
            <v>714908107920</v>
          </cell>
          <cell r="V986" t="str">
            <v>N</v>
          </cell>
          <cell r="Y986" t="str">
            <v>N</v>
          </cell>
        </row>
        <row r="987">
          <cell r="A987">
            <v>75050764</v>
          </cell>
          <cell r="V987" t="str">
            <v>N</v>
          </cell>
          <cell r="Y987" t="str">
            <v>N</v>
          </cell>
        </row>
        <row r="988">
          <cell r="A988">
            <v>7502006922629</v>
          </cell>
          <cell r="V988" t="str">
            <v>N</v>
          </cell>
          <cell r="Y988" t="str">
            <v>N</v>
          </cell>
        </row>
        <row r="989">
          <cell r="A989">
            <v>7502009745034</v>
          </cell>
          <cell r="V989" t="str">
            <v>N</v>
          </cell>
          <cell r="Y989" t="str">
            <v>N</v>
          </cell>
        </row>
        <row r="990">
          <cell r="A990">
            <v>7501165011717</v>
          </cell>
          <cell r="V990" t="str">
            <v>N</v>
          </cell>
          <cell r="Y990" t="str">
            <v>N</v>
          </cell>
        </row>
        <row r="991">
          <cell r="A991">
            <v>7502209810273</v>
          </cell>
          <cell r="V991" t="str">
            <v>N</v>
          </cell>
          <cell r="Y991" t="str">
            <v>N</v>
          </cell>
        </row>
        <row r="992">
          <cell r="A992">
            <v>7501349021532</v>
          </cell>
          <cell r="V992" t="str">
            <v>N</v>
          </cell>
          <cell r="Y992" t="str">
            <v>N</v>
          </cell>
        </row>
        <row r="993">
          <cell r="A993">
            <v>7502009742132</v>
          </cell>
          <cell r="V993" t="str">
            <v>N</v>
          </cell>
          <cell r="Y993" t="str">
            <v>N</v>
          </cell>
        </row>
        <row r="994">
          <cell r="A994">
            <v>7501300450517</v>
          </cell>
          <cell r="V994" t="str">
            <v>N</v>
          </cell>
          <cell r="Y994" t="str">
            <v>N</v>
          </cell>
        </row>
        <row r="995">
          <cell r="A995">
            <v>7501300450500</v>
          </cell>
          <cell r="V995" t="str">
            <v>N</v>
          </cell>
          <cell r="Y995" t="str">
            <v>N</v>
          </cell>
        </row>
        <row r="996">
          <cell r="A996">
            <v>37836041259</v>
          </cell>
          <cell r="V996" t="str">
            <v>S</v>
          </cell>
          <cell r="Y996" t="str">
            <v>N</v>
          </cell>
        </row>
        <row r="997">
          <cell r="A997">
            <v>7502240451022</v>
          </cell>
          <cell r="V997" t="str">
            <v>N</v>
          </cell>
          <cell r="Y997" t="str">
            <v>N</v>
          </cell>
        </row>
        <row r="998">
          <cell r="A998" t="str">
            <v>7502009741746CC</v>
          </cell>
          <cell r="V998" t="str">
            <v>N</v>
          </cell>
          <cell r="Y998" t="str">
            <v>N</v>
          </cell>
        </row>
        <row r="999">
          <cell r="A999">
            <v>67238891190</v>
          </cell>
          <cell r="V999" t="str">
            <v>S</v>
          </cell>
          <cell r="Y999" t="str">
            <v>N</v>
          </cell>
        </row>
        <row r="1000">
          <cell r="A1000">
            <v>7501056349288</v>
          </cell>
          <cell r="V1000" t="str">
            <v>S</v>
          </cell>
          <cell r="Y1000" t="str">
            <v>N</v>
          </cell>
        </row>
        <row r="1001">
          <cell r="A1001">
            <v>7791293022567</v>
          </cell>
          <cell r="V1001" t="str">
            <v>S</v>
          </cell>
          <cell r="Y1001" t="str">
            <v>N</v>
          </cell>
        </row>
        <row r="1002">
          <cell r="A1002">
            <v>7502226292182</v>
          </cell>
          <cell r="V1002" t="str">
            <v>N</v>
          </cell>
          <cell r="Y1002" t="str">
            <v>N</v>
          </cell>
        </row>
        <row r="1003">
          <cell r="A1003">
            <v>7506335700019</v>
          </cell>
          <cell r="V1003" t="str">
            <v>N</v>
          </cell>
          <cell r="Y1003" t="str">
            <v>N</v>
          </cell>
        </row>
        <row r="1004">
          <cell r="A1004">
            <v>7501537102388</v>
          </cell>
          <cell r="V1004" t="str">
            <v>N</v>
          </cell>
          <cell r="Y1004" t="str">
            <v>N</v>
          </cell>
        </row>
        <row r="1005">
          <cell r="A1005">
            <v>7501123014101</v>
          </cell>
          <cell r="V1005" t="str">
            <v>N</v>
          </cell>
          <cell r="Y1005" t="str">
            <v>N</v>
          </cell>
        </row>
        <row r="1006">
          <cell r="A1006">
            <v>3511000001128</v>
          </cell>
          <cell r="V1006" t="str">
            <v>S</v>
          </cell>
          <cell r="Y1006" t="str">
            <v>N</v>
          </cell>
        </row>
        <row r="1007">
          <cell r="A1007">
            <v>7502211789901</v>
          </cell>
          <cell r="V1007" t="str">
            <v>N</v>
          </cell>
          <cell r="Y1007" t="str">
            <v>N</v>
          </cell>
        </row>
        <row r="1008">
          <cell r="A1008">
            <v>7502224228060</v>
          </cell>
          <cell r="V1008" t="str">
            <v>S</v>
          </cell>
          <cell r="Y1008" t="str">
            <v>N</v>
          </cell>
        </row>
        <row r="1009">
          <cell r="A1009">
            <v>7502008986995</v>
          </cell>
          <cell r="V1009" t="str">
            <v>S</v>
          </cell>
          <cell r="Y1009" t="str">
            <v>N</v>
          </cell>
        </row>
        <row r="1010">
          <cell r="A1010">
            <v>650240066139</v>
          </cell>
          <cell r="V1010" t="str">
            <v>S</v>
          </cell>
          <cell r="Y1010" t="str">
            <v>N</v>
          </cell>
        </row>
        <row r="1011">
          <cell r="A1011">
            <v>780083141226</v>
          </cell>
          <cell r="V1011" t="str">
            <v>N</v>
          </cell>
          <cell r="Y1011" t="str">
            <v>N</v>
          </cell>
        </row>
        <row r="1012">
          <cell r="A1012">
            <v>7502008986933</v>
          </cell>
          <cell r="V1012" t="str">
            <v>S</v>
          </cell>
          <cell r="Y1012" t="str">
            <v>N</v>
          </cell>
        </row>
        <row r="1013">
          <cell r="A1013">
            <v>7502001037120</v>
          </cell>
          <cell r="V1013" t="str">
            <v>N</v>
          </cell>
          <cell r="Y1013" t="str">
            <v>N</v>
          </cell>
        </row>
        <row r="1014">
          <cell r="A1014">
            <v>7713042113487</v>
          </cell>
          <cell r="V1014" t="str">
            <v>S</v>
          </cell>
          <cell r="Y1014" t="str">
            <v>N</v>
          </cell>
        </row>
        <row r="1015">
          <cell r="A1015">
            <v>7501125112881</v>
          </cell>
          <cell r="V1015" t="str">
            <v>N</v>
          </cell>
          <cell r="Y1015" t="str">
            <v>N</v>
          </cell>
        </row>
        <row r="1016">
          <cell r="A1016">
            <v>785120754483</v>
          </cell>
          <cell r="V1016" t="str">
            <v>N</v>
          </cell>
          <cell r="Y1016" t="str">
            <v>N</v>
          </cell>
        </row>
        <row r="1017">
          <cell r="A1017">
            <v>7502216790490</v>
          </cell>
          <cell r="V1017" t="str">
            <v>N</v>
          </cell>
          <cell r="Y1017" t="str">
            <v>N</v>
          </cell>
        </row>
        <row r="1018">
          <cell r="A1018">
            <v>7502216790483</v>
          </cell>
          <cell r="V1018" t="str">
            <v>N</v>
          </cell>
          <cell r="Y1018" t="str">
            <v>N</v>
          </cell>
        </row>
        <row r="1019">
          <cell r="A1019">
            <v>7502216790506</v>
          </cell>
          <cell r="V1019" t="str">
            <v>N</v>
          </cell>
          <cell r="Y1019" t="str">
            <v>N</v>
          </cell>
        </row>
        <row r="1020">
          <cell r="A1020">
            <v>7502216808461</v>
          </cell>
          <cell r="V1020" t="str">
            <v>N</v>
          </cell>
          <cell r="Y1020" t="str">
            <v>N</v>
          </cell>
        </row>
        <row r="1021">
          <cell r="A1021">
            <v>7502234760352</v>
          </cell>
          <cell r="V1021" t="str">
            <v>N</v>
          </cell>
          <cell r="Y1021" t="str">
            <v>N</v>
          </cell>
        </row>
        <row r="1022">
          <cell r="A1022">
            <v>7506442701039</v>
          </cell>
          <cell r="V1022" t="str">
            <v>N</v>
          </cell>
          <cell r="Y1022" t="str">
            <v>N</v>
          </cell>
        </row>
        <row r="1023">
          <cell r="A1023">
            <v>7501573906476</v>
          </cell>
          <cell r="V1023" t="str">
            <v>N</v>
          </cell>
          <cell r="Y1023" t="str">
            <v>N</v>
          </cell>
        </row>
        <row r="1024">
          <cell r="A1024">
            <v>7501573904786</v>
          </cell>
          <cell r="V1024" t="str">
            <v>N</v>
          </cell>
          <cell r="Y1024" t="str">
            <v>N</v>
          </cell>
        </row>
        <row r="1025">
          <cell r="A1025">
            <v>7501075721751</v>
          </cell>
          <cell r="V1025" t="str">
            <v>N</v>
          </cell>
          <cell r="Y1025" t="str">
            <v>N</v>
          </cell>
        </row>
        <row r="1026">
          <cell r="A1026">
            <v>7502216803640</v>
          </cell>
          <cell r="V1026" t="str">
            <v>N</v>
          </cell>
          <cell r="Y1026" t="str">
            <v>N</v>
          </cell>
        </row>
        <row r="1027">
          <cell r="A1027">
            <v>7502211784005</v>
          </cell>
          <cell r="V1027" t="str">
            <v>N</v>
          </cell>
          <cell r="Y1027" t="str">
            <v>N</v>
          </cell>
        </row>
        <row r="1028">
          <cell r="A1028">
            <v>7502211788423</v>
          </cell>
          <cell r="V1028" t="str">
            <v>N</v>
          </cell>
          <cell r="Y1028" t="str">
            <v>N</v>
          </cell>
        </row>
        <row r="1029">
          <cell r="A1029">
            <v>7502009746543</v>
          </cell>
          <cell r="V1029" t="str">
            <v>N</v>
          </cell>
          <cell r="Y1029" t="str">
            <v>N</v>
          </cell>
        </row>
        <row r="1030">
          <cell r="A1030">
            <v>7501417010253</v>
          </cell>
          <cell r="V1030" t="str">
            <v>S</v>
          </cell>
          <cell r="Y1030" t="str">
            <v>N</v>
          </cell>
        </row>
        <row r="1031">
          <cell r="A1031">
            <v>7502259892298</v>
          </cell>
          <cell r="V1031" t="str">
            <v>S</v>
          </cell>
          <cell r="Y1031" t="str">
            <v>N</v>
          </cell>
        </row>
        <row r="1032">
          <cell r="A1032">
            <v>7503004908707</v>
          </cell>
          <cell r="V1032" t="str">
            <v>N</v>
          </cell>
          <cell r="Y1032" t="str">
            <v>N</v>
          </cell>
        </row>
        <row r="1033">
          <cell r="A1033">
            <v>821998000700</v>
          </cell>
          <cell r="V1033" t="str">
            <v>N</v>
          </cell>
          <cell r="Y1033" t="str">
            <v>N</v>
          </cell>
        </row>
        <row r="1034">
          <cell r="A1034">
            <v>7506022330628</v>
          </cell>
          <cell r="V1034" t="str">
            <v>S</v>
          </cell>
          <cell r="Y1034" t="str">
            <v>N</v>
          </cell>
        </row>
        <row r="1035">
          <cell r="A1035">
            <v>75000950</v>
          </cell>
          <cell r="V1035" t="str">
            <v>S</v>
          </cell>
          <cell r="Y1035" t="str">
            <v>N</v>
          </cell>
        </row>
        <row r="1036">
          <cell r="A1036">
            <v>7501943480001</v>
          </cell>
          <cell r="V1036" t="str">
            <v>S</v>
          </cell>
          <cell r="Y1036" t="str">
            <v>N</v>
          </cell>
        </row>
        <row r="1037">
          <cell r="A1037">
            <v>7509546063843</v>
          </cell>
          <cell r="V1037" t="str">
            <v>S</v>
          </cell>
          <cell r="Y1037" t="str">
            <v>N</v>
          </cell>
        </row>
        <row r="1038">
          <cell r="A1038">
            <v>7501065008473</v>
          </cell>
          <cell r="V1038" t="str">
            <v>N</v>
          </cell>
          <cell r="Y1038" t="str">
            <v>N</v>
          </cell>
        </row>
        <row r="1039">
          <cell r="A1039">
            <v>7501478310552</v>
          </cell>
          <cell r="V1039" t="str">
            <v>S</v>
          </cell>
          <cell r="Y1039" t="str">
            <v>N</v>
          </cell>
        </row>
        <row r="1040">
          <cell r="A1040">
            <v>7501165005594</v>
          </cell>
          <cell r="V1040" t="str">
            <v>N</v>
          </cell>
          <cell r="Y1040" t="str">
            <v>N</v>
          </cell>
        </row>
        <row r="1041">
          <cell r="A1041">
            <v>7501165002906</v>
          </cell>
          <cell r="V1041" t="str">
            <v>N</v>
          </cell>
          <cell r="Y1041" t="str">
            <v>N</v>
          </cell>
        </row>
        <row r="1042">
          <cell r="A1042">
            <v>7501165002920</v>
          </cell>
          <cell r="V1042" t="str">
            <v>N</v>
          </cell>
          <cell r="Y1042" t="str">
            <v>N</v>
          </cell>
        </row>
        <row r="1043">
          <cell r="A1043" t="str">
            <v>7502305940065CC</v>
          </cell>
          <cell r="V1043" t="str">
            <v>S</v>
          </cell>
          <cell r="Y1043" t="str">
            <v>N</v>
          </cell>
        </row>
        <row r="1044">
          <cell r="A1044">
            <v>7506022328335</v>
          </cell>
          <cell r="V1044" t="str">
            <v>N</v>
          </cell>
          <cell r="Y1044" t="str">
            <v>N</v>
          </cell>
        </row>
        <row r="1045">
          <cell r="A1045">
            <v>7502227427392</v>
          </cell>
          <cell r="V1045" t="str">
            <v>N</v>
          </cell>
          <cell r="Y1045" t="str">
            <v>N</v>
          </cell>
        </row>
        <row r="1046">
          <cell r="A1046">
            <v>7502227420928</v>
          </cell>
          <cell r="V1046" t="str">
            <v>S</v>
          </cell>
          <cell r="Y1046" t="str">
            <v>N</v>
          </cell>
        </row>
        <row r="1047">
          <cell r="A1047">
            <v>7501022105191</v>
          </cell>
          <cell r="V1047" t="str">
            <v>S</v>
          </cell>
          <cell r="Y1047" t="str">
            <v>N</v>
          </cell>
        </row>
        <row r="1048">
          <cell r="A1048">
            <v>7502209858077</v>
          </cell>
          <cell r="V1048" t="str">
            <v>N</v>
          </cell>
          <cell r="Y1048" t="str">
            <v>N</v>
          </cell>
        </row>
        <row r="1049">
          <cell r="A1049">
            <v>714706903342</v>
          </cell>
          <cell r="V1049" t="str">
            <v>N</v>
          </cell>
          <cell r="Y1049" t="str">
            <v>N</v>
          </cell>
        </row>
        <row r="1050">
          <cell r="A1050">
            <v>7501064560163</v>
          </cell>
          <cell r="V1050" t="str">
            <v>N</v>
          </cell>
          <cell r="Y1050" t="str">
            <v>N</v>
          </cell>
        </row>
        <row r="1051">
          <cell r="A1051">
            <v>7501258215824</v>
          </cell>
          <cell r="V1051" t="str">
            <v>N</v>
          </cell>
          <cell r="Y1051" t="str">
            <v>N</v>
          </cell>
        </row>
        <row r="1052">
          <cell r="A1052">
            <v>7502227879597</v>
          </cell>
          <cell r="V1052" t="str">
            <v>N</v>
          </cell>
          <cell r="Y1052" t="str">
            <v>N</v>
          </cell>
        </row>
        <row r="1053">
          <cell r="A1053">
            <v>7501573901082</v>
          </cell>
          <cell r="V1053" t="str">
            <v>N</v>
          </cell>
          <cell r="Y1053" t="str">
            <v>N</v>
          </cell>
        </row>
        <row r="1054">
          <cell r="A1054">
            <v>7503001009117</v>
          </cell>
          <cell r="V1054" t="str">
            <v>N</v>
          </cell>
          <cell r="Y1054" t="str">
            <v>N</v>
          </cell>
        </row>
        <row r="1055">
          <cell r="A1055">
            <v>7502009746086</v>
          </cell>
          <cell r="V1055" t="str">
            <v>N</v>
          </cell>
          <cell r="Y1055" t="str">
            <v>N</v>
          </cell>
        </row>
        <row r="1056">
          <cell r="A1056">
            <v>7501358100044</v>
          </cell>
          <cell r="V1056" t="str">
            <v>N</v>
          </cell>
          <cell r="Y1056" t="str">
            <v>N</v>
          </cell>
        </row>
        <row r="1057">
          <cell r="A1057">
            <v>7503002615133</v>
          </cell>
          <cell r="V1057" t="str">
            <v>N</v>
          </cell>
          <cell r="Y1057" t="str">
            <v>N</v>
          </cell>
        </row>
        <row r="1058">
          <cell r="A1058">
            <v>7501075717174</v>
          </cell>
          <cell r="V1058" t="str">
            <v>N</v>
          </cell>
          <cell r="Y1058" t="str">
            <v>N</v>
          </cell>
        </row>
        <row r="1059">
          <cell r="A1059">
            <v>7501065628121</v>
          </cell>
          <cell r="V1059" t="str">
            <v>S</v>
          </cell>
          <cell r="Y1059" t="str">
            <v>N</v>
          </cell>
        </row>
        <row r="1060">
          <cell r="A1060">
            <v>7502216808614</v>
          </cell>
          <cell r="V1060" t="str">
            <v>N</v>
          </cell>
          <cell r="Y1060" t="str">
            <v>N</v>
          </cell>
        </row>
        <row r="1061">
          <cell r="A1061">
            <v>7502259891468</v>
          </cell>
          <cell r="V1061" t="str">
            <v>S</v>
          </cell>
          <cell r="Y1061" t="str">
            <v>N</v>
          </cell>
        </row>
        <row r="1062">
          <cell r="A1062">
            <v>7501493867475</v>
          </cell>
          <cell r="V1062" t="str">
            <v>S</v>
          </cell>
          <cell r="Y1062" t="str">
            <v>N</v>
          </cell>
        </row>
        <row r="1063">
          <cell r="A1063">
            <v>7501065053121</v>
          </cell>
          <cell r="V1063" t="str">
            <v>N</v>
          </cell>
          <cell r="Y1063" t="str">
            <v>N</v>
          </cell>
        </row>
        <row r="1064">
          <cell r="A1064">
            <v>7501836003621</v>
          </cell>
          <cell r="V1064" t="str">
            <v>N</v>
          </cell>
          <cell r="Y1064" t="str">
            <v>N</v>
          </cell>
        </row>
        <row r="1065">
          <cell r="A1065">
            <v>7502004403502</v>
          </cell>
          <cell r="V1065" t="str">
            <v>N</v>
          </cell>
          <cell r="Y1065" t="str">
            <v>N</v>
          </cell>
        </row>
        <row r="1066">
          <cell r="A1066">
            <v>7502211784241</v>
          </cell>
          <cell r="V1066" t="str">
            <v>N</v>
          </cell>
          <cell r="Y1066" t="str">
            <v>N</v>
          </cell>
        </row>
        <row r="1067">
          <cell r="A1067">
            <v>7502211788935</v>
          </cell>
          <cell r="V1067" t="str">
            <v>N</v>
          </cell>
          <cell r="Y1067" t="str">
            <v>N</v>
          </cell>
        </row>
        <row r="1068">
          <cell r="A1068">
            <v>7502001166776</v>
          </cell>
          <cell r="V1068" t="str">
            <v>N</v>
          </cell>
          <cell r="Y1068" t="str">
            <v>N</v>
          </cell>
        </row>
        <row r="1069">
          <cell r="A1069">
            <v>7501349023987</v>
          </cell>
          <cell r="V1069" t="str">
            <v>N</v>
          </cell>
          <cell r="Y1069" t="str">
            <v>N</v>
          </cell>
        </row>
        <row r="1070">
          <cell r="A1070">
            <v>7502209810099</v>
          </cell>
          <cell r="V1070" t="str">
            <v>N</v>
          </cell>
          <cell r="Y1070" t="str">
            <v>N</v>
          </cell>
        </row>
        <row r="1071">
          <cell r="A1071">
            <v>7502216792845</v>
          </cell>
          <cell r="V1071" t="str">
            <v>N</v>
          </cell>
          <cell r="Y1071" t="str">
            <v>N</v>
          </cell>
        </row>
        <row r="1072">
          <cell r="A1072">
            <v>7501384544638</v>
          </cell>
          <cell r="V1072" t="str">
            <v>N</v>
          </cell>
          <cell r="Y1072" t="str">
            <v>N</v>
          </cell>
        </row>
        <row r="1073">
          <cell r="A1073">
            <v>7503014921802</v>
          </cell>
          <cell r="V1073" t="str">
            <v>S</v>
          </cell>
          <cell r="Y1073" t="str">
            <v>N</v>
          </cell>
        </row>
        <row r="1074">
          <cell r="A1074">
            <v>7503014921789</v>
          </cell>
          <cell r="V1074" t="str">
            <v>S</v>
          </cell>
          <cell r="Y1074" t="str">
            <v>N</v>
          </cell>
        </row>
        <row r="1075">
          <cell r="A1075">
            <v>7503014921574</v>
          </cell>
          <cell r="V1075" t="str">
            <v>S</v>
          </cell>
          <cell r="Y1075" t="str">
            <v>N</v>
          </cell>
        </row>
        <row r="1076">
          <cell r="A1076">
            <v>354312625018</v>
          </cell>
          <cell r="V1076" t="str">
            <v>N</v>
          </cell>
          <cell r="Y1076" t="str">
            <v>N</v>
          </cell>
        </row>
        <row r="1077">
          <cell r="A1077">
            <v>7501249606778</v>
          </cell>
          <cell r="V1077" t="str">
            <v>N</v>
          </cell>
          <cell r="Y1077" t="str">
            <v>N</v>
          </cell>
        </row>
        <row r="1078">
          <cell r="A1078">
            <v>7502001161351</v>
          </cell>
          <cell r="V1078" t="str">
            <v>N</v>
          </cell>
          <cell r="Y1078" t="str">
            <v>N</v>
          </cell>
        </row>
        <row r="1079">
          <cell r="A1079">
            <v>7502004402437</v>
          </cell>
          <cell r="V1079" t="str">
            <v>N</v>
          </cell>
          <cell r="Y1079" t="str">
            <v>N</v>
          </cell>
        </row>
        <row r="1080">
          <cell r="A1080">
            <v>7502009746246</v>
          </cell>
          <cell r="V1080" t="str">
            <v>N</v>
          </cell>
          <cell r="Y1080" t="str">
            <v>N</v>
          </cell>
        </row>
        <row r="1081">
          <cell r="A1081">
            <v>7506022303660</v>
          </cell>
          <cell r="V1081" t="str">
            <v>N</v>
          </cell>
          <cell r="Y1081" t="str">
            <v>N</v>
          </cell>
        </row>
        <row r="1082">
          <cell r="A1082">
            <v>650240066283</v>
          </cell>
          <cell r="V1082" t="str">
            <v>S</v>
          </cell>
          <cell r="Y1082" t="str">
            <v>N</v>
          </cell>
        </row>
        <row r="1083">
          <cell r="A1083">
            <v>7501061810100</v>
          </cell>
          <cell r="V1083" t="str">
            <v>S</v>
          </cell>
          <cell r="Y1083" t="str">
            <v>N</v>
          </cell>
        </row>
        <row r="1084">
          <cell r="A1084">
            <v>7501825300946</v>
          </cell>
          <cell r="V1084" t="str">
            <v>N</v>
          </cell>
          <cell r="Y1084" t="str">
            <v>N</v>
          </cell>
        </row>
        <row r="1085">
          <cell r="A1085">
            <v>7501417001749</v>
          </cell>
          <cell r="V1085" t="str">
            <v>S</v>
          </cell>
          <cell r="Y1085" t="str">
            <v>N</v>
          </cell>
        </row>
        <row r="1086">
          <cell r="A1086">
            <v>7502211789819</v>
          </cell>
          <cell r="V1086" t="str">
            <v>S</v>
          </cell>
          <cell r="Y1086" t="str">
            <v>N</v>
          </cell>
        </row>
        <row r="1087">
          <cell r="A1087">
            <v>7501471800265</v>
          </cell>
          <cell r="V1087" t="str">
            <v>N</v>
          </cell>
          <cell r="Y1087" t="str">
            <v>N</v>
          </cell>
        </row>
        <row r="1088">
          <cell r="A1088">
            <v>714706905537</v>
          </cell>
          <cell r="V1088" t="str">
            <v>N</v>
          </cell>
          <cell r="Y1088" t="str">
            <v>N</v>
          </cell>
        </row>
        <row r="1089">
          <cell r="A1089">
            <v>714706905483</v>
          </cell>
          <cell r="V1089" t="str">
            <v>N</v>
          </cell>
          <cell r="Y1089" t="str">
            <v>N</v>
          </cell>
        </row>
        <row r="1090">
          <cell r="A1090">
            <v>714706905490</v>
          </cell>
          <cell r="V1090" t="str">
            <v>N</v>
          </cell>
          <cell r="Y1090" t="str">
            <v>N</v>
          </cell>
        </row>
        <row r="1091">
          <cell r="A1091">
            <v>714706905506</v>
          </cell>
          <cell r="V1091" t="str">
            <v>N</v>
          </cell>
          <cell r="Y1091" t="str">
            <v>N</v>
          </cell>
        </row>
        <row r="1092">
          <cell r="A1092">
            <v>714706905544</v>
          </cell>
          <cell r="V1092" t="str">
            <v>N</v>
          </cell>
          <cell r="Y1092" t="str">
            <v>N</v>
          </cell>
        </row>
        <row r="1093">
          <cell r="A1093">
            <v>7502227426111</v>
          </cell>
          <cell r="V1093" t="str">
            <v>N</v>
          </cell>
          <cell r="Y1093" t="str">
            <v>N</v>
          </cell>
        </row>
        <row r="1094">
          <cell r="A1094">
            <v>7506022330635</v>
          </cell>
          <cell r="V1094" t="str">
            <v>S</v>
          </cell>
          <cell r="Y1094" t="str">
            <v>N</v>
          </cell>
        </row>
        <row r="1095">
          <cell r="A1095">
            <v>7501125175091</v>
          </cell>
          <cell r="V1095" t="str">
            <v>N</v>
          </cell>
          <cell r="Y1095" t="str">
            <v>N</v>
          </cell>
        </row>
        <row r="1096">
          <cell r="A1096">
            <v>780083148805</v>
          </cell>
          <cell r="V1096" t="str">
            <v>N</v>
          </cell>
          <cell r="Y1096" t="str">
            <v>N</v>
          </cell>
        </row>
        <row r="1097">
          <cell r="A1097">
            <v>7502211782483</v>
          </cell>
          <cell r="V1097" t="str">
            <v>N</v>
          </cell>
          <cell r="Y1097" t="str">
            <v>N</v>
          </cell>
        </row>
        <row r="1098">
          <cell r="A1098" t="str">
            <v>7503001007144CC</v>
          </cell>
          <cell r="V1098" t="str">
            <v>N</v>
          </cell>
          <cell r="Y1098" t="str">
            <v>N</v>
          </cell>
        </row>
        <row r="1099">
          <cell r="A1099">
            <v>7502009747786</v>
          </cell>
          <cell r="V1099" t="str">
            <v>N</v>
          </cell>
          <cell r="Y1099" t="str">
            <v>N</v>
          </cell>
        </row>
        <row r="1100">
          <cell r="A1100">
            <v>780083148942</v>
          </cell>
          <cell r="V1100" t="str">
            <v>N</v>
          </cell>
          <cell r="Y1100" t="str">
            <v>N</v>
          </cell>
        </row>
        <row r="1101">
          <cell r="A1101">
            <v>7501878711911</v>
          </cell>
          <cell r="V1101" t="str">
            <v>S</v>
          </cell>
          <cell r="Y1101" t="str">
            <v>N</v>
          </cell>
        </row>
        <row r="1102">
          <cell r="A1102">
            <v>7501878705323</v>
          </cell>
          <cell r="V1102" t="str">
            <v>S</v>
          </cell>
          <cell r="Y1102" t="str">
            <v>N</v>
          </cell>
        </row>
        <row r="1103">
          <cell r="A1103">
            <v>7506306245990</v>
          </cell>
          <cell r="V1103" t="str">
            <v>S</v>
          </cell>
          <cell r="Y1103" t="str">
            <v>N</v>
          </cell>
        </row>
        <row r="1104">
          <cell r="A1104">
            <v>7506306249240</v>
          </cell>
          <cell r="V1104" t="str">
            <v>S</v>
          </cell>
          <cell r="Y1104" t="str">
            <v>N</v>
          </cell>
        </row>
        <row r="1105">
          <cell r="A1105">
            <v>7509546000985</v>
          </cell>
          <cell r="V1105" t="str">
            <v>S</v>
          </cell>
          <cell r="Y1105" t="str">
            <v>N</v>
          </cell>
        </row>
        <row r="1106">
          <cell r="A1106">
            <v>7502227876367</v>
          </cell>
          <cell r="V1106" t="str">
            <v>N</v>
          </cell>
          <cell r="Y1106" t="str">
            <v>N</v>
          </cell>
        </row>
        <row r="1107">
          <cell r="A1107">
            <v>5000456076692</v>
          </cell>
          <cell r="V1107" t="str">
            <v>N</v>
          </cell>
          <cell r="Y1107" t="str">
            <v>N</v>
          </cell>
        </row>
        <row r="1108">
          <cell r="A1108">
            <v>7501384543983</v>
          </cell>
          <cell r="V1108" t="str">
            <v>N</v>
          </cell>
          <cell r="Y1108" t="str">
            <v>N</v>
          </cell>
        </row>
        <row r="1109">
          <cell r="A1109">
            <v>7502216803138</v>
          </cell>
          <cell r="V1109" t="str">
            <v>N</v>
          </cell>
          <cell r="Y1109" t="str">
            <v>N</v>
          </cell>
        </row>
        <row r="1110">
          <cell r="A1110">
            <v>785120754759</v>
          </cell>
          <cell r="V1110" t="str">
            <v>N</v>
          </cell>
          <cell r="Y1110" t="str">
            <v>N</v>
          </cell>
        </row>
        <row r="1111">
          <cell r="A1111">
            <v>7502240450902</v>
          </cell>
          <cell r="V1111" t="str">
            <v>N</v>
          </cell>
          <cell r="Y1111" t="str">
            <v>N</v>
          </cell>
        </row>
        <row r="1112">
          <cell r="A1112">
            <v>7791293028781</v>
          </cell>
          <cell r="V1112" t="str">
            <v>S</v>
          </cell>
          <cell r="Y1112" t="str">
            <v>N</v>
          </cell>
        </row>
        <row r="1113">
          <cell r="A1113">
            <v>7791293025780</v>
          </cell>
          <cell r="V1113" t="str">
            <v>S</v>
          </cell>
          <cell r="Y1113" t="str">
            <v>N</v>
          </cell>
        </row>
        <row r="1114">
          <cell r="A1114">
            <v>7506306226739</v>
          </cell>
          <cell r="V1114" t="str">
            <v>S</v>
          </cell>
          <cell r="Y1114" t="str">
            <v>N</v>
          </cell>
        </row>
        <row r="1115">
          <cell r="A1115">
            <v>7506306213906</v>
          </cell>
          <cell r="V1115" t="str">
            <v>S</v>
          </cell>
          <cell r="Y1115" t="str">
            <v>N</v>
          </cell>
        </row>
        <row r="1116">
          <cell r="A1116">
            <v>7791293025803</v>
          </cell>
          <cell r="V1116" t="str">
            <v>S</v>
          </cell>
          <cell r="Y1116" t="str">
            <v>N</v>
          </cell>
        </row>
        <row r="1117">
          <cell r="A1117">
            <v>7791293025865</v>
          </cell>
          <cell r="V1117" t="str">
            <v>S</v>
          </cell>
          <cell r="Y1117" t="str">
            <v>N</v>
          </cell>
        </row>
        <row r="1118">
          <cell r="A1118">
            <v>7506306203044</v>
          </cell>
          <cell r="V1118" t="str">
            <v>S</v>
          </cell>
          <cell r="Y1118" t="str">
            <v>N</v>
          </cell>
        </row>
        <row r="1119">
          <cell r="A1119">
            <v>7506306213081</v>
          </cell>
          <cell r="V1119" t="str">
            <v>S</v>
          </cell>
          <cell r="Y1119" t="str">
            <v>N</v>
          </cell>
        </row>
        <row r="1120">
          <cell r="A1120">
            <v>7791293025797</v>
          </cell>
          <cell r="V1120" t="str">
            <v>S</v>
          </cell>
          <cell r="Y1120" t="str">
            <v>N</v>
          </cell>
        </row>
        <row r="1121">
          <cell r="A1121">
            <v>7506306245686</v>
          </cell>
          <cell r="V1121" t="str">
            <v>S</v>
          </cell>
          <cell r="Y1121" t="str">
            <v>N</v>
          </cell>
        </row>
        <row r="1122">
          <cell r="A1122">
            <v>7506306244795</v>
          </cell>
          <cell r="V1122" t="str">
            <v>S</v>
          </cell>
          <cell r="Y1122" t="str">
            <v>N</v>
          </cell>
        </row>
        <row r="1123">
          <cell r="A1123">
            <v>7506486801016</v>
          </cell>
          <cell r="V1123" t="str">
            <v>S</v>
          </cell>
          <cell r="Y1123" t="str">
            <v>N</v>
          </cell>
        </row>
        <row r="1124">
          <cell r="A1124">
            <v>7501070612436</v>
          </cell>
          <cell r="V1124" t="str">
            <v>N</v>
          </cell>
          <cell r="Y1124" t="str">
            <v>N</v>
          </cell>
        </row>
        <row r="1125">
          <cell r="A1125">
            <v>7506486801436</v>
          </cell>
          <cell r="V1125" t="str">
            <v>S</v>
          </cell>
          <cell r="Y1125" t="str">
            <v>N</v>
          </cell>
        </row>
        <row r="1126">
          <cell r="A1126">
            <v>7506486801528</v>
          </cell>
          <cell r="V1126" t="str">
            <v>S</v>
          </cell>
          <cell r="Y1126" t="str">
            <v>N</v>
          </cell>
        </row>
        <row r="1127">
          <cell r="A1127">
            <v>7501006870121</v>
          </cell>
          <cell r="V1127" t="str">
            <v>S</v>
          </cell>
          <cell r="Y1127" t="str">
            <v>N</v>
          </cell>
        </row>
        <row r="1128">
          <cell r="A1128">
            <v>7502259890331</v>
          </cell>
          <cell r="V1128" t="str">
            <v>S</v>
          </cell>
          <cell r="Y1128" t="str">
            <v>N</v>
          </cell>
        </row>
        <row r="1129">
          <cell r="A1129">
            <v>7501384504908</v>
          </cell>
          <cell r="V1129" t="str">
            <v>N</v>
          </cell>
          <cell r="Y1129" t="str">
            <v>N</v>
          </cell>
        </row>
        <row r="1130">
          <cell r="A1130">
            <v>7502009744594</v>
          </cell>
          <cell r="V1130" t="str">
            <v>N</v>
          </cell>
          <cell r="Y1130" t="str">
            <v>N</v>
          </cell>
        </row>
        <row r="1131">
          <cell r="A1131">
            <v>7509546690766</v>
          </cell>
          <cell r="V1131" t="str">
            <v>S</v>
          </cell>
          <cell r="Y1131" t="str">
            <v>N</v>
          </cell>
        </row>
        <row r="1132">
          <cell r="A1132">
            <v>7506306249776</v>
          </cell>
          <cell r="V1132" t="str">
            <v>S</v>
          </cell>
          <cell r="Y1132" t="str">
            <v>N</v>
          </cell>
        </row>
        <row r="1133">
          <cell r="A1133">
            <v>7501299303047</v>
          </cell>
          <cell r="V1133" t="str">
            <v>N</v>
          </cell>
          <cell r="Y1133" t="str">
            <v>N</v>
          </cell>
        </row>
        <row r="1134">
          <cell r="A1134">
            <v>7501008499429</v>
          </cell>
          <cell r="V1134" t="str">
            <v>N</v>
          </cell>
          <cell r="Y1134" t="str">
            <v>N</v>
          </cell>
        </row>
        <row r="1135">
          <cell r="A1135">
            <v>7506192503358</v>
          </cell>
          <cell r="V1135" t="str">
            <v>S</v>
          </cell>
          <cell r="Y1135" t="str">
            <v>N</v>
          </cell>
        </row>
        <row r="1136">
          <cell r="A1136">
            <v>7501065001337</v>
          </cell>
          <cell r="V1136" t="str">
            <v>N</v>
          </cell>
          <cell r="Y1136" t="str">
            <v>N</v>
          </cell>
        </row>
        <row r="1137">
          <cell r="A1137">
            <v>7500435181402</v>
          </cell>
          <cell r="V1137" t="str">
            <v>N</v>
          </cell>
          <cell r="Y1137" t="str">
            <v>N</v>
          </cell>
        </row>
        <row r="1138">
          <cell r="A1138">
            <v>7502216809697</v>
          </cell>
          <cell r="V1138" t="str">
            <v>N</v>
          </cell>
          <cell r="Y1138" t="str">
            <v>N</v>
          </cell>
        </row>
        <row r="1139">
          <cell r="A1139">
            <v>7501573904762</v>
          </cell>
          <cell r="V1139" t="str">
            <v>N</v>
          </cell>
          <cell r="Y1139" t="str">
            <v>N</v>
          </cell>
        </row>
        <row r="1140">
          <cell r="A1140">
            <v>7506022323316</v>
          </cell>
          <cell r="V1140" t="str">
            <v>S</v>
          </cell>
          <cell r="Y1140" t="str">
            <v>N</v>
          </cell>
        </row>
        <row r="1141">
          <cell r="A1141">
            <v>7501277071685</v>
          </cell>
          <cell r="V1141" t="str">
            <v>N</v>
          </cell>
          <cell r="Y1141" t="str">
            <v>N</v>
          </cell>
        </row>
        <row r="1142">
          <cell r="A1142">
            <v>7502216809680</v>
          </cell>
          <cell r="V1142" t="str">
            <v>N</v>
          </cell>
          <cell r="Y1142" t="str">
            <v>N</v>
          </cell>
        </row>
        <row r="1143">
          <cell r="A1143">
            <v>780083150198</v>
          </cell>
          <cell r="V1143" t="str">
            <v>N</v>
          </cell>
          <cell r="Y1143" t="str">
            <v>N</v>
          </cell>
        </row>
        <row r="1144">
          <cell r="A1144" t="str">
            <v>MARELIFG101</v>
          </cell>
          <cell r="V1144" t="str">
            <v>S</v>
          </cell>
          <cell r="Y1144" t="str">
            <v>N</v>
          </cell>
        </row>
        <row r="1145">
          <cell r="A1145">
            <v>7506486800323</v>
          </cell>
          <cell r="V1145" t="str">
            <v>S</v>
          </cell>
          <cell r="Y1145" t="str">
            <v>N</v>
          </cell>
        </row>
        <row r="1146">
          <cell r="A1146">
            <v>7501122900504</v>
          </cell>
          <cell r="V1146" t="str">
            <v>N</v>
          </cell>
          <cell r="Y1146" t="str">
            <v>N</v>
          </cell>
        </row>
        <row r="1147">
          <cell r="A1147">
            <v>7502214984303</v>
          </cell>
          <cell r="V1147" t="str">
            <v>S</v>
          </cell>
          <cell r="Y1147" t="str">
            <v>N</v>
          </cell>
        </row>
        <row r="1148">
          <cell r="A1148">
            <v>780083140588</v>
          </cell>
          <cell r="V1148" t="str">
            <v>N</v>
          </cell>
          <cell r="Y1148" t="str">
            <v>N</v>
          </cell>
        </row>
        <row r="1149">
          <cell r="A1149">
            <v>7503002773130</v>
          </cell>
          <cell r="V1149" t="str">
            <v>N</v>
          </cell>
          <cell r="Y1149" t="str">
            <v>N</v>
          </cell>
        </row>
        <row r="1150">
          <cell r="A1150">
            <v>7502216806337</v>
          </cell>
          <cell r="V1150" t="str">
            <v>N</v>
          </cell>
          <cell r="Y1150" t="str">
            <v>N</v>
          </cell>
        </row>
        <row r="1151">
          <cell r="A1151">
            <v>7501361111501</v>
          </cell>
          <cell r="V1151" t="str">
            <v>S</v>
          </cell>
          <cell r="Y1151" t="str">
            <v>N</v>
          </cell>
        </row>
        <row r="1152">
          <cell r="A1152">
            <v>650240066306</v>
          </cell>
          <cell r="V1152" t="str">
            <v>S</v>
          </cell>
          <cell r="Y1152" t="str">
            <v>N</v>
          </cell>
        </row>
        <row r="1153">
          <cell r="A1153">
            <v>7502009749148</v>
          </cell>
          <cell r="V1153" t="str">
            <v>N</v>
          </cell>
          <cell r="Y1153" t="str">
            <v>N</v>
          </cell>
        </row>
        <row r="1154">
          <cell r="A1154">
            <v>7502240450971</v>
          </cell>
          <cell r="V1154" t="str">
            <v>N</v>
          </cell>
          <cell r="Y1154" t="str">
            <v>N</v>
          </cell>
        </row>
        <row r="1155">
          <cell r="A1155">
            <v>7502282730017</v>
          </cell>
          <cell r="V1155" t="str">
            <v>S</v>
          </cell>
          <cell r="Y1155" t="str">
            <v>N</v>
          </cell>
        </row>
        <row r="1156">
          <cell r="A1156">
            <v>7502211788331</v>
          </cell>
          <cell r="V1156" t="str">
            <v>N</v>
          </cell>
          <cell r="Y1156" t="str">
            <v>N</v>
          </cell>
        </row>
        <row r="1157">
          <cell r="A1157">
            <v>7506428800251</v>
          </cell>
          <cell r="V1157" t="str">
            <v>S</v>
          </cell>
          <cell r="Y1157" t="str">
            <v>N</v>
          </cell>
        </row>
        <row r="1158">
          <cell r="A1158">
            <v>7506428800244</v>
          </cell>
          <cell r="V1158" t="str">
            <v>S</v>
          </cell>
          <cell r="Y1158" t="str">
            <v>N</v>
          </cell>
        </row>
        <row r="1159">
          <cell r="A1159">
            <v>7506428800299</v>
          </cell>
          <cell r="V1159" t="str">
            <v>S</v>
          </cell>
          <cell r="Y1159" t="str">
            <v>N</v>
          </cell>
        </row>
        <row r="1160">
          <cell r="A1160">
            <v>7502227874158</v>
          </cell>
          <cell r="V1160" t="str">
            <v>N</v>
          </cell>
          <cell r="Y1160" t="str">
            <v>N</v>
          </cell>
        </row>
        <row r="1161">
          <cell r="A1161">
            <v>7502009744563</v>
          </cell>
          <cell r="V1161" t="str">
            <v>N</v>
          </cell>
          <cell r="Y1161" t="str">
            <v>N</v>
          </cell>
        </row>
        <row r="1162">
          <cell r="A1162">
            <v>7509546029825</v>
          </cell>
          <cell r="V1162" t="str">
            <v>S</v>
          </cell>
          <cell r="Y1162" t="str">
            <v>N</v>
          </cell>
        </row>
        <row r="1163">
          <cell r="A1163">
            <v>75036508</v>
          </cell>
          <cell r="V1163" t="str">
            <v>S</v>
          </cell>
          <cell r="Y1163" t="str">
            <v>N</v>
          </cell>
        </row>
        <row r="1164">
          <cell r="A1164">
            <v>7509546688831</v>
          </cell>
          <cell r="V1164" t="str">
            <v>S</v>
          </cell>
          <cell r="Y1164" t="str">
            <v>N</v>
          </cell>
        </row>
        <row r="1165">
          <cell r="A1165">
            <v>7501258215947</v>
          </cell>
          <cell r="V1165" t="str">
            <v>N</v>
          </cell>
          <cell r="Y1165" t="str">
            <v>N</v>
          </cell>
        </row>
        <row r="1166">
          <cell r="A1166">
            <v>7502282730024</v>
          </cell>
          <cell r="V1166" t="str">
            <v>S</v>
          </cell>
          <cell r="Y1166" t="str">
            <v>N</v>
          </cell>
        </row>
        <row r="1167">
          <cell r="A1167">
            <v>7501943418509</v>
          </cell>
          <cell r="V1167" t="str">
            <v>S</v>
          </cell>
          <cell r="Y1167" t="str">
            <v>N</v>
          </cell>
        </row>
        <row r="1168">
          <cell r="A1168">
            <v>7509546651743</v>
          </cell>
          <cell r="V1168" t="str">
            <v>S</v>
          </cell>
          <cell r="Y1168" t="str">
            <v>N</v>
          </cell>
        </row>
        <row r="1169">
          <cell r="A1169">
            <v>7509546064697</v>
          </cell>
          <cell r="V1169" t="str">
            <v>S</v>
          </cell>
          <cell r="Y1169" t="str">
            <v>N</v>
          </cell>
        </row>
        <row r="1170">
          <cell r="A1170">
            <v>7509546073781</v>
          </cell>
          <cell r="V1170" t="str">
            <v>S</v>
          </cell>
          <cell r="Y1170" t="str">
            <v>N</v>
          </cell>
        </row>
        <row r="1171">
          <cell r="A1171">
            <v>7502253601155</v>
          </cell>
          <cell r="V1171" t="str">
            <v>S</v>
          </cell>
          <cell r="Y1171" t="str">
            <v>N</v>
          </cell>
        </row>
        <row r="1172">
          <cell r="A1172">
            <v>7501056360412</v>
          </cell>
          <cell r="V1172" t="str">
            <v>S</v>
          </cell>
          <cell r="Y1172" t="str">
            <v>N</v>
          </cell>
        </row>
        <row r="1173">
          <cell r="A1173">
            <v>7501027514103</v>
          </cell>
          <cell r="V1173" t="str">
            <v>S</v>
          </cell>
          <cell r="Y1173" t="str">
            <v>N</v>
          </cell>
        </row>
        <row r="1174">
          <cell r="A1174">
            <v>7501054549796</v>
          </cell>
          <cell r="V1174" t="str">
            <v>S</v>
          </cell>
          <cell r="Y1174" t="str">
            <v>N</v>
          </cell>
        </row>
        <row r="1175">
          <cell r="A1175">
            <v>7502214985805</v>
          </cell>
          <cell r="V1175" t="str">
            <v>S</v>
          </cell>
          <cell r="Y1175" t="str">
            <v>N</v>
          </cell>
        </row>
        <row r="1176">
          <cell r="A1176">
            <v>7501022183618</v>
          </cell>
          <cell r="V1176" t="str">
            <v>S</v>
          </cell>
          <cell r="Y1176" t="str">
            <v>N</v>
          </cell>
        </row>
        <row r="1177">
          <cell r="A1177">
            <v>7501022130063</v>
          </cell>
          <cell r="V1177" t="str">
            <v>S</v>
          </cell>
          <cell r="Y1177" t="str">
            <v>N</v>
          </cell>
        </row>
        <row r="1178">
          <cell r="A1178">
            <v>7501027512574</v>
          </cell>
          <cell r="V1178" t="str">
            <v>S</v>
          </cell>
          <cell r="Y1178" t="str">
            <v>N</v>
          </cell>
        </row>
        <row r="1179">
          <cell r="A1179">
            <v>7501384541163</v>
          </cell>
          <cell r="V1179" t="str">
            <v>N</v>
          </cell>
          <cell r="Y1179" t="str">
            <v>N</v>
          </cell>
        </row>
        <row r="1180">
          <cell r="A1180">
            <v>7501065053138</v>
          </cell>
          <cell r="V1180" t="str">
            <v>N</v>
          </cell>
          <cell r="Y1180" t="str">
            <v>N</v>
          </cell>
        </row>
        <row r="1181">
          <cell r="A1181">
            <v>7501361121500</v>
          </cell>
          <cell r="V1181" t="str">
            <v>S</v>
          </cell>
          <cell r="Y1181" t="str">
            <v>N</v>
          </cell>
        </row>
        <row r="1182">
          <cell r="A1182">
            <v>7509546071558</v>
          </cell>
          <cell r="V1182" t="str">
            <v>S</v>
          </cell>
          <cell r="Y1182" t="str">
            <v>N</v>
          </cell>
        </row>
        <row r="1183">
          <cell r="A1183">
            <v>7501342803418</v>
          </cell>
          <cell r="V1183" t="str">
            <v>N</v>
          </cell>
          <cell r="Y1183" t="str">
            <v>N</v>
          </cell>
        </row>
        <row r="1184">
          <cell r="A1184">
            <v>7501342803067</v>
          </cell>
          <cell r="V1184" t="str">
            <v>N</v>
          </cell>
          <cell r="Y1184" t="str">
            <v>N</v>
          </cell>
        </row>
        <row r="1185">
          <cell r="A1185">
            <v>7503006698316</v>
          </cell>
          <cell r="V1185" t="str">
            <v>S</v>
          </cell>
          <cell r="Y1185" t="str">
            <v>N</v>
          </cell>
        </row>
        <row r="1186">
          <cell r="A1186">
            <v>7501943441767</v>
          </cell>
          <cell r="V1186" t="str">
            <v>S</v>
          </cell>
          <cell r="Y1186" t="str">
            <v>N</v>
          </cell>
        </row>
        <row r="1187">
          <cell r="A1187">
            <v>7501943441804</v>
          </cell>
          <cell r="V1187" t="str">
            <v>S</v>
          </cell>
          <cell r="Y1187" t="str">
            <v>N</v>
          </cell>
        </row>
        <row r="1188">
          <cell r="A1188">
            <v>7506425604340</v>
          </cell>
          <cell r="V1188" t="str">
            <v>S</v>
          </cell>
          <cell r="Y1188" t="str">
            <v>N</v>
          </cell>
        </row>
        <row r="1189">
          <cell r="A1189">
            <v>7506425604241</v>
          </cell>
          <cell r="V1189" t="str">
            <v>S</v>
          </cell>
          <cell r="Y1189" t="str">
            <v>N</v>
          </cell>
        </row>
        <row r="1190">
          <cell r="A1190">
            <v>7506425604326</v>
          </cell>
          <cell r="V1190" t="str">
            <v>S</v>
          </cell>
          <cell r="Y1190" t="str">
            <v>N</v>
          </cell>
        </row>
        <row r="1191">
          <cell r="A1191">
            <v>7502213042882</v>
          </cell>
          <cell r="V1191" t="str">
            <v>N</v>
          </cell>
          <cell r="Y1191" t="str">
            <v>N</v>
          </cell>
        </row>
        <row r="1192">
          <cell r="A1192">
            <v>7502213042325</v>
          </cell>
          <cell r="V1192" t="str">
            <v>N</v>
          </cell>
          <cell r="Y1192" t="str">
            <v>N</v>
          </cell>
        </row>
        <row r="1193">
          <cell r="A1193">
            <v>7502216807914</v>
          </cell>
          <cell r="V1193" t="str">
            <v>N</v>
          </cell>
          <cell r="Y1193" t="str">
            <v>N</v>
          </cell>
        </row>
        <row r="1194">
          <cell r="A1194">
            <v>7502216809765</v>
          </cell>
          <cell r="V1194" t="str">
            <v>N</v>
          </cell>
          <cell r="Y1194" t="str">
            <v>N</v>
          </cell>
        </row>
        <row r="1195">
          <cell r="A1195">
            <v>7502208894779</v>
          </cell>
          <cell r="V1195" t="str">
            <v>N</v>
          </cell>
          <cell r="Y1195" t="str">
            <v>N</v>
          </cell>
        </row>
        <row r="1196">
          <cell r="A1196">
            <v>7501168870403</v>
          </cell>
          <cell r="V1196" t="str">
            <v>N</v>
          </cell>
          <cell r="Y1196" t="str">
            <v>N</v>
          </cell>
        </row>
        <row r="1197">
          <cell r="A1197">
            <v>7502240451015</v>
          </cell>
          <cell r="V1197" t="str">
            <v>N</v>
          </cell>
          <cell r="Y1197" t="str">
            <v>N</v>
          </cell>
        </row>
        <row r="1198">
          <cell r="A1198">
            <v>7501082721676</v>
          </cell>
          <cell r="V1198" t="str">
            <v>S</v>
          </cell>
          <cell r="Y1198" t="str">
            <v>N</v>
          </cell>
        </row>
        <row r="1199">
          <cell r="A1199">
            <v>7503003406402</v>
          </cell>
          <cell r="V1199" t="str">
            <v>S</v>
          </cell>
          <cell r="Y1199" t="str">
            <v>N</v>
          </cell>
        </row>
        <row r="1200">
          <cell r="A1200">
            <v>7506306249356</v>
          </cell>
          <cell r="V1200" t="str">
            <v>S</v>
          </cell>
          <cell r="Y1200" t="str">
            <v>N</v>
          </cell>
        </row>
        <row r="1201">
          <cell r="A1201">
            <v>7503003406785</v>
          </cell>
          <cell r="V1201" t="str">
            <v>S</v>
          </cell>
          <cell r="Y1201" t="str">
            <v>N</v>
          </cell>
        </row>
        <row r="1202">
          <cell r="A1202">
            <v>7503003406334</v>
          </cell>
          <cell r="V1202" t="str">
            <v>S</v>
          </cell>
          <cell r="Y1202" t="str">
            <v>N</v>
          </cell>
        </row>
        <row r="1203">
          <cell r="A1203">
            <v>7503003406327</v>
          </cell>
          <cell r="V1203" t="str">
            <v>S</v>
          </cell>
          <cell r="Y1203" t="str">
            <v>N</v>
          </cell>
        </row>
        <row r="1204">
          <cell r="A1204">
            <v>759684315107</v>
          </cell>
          <cell r="V1204" t="str">
            <v>S</v>
          </cell>
          <cell r="Y1204" t="str">
            <v>N</v>
          </cell>
        </row>
        <row r="1205">
          <cell r="A1205">
            <v>759684315152</v>
          </cell>
          <cell r="V1205" t="str">
            <v>S</v>
          </cell>
          <cell r="Y1205" t="str">
            <v>N</v>
          </cell>
        </row>
        <row r="1206">
          <cell r="A1206">
            <v>759684315053</v>
          </cell>
          <cell r="V1206" t="str">
            <v>S</v>
          </cell>
          <cell r="Y1206" t="str">
            <v>N</v>
          </cell>
        </row>
        <row r="1207">
          <cell r="A1207">
            <v>759684315206</v>
          </cell>
          <cell r="V1207" t="str">
            <v>S</v>
          </cell>
          <cell r="Y1207" t="str">
            <v>N</v>
          </cell>
        </row>
        <row r="1208">
          <cell r="A1208">
            <v>7501027513601</v>
          </cell>
          <cell r="V1208" t="str">
            <v>S</v>
          </cell>
          <cell r="Y1208" t="str">
            <v>N</v>
          </cell>
        </row>
        <row r="1209">
          <cell r="A1209">
            <v>7503003406310</v>
          </cell>
          <cell r="V1209" t="str">
            <v>S</v>
          </cell>
          <cell r="Y1209" t="str">
            <v>N</v>
          </cell>
        </row>
        <row r="1210">
          <cell r="A1210">
            <v>7501008499702</v>
          </cell>
          <cell r="V1210" t="str">
            <v>N</v>
          </cell>
          <cell r="Y1210" t="str">
            <v>N</v>
          </cell>
        </row>
        <row r="1211">
          <cell r="A1211" t="str">
            <v>7501537100452--</v>
          </cell>
          <cell r="V1211" t="str">
            <v>N</v>
          </cell>
          <cell r="Y1211" t="str">
            <v>N</v>
          </cell>
        </row>
        <row r="1212">
          <cell r="A1212">
            <v>7502216798373</v>
          </cell>
          <cell r="V1212" t="str">
            <v>N</v>
          </cell>
          <cell r="Y1212" t="str">
            <v>N</v>
          </cell>
        </row>
        <row r="1213">
          <cell r="A1213">
            <v>7501130712625</v>
          </cell>
          <cell r="V1213" t="str">
            <v>N</v>
          </cell>
          <cell r="Y1213" t="str">
            <v>N</v>
          </cell>
        </row>
        <row r="1214">
          <cell r="A1214">
            <v>793888543904</v>
          </cell>
          <cell r="V1214" t="str">
            <v>S</v>
          </cell>
          <cell r="Y1214" t="str">
            <v>N</v>
          </cell>
        </row>
        <row r="1215">
          <cell r="A1215">
            <v>759684351099</v>
          </cell>
          <cell r="V1215" t="str">
            <v>S</v>
          </cell>
          <cell r="Y1215" t="str">
            <v>N</v>
          </cell>
        </row>
        <row r="1216">
          <cell r="A1216">
            <v>7702018880409</v>
          </cell>
          <cell r="V1216" t="str">
            <v>S</v>
          </cell>
          <cell r="Y1216" t="str">
            <v>N</v>
          </cell>
        </row>
        <row r="1217">
          <cell r="A1217">
            <v>70330709485</v>
          </cell>
          <cell r="V1217" t="str">
            <v>S</v>
          </cell>
          <cell r="Y1217" t="str">
            <v>N</v>
          </cell>
        </row>
        <row r="1218">
          <cell r="A1218">
            <v>7501258210379</v>
          </cell>
          <cell r="V1218" t="str">
            <v>N</v>
          </cell>
          <cell r="Y1218" t="str">
            <v>N</v>
          </cell>
        </row>
        <row r="1219">
          <cell r="A1219">
            <v>7502211789918</v>
          </cell>
          <cell r="V1219" t="str">
            <v>N</v>
          </cell>
          <cell r="Y1219" t="str">
            <v>N</v>
          </cell>
        </row>
        <row r="1220">
          <cell r="A1220">
            <v>7501868900462</v>
          </cell>
          <cell r="V1220" t="str">
            <v>S</v>
          </cell>
          <cell r="Y1220" t="str">
            <v>N</v>
          </cell>
        </row>
        <row r="1221">
          <cell r="A1221">
            <v>7501868941007</v>
          </cell>
          <cell r="V1221" t="str">
            <v>S</v>
          </cell>
          <cell r="Y1221" t="str">
            <v>N</v>
          </cell>
        </row>
        <row r="1222">
          <cell r="A1222">
            <v>7501868943001</v>
          </cell>
          <cell r="V1222" t="str">
            <v>S</v>
          </cell>
          <cell r="Y1222" t="str">
            <v>N</v>
          </cell>
        </row>
        <row r="1223">
          <cell r="A1223">
            <v>8400001603</v>
          </cell>
          <cell r="V1223" t="str">
            <v>N</v>
          </cell>
          <cell r="Y1223" t="str">
            <v>N</v>
          </cell>
        </row>
        <row r="1224">
          <cell r="A1224">
            <v>7713042257747</v>
          </cell>
          <cell r="V1224" t="str">
            <v>S</v>
          </cell>
          <cell r="Y1224" t="str">
            <v>N</v>
          </cell>
        </row>
        <row r="1225">
          <cell r="A1225">
            <v>7501027573773</v>
          </cell>
          <cell r="V1225" t="str">
            <v>S</v>
          </cell>
          <cell r="Y1225" t="str">
            <v>N</v>
          </cell>
        </row>
        <row r="1226">
          <cell r="A1226">
            <v>7509546060477</v>
          </cell>
          <cell r="V1226" t="str">
            <v>S</v>
          </cell>
          <cell r="Y1226" t="str">
            <v>N</v>
          </cell>
        </row>
        <row r="1227">
          <cell r="A1227">
            <v>759684313172</v>
          </cell>
          <cell r="V1227" t="str">
            <v>S</v>
          </cell>
          <cell r="Y1227" t="str">
            <v>N</v>
          </cell>
        </row>
        <row r="1228">
          <cell r="A1228">
            <v>759684313073</v>
          </cell>
          <cell r="V1228" t="str">
            <v>S</v>
          </cell>
          <cell r="Y1228" t="str">
            <v>N</v>
          </cell>
        </row>
        <row r="1229">
          <cell r="A1229">
            <v>7509546060460</v>
          </cell>
          <cell r="V1229" t="str">
            <v>S</v>
          </cell>
          <cell r="Y1229" t="str">
            <v>N</v>
          </cell>
        </row>
        <row r="1230">
          <cell r="A1230">
            <v>7501027272706</v>
          </cell>
          <cell r="V1230" t="str">
            <v>S</v>
          </cell>
          <cell r="Y1230" t="str">
            <v>N</v>
          </cell>
        </row>
        <row r="1231">
          <cell r="A1231">
            <v>7502224244251</v>
          </cell>
          <cell r="V1231" t="str">
            <v>S</v>
          </cell>
          <cell r="Y1231" t="str">
            <v>N</v>
          </cell>
        </row>
        <row r="1232">
          <cell r="A1232">
            <v>7509546075013</v>
          </cell>
          <cell r="V1232" t="str">
            <v>S</v>
          </cell>
          <cell r="Y1232" t="str">
            <v>N</v>
          </cell>
        </row>
        <row r="1233">
          <cell r="A1233">
            <v>7502216790834</v>
          </cell>
          <cell r="V1233" t="str">
            <v>N</v>
          </cell>
          <cell r="Y1233" t="str">
            <v>N</v>
          </cell>
        </row>
        <row r="1234">
          <cell r="A1234">
            <v>7501125110702</v>
          </cell>
          <cell r="V1234" t="str">
            <v>N</v>
          </cell>
          <cell r="Y1234" t="str">
            <v>N</v>
          </cell>
        </row>
        <row r="1235">
          <cell r="A1235">
            <v>7501573904403</v>
          </cell>
          <cell r="V1235" t="str">
            <v>N</v>
          </cell>
          <cell r="Y1235" t="str">
            <v>N</v>
          </cell>
        </row>
        <row r="1236">
          <cell r="A1236">
            <v>7501573906407</v>
          </cell>
          <cell r="V1236" t="str">
            <v>N</v>
          </cell>
          <cell r="Y1236" t="str">
            <v>N</v>
          </cell>
        </row>
        <row r="1237">
          <cell r="A1237">
            <v>7501573905431</v>
          </cell>
          <cell r="V1237" t="str">
            <v>N</v>
          </cell>
          <cell r="Y1237" t="str">
            <v>N</v>
          </cell>
        </row>
        <row r="1238">
          <cell r="A1238">
            <v>7501056330255</v>
          </cell>
          <cell r="V1238" t="str">
            <v>S</v>
          </cell>
          <cell r="Y1238" t="str">
            <v>N</v>
          </cell>
        </row>
        <row r="1239">
          <cell r="A1239">
            <v>780083140250</v>
          </cell>
          <cell r="V1239" t="str">
            <v>N</v>
          </cell>
          <cell r="Y1239" t="str">
            <v>N</v>
          </cell>
        </row>
        <row r="1240">
          <cell r="A1240">
            <v>7501573905417</v>
          </cell>
          <cell r="V1240" t="str">
            <v>N</v>
          </cell>
          <cell r="Y1240" t="str">
            <v>N</v>
          </cell>
        </row>
        <row r="1241">
          <cell r="A1241">
            <v>7501088505607</v>
          </cell>
          <cell r="V1241" t="str">
            <v>N</v>
          </cell>
          <cell r="Y1241" t="str">
            <v>N</v>
          </cell>
        </row>
        <row r="1242">
          <cell r="A1242">
            <v>7501008499689</v>
          </cell>
          <cell r="V1242" t="str">
            <v>N</v>
          </cell>
          <cell r="Y1242" t="str">
            <v>N</v>
          </cell>
        </row>
        <row r="1243">
          <cell r="A1243">
            <v>7502216790810</v>
          </cell>
          <cell r="V1243" t="str">
            <v>N</v>
          </cell>
          <cell r="Y1243" t="str">
            <v>N</v>
          </cell>
        </row>
        <row r="1244">
          <cell r="A1244">
            <v>354312225010</v>
          </cell>
          <cell r="V1244" t="str">
            <v>N</v>
          </cell>
          <cell r="Y1244" t="str">
            <v>N</v>
          </cell>
        </row>
        <row r="1245">
          <cell r="A1245">
            <v>7501165002913</v>
          </cell>
          <cell r="V1245" t="str">
            <v>N</v>
          </cell>
          <cell r="Y1245" t="str">
            <v>N</v>
          </cell>
        </row>
        <row r="1246">
          <cell r="A1246">
            <v>7501125110719</v>
          </cell>
          <cell r="V1246" t="str">
            <v>N</v>
          </cell>
          <cell r="Y1246" t="str">
            <v>N</v>
          </cell>
        </row>
        <row r="1247">
          <cell r="A1247">
            <v>7501573904779</v>
          </cell>
          <cell r="V1247" t="str">
            <v>N</v>
          </cell>
          <cell r="Y1247" t="str">
            <v>N</v>
          </cell>
        </row>
        <row r="1248">
          <cell r="A1248">
            <v>6939663900072</v>
          </cell>
          <cell r="V1248" t="str">
            <v>S</v>
          </cell>
          <cell r="Y1248" t="str">
            <v>N</v>
          </cell>
        </row>
        <row r="1249">
          <cell r="A1249">
            <v>7502009749247</v>
          </cell>
          <cell r="V1249" t="str">
            <v>N</v>
          </cell>
          <cell r="Y1249" t="str">
            <v>N</v>
          </cell>
        </row>
        <row r="1250">
          <cell r="A1250">
            <v>7501065008459</v>
          </cell>
          <cell r="V1250" t="str">
            <v>N</v>
          </cell>
          <cell r="Y1250" t="str">
            <v>N</v>
          </cell>
        </row>
        <row r="1251">
          <cell r="A1251">
            <v>7501547503168</v>
          </cell>
          <cell r="V1251" t="str">
            <v>N</v>
          </cell>
          <cell r="Y1251" t="str">
            <v>N</v>
          </cell>
        </row>
        <row r="1252">
          <cell r="A1252">
            <v>7502208894946</v>
          </cell>
          <cell r="V1252" t="str">
            <v>N</v>
          </cell>
          <cell r="Y1252" t="str">
            <v>N</v>
          </cell>
        </row>
        <row r="1253">
          <cell r="A1253" t="str">
            <v>3393370037385CC</v>
          </cell>
          <cell r="V1253" t="str">
            <v>N</v>
          </cell>
          <cell r="Y1253" t="str">
            <v>N</v>
          </cell>
        </row>
        <row r="1254">
          <cell r="A1254">
            <v>7502009749179</v>
          </cell>
          <cell r="V1254" t="str">
            <v>N</v>
          </cell>
          <cell r="Y1254" t="str">
            <v>N</v>
          </cell>
        </row>
        <row r="1255">
          <cell r="A1255">
            <v>7502216808171</v>
          </cell>
          <cell r="V1255" t="str">
            <v>N</v>
          </cell>
          <cell r="Y1255" t="str">
            <v>N</v>
          </cell>
        </row>
        <row r="1256">
          <cell r="A1256">
            <v>7506425651078</v>
          </cell>
          <cell r="V1256" t="str">
            <v>S</v>
          </cell>
          <cell r="Y1256" t="str">
            <v>N</v>
          </cell>
        </row>
        <row r="1257">
          <cell r="A1257">
            <v>7501943484238</v>
          </cell>
          <cell r="V1257" t="str">
            <v>S</v>
          </cell>
          <cell r="Y1257" t="str">
            <v>N</v>
          </cell>
        </row>
        <row r="1258">
          <cell r="A1258">
            <v>7501349027343</v>
          </cell>
          <cell r="V1258" t="str">
            <v>N</v>
          </cell>
          <cell r="Y1258" t="str">
            <v>N</v>
          </cell>
        </row>
        <row r="1259">
          <cell r="A1259">
            <v>7501056325442</v>
          </cell>
          <cell r="V1259" t="str">
            <v>S</v>
          </cell>
          <cell r="Y1259" t="str">
            <v>N</v>
          </cell>
        </row>
        <row r="1260">
          <cell r="A1260">
            <v>7502216804401</v>
          </cell>
          <cell r="V1260" t="str">
            <v>N</v>
          </cell>
          <cell r="Y1260" t="str">
            <v>N</v>
          </cell>
        </row>
        <row r="1261">
          <cell r="A1261">
            <v>7502001167254</v>
          </cell>
          <cell r="V1261" t="str">
            <v>N</v>
          </cell>
          <cell r="Y1261" t="str">
            <v>N</v>
          </cell>
        </row>
        <row r="1262">
          <cell r="A1262">
            <v>7501065064431</v>
          </cell>
          <cell r="V1262" t="str">
            <v>N</v>
          </cell>
          <cell r="Y1262" t="str">
            <v>N</v>
          </cell>
        </row>
        <row r="1263">
          <cell r="A1263">
            <v>7794640171420</v>
          </cell>
          <cell r="V1263" t="str">
            <v>S</v>
          </cell>
          <cell r="Y1263" t="str">
            <v>N</v>
          </cell>
        </row>
        <row r="1264">
          <cell r="A1264">
            <v>799192067402</v>
          </cell>
          <cell r="V1264" t="str">
            <v>S</v>
          </cell>
          <cell r="Y1264" t="str">
            <v>N</v>
          </cell>
        </row>
        <row r="1265">
          <cell r="A1265">
            <v>7501072300133</v>
          </cell>
          <cell r="V1265" t="str">
            <v>N</v>
          </cell>
          <cell r="Y1265" t="str">
            <v>N</v>
          </cell>
        </row>
        <row r="1266">
          <cell r="A1266">
            <v>7506442700650</v>
          </cell>
          <cell r="V1266" t="str">
            <v>N</v>
          </cell>
          <cell r="Y1266" t="str">
            <v>N</v>
          </cell>
        </row>
        <row r="1267">
          <cell r="A1267">
            <v>7502227425039</v>
          </cell>
          <cell r="V1267" t="str">
            <v>N</v>
          </cell>
          <cell r="Y1267" t="str">
            <v>N</v>
          </cell>
        </row>
        <row r="1268">
          <cell r="A1268">
            <v>7503002047637</v>
          </cell>
          <cell r="V1268" t="str">
            <v>N</v>
          </cell>
          <cell r="Y1268" t="str">
            <v>N</v>
          </cell>
        </row>
        <row r="1269">
          <cell r="A1269">
            <v>7502216796812</v>
          </cell>
          <cell r="V1269" t="str">
            <v>N</v>
          </cell>
          <cell r="Y1269" t="str">
            <v>N</v>
          </cell>
        </row>
        <row r="1270">
          <cell r="A1270">
            <v>7502247374164</v>
          </cell>
          <cell r="V1270" t="str">
            <v>N</v>
          </cell>
          <cell r="Y1270" t="str">
            <v>N</v>
          </cell>
        </row>
        <row r="1271">
          <cell r="A1271">
            <v>7502216790544</v>
          </cell>
          <cell r="V1271" t="str">
            <v>N</v>
          </cell>
          <cell r="Y1271" t="str">
            <v>N</v>
          </cell>
        </row>
        <row r="1272">
          <cell r="A1272">
            <v>7501537193010</v>
          </cell>
          <cell r="V1272" t="str">
            <v>N</v>
          </cell>
          <cell r="Y1272" t="str">
            <v>N</v>
          </cell>
        </row>
        <row r="1273">
          <cell r="A1273">
            <v>7501019050664</v>
          </cell>
          <cell r="V1273" t="str">
            <v>N</v>
          </cell>
          <cell r="Y1273" t="str">
            <v>N</v>
          </cell>
        </row>
        <row r="1274">
          <cell r="A1274">
            <v>7502001164413</v>
          </cell>
          <cell r="V1274" t="str">
            <v>N</v>
          </cell>
          <cell r="Y1274" t="str">
            <v>N</v>
          </cell>
        </row>
        <row r="1275">
          <cell r="A1275">
            <v>7502227425435</v>
          </cell>
          <cell r="V1275" t="str">
            <v>N</v>
          </cell>
          <cell r="Y1275" t="str">
            <v>N</v>
          </cell>
        </row>
        <row r="1276">
          <cell r="A1276">
            <v>7502009746932</v>
          </cell>
          <cell r="V1276" t="str">
            <v>N</v>
          </cell>
          <cell r="Y1276" t="str">
            <v>N</v>
          </cell>
        </row>
        <row r="1277">
          <cell r="A1277">
            <v>780083140021</v>
          </cell>
          <cell r="V1277" t="str">
            <v>N</v>
          </cell>
          <cell r="Y1277" t="str">
            <v>N</v>
          </cell>
        </row>
        <row r="1278">
          <cell r="A1278">
            <v>7506476200287</v>
          </cell>
          <cell r="V1278" t="str">
            <v>S</v>
          </cell>
          <cell r="Y1278" t="str">
            <v>N</v>
          </cell>
        </row>
        <row r="1279">
          <cell r="A1279">
            <v>7502009745614</v>
          </cell>
          <cell r="V1279" t="str">
            <v>N</v>
          </cell>
          <cell r="Y1279" t="str">
            <v>N</v>
          </cell>
        </row>
        <row r="1280">
          <cell r="A1280">
            <v>7506442700889</v>
          </cell>
          <cell r="V1280" t="str">
            <v>N</v>
          </cell>
          <cell r="Y1280" t="str">
            <v>N</v>
          </cell>
        </row>
        <row r="1281">
          <cell r="A1281">
            <v>7502001164086</v>
          </cell>
          <cell r="V1281" t="str">
            <v>N</v>
          </cell>
          <cell r="Y1281" t="str">
            <v>N</v>
          </cell>
        </row>
        <row r="1282">
          <cell r="A1282">
            <v>7502001161511</v>
          </cell>
          <cell r="V1282" t="str">
            <v>N</v>
          </cell>
          <cell r="Y1282" t="str">
            <v>N</v>
          </cell>
        </row>
        <row r="1283">
          <cell r="A1283">
            <v>8901314307316</v>
          </cell>
          <cell r="V1283" t="str">
            <v>S</v>
          </cell>
          <cell r="Y1283" t="str">
            <v>N</v>
          </cell>
        </row>
        <row r="1284">
          <cell r="A1284">
            <v>7501573902928</v>
          </cell>
          <cell r="V1284" t="str">
            <v>N</v>
          </cell>
          <cell r="Y1284" t="str">
            <v>N</v>
          </cell>
        </row>
        <row r="1285">
          <cell r="A1285">
            <v>785118752637</v>
          </cell>
          <cell r="V1285" t="str">
            <v>N</v>
          </cell>
          <cell r="Y1285" t="str">
            <v>N</v>
          </cell>
        </row>
        <row r="1286">
          <cell r="A1286">
            <v>7501075722543</v>
          </cell>
          <cell r="V1286" t="str">
            <v>N</v>
          </cell>
          <cell r="Y1286" t="str">
            <v>N</v>
          </cell>
        </row>
        <row r="1287">
          <cell r="A1287">
            <v>7501054504870</v>
          </cell>
          <cell r="V1287" t="str">
            <v>S</v>
          </cell>
          <cell r="Y1287" t="str">
            <v>N</v>
          </cell>
        </row>
        <row r="1288">
          <cell r="A1288">
            <v>7501054502777</v>
          </cell>
          <cell r="V1288" t="str">
            <v>S</v>
          </cell>
          <cell r="Y1288" t="str">
            <v>N</v>
          </cell>
        </row>
        <row r="1289">
          <cell r="A1289">
            <v>7503046131224</v>
          </cell>
          <cell r="V1289" t="str">
            <v>N</v>
          </cell>
          <cell r="Y1289" t="str">
            <v>N</v>
          </cell>
        </row>
        <row r="1290">
          <cell r="A1290">
            <v>7502001167124</v>
          </cell>
          <cell r="V1290" t="str">
            <v>N</v>
          </cell>
          <cell r="Y1290" t="str">
            <v>N</v>
          </cell>
        </row>
        <row r="1291">
          <cell r="A1291">
            <v>656599040561</v>
          </cell>
          <cell r="V1291" t="str">
            <v>N</v>
          </cell>
          <cell r="Y1291" t="str">
            <v>N</v>
          </cell>
        </row>
        <row r="1292">
          <cell r="A1292">
            <v>7502009746215</v>
          </cell>
          <cell r="V1292" t="str">
            <v>N</v>
          </cell>
          <cell r="Y1292" t="str">
            <v>N</v>
          </cell>
        </row>
        <row r="1293">
          <cell r="A1293">
            <v>7501349020276</v>
          </cell>
          <cell r="V1293" t="str">
            <v>N</v>
          </cell>
          <cell r="Y1293" t="str">
            <v>N</v>
          </cell>
        </row>
        <row r="1294">
          <cell r="A1294">
            <v>7501478316189</v>
          </cell>
          <cell r="V1294" t="str">
            <v>S</v>
          </cell>
          <cell r="Y1294" t="str">
            <v>N</v>
          </cell>
        </row>
        <row r="1295">
          <cell r="A1295">
            <v>7506306223905</v>
          </cell>
          <cell r="V1295" t="str">
            <v>S</v>
          </cell>
          <cell r="Y1295" t="str">
            <v>N</v>
          </cell>
        </row>
        <row r="1296">
          <cell r="A1296" t="str">
            <v>7502001165588CC</v>
          </cell>
          <cell r="V1296" t="str">
            <v>N</v>
          </cell>
          <cell r="Y1296" t="str">
            <v>N</v>
          </cell>
        </row>
        <row r="1297">
          <cell r="A1297" t="str">
            <v>7502001165724CC</v>
          </cell>
          <cell r="V1297" t="str">
            <v>N</v>
          </cell>
          <cell r="Y1297" t="str">
            <v>N</v>
          </cell>
        </row>
        <row r="1298">
          <cell r="A1298" t="str">
            <v>7503004908646CC</v>
          </cell>
          <cell r="V1298" t="str">
            <v>N</v>
          </cell>
          <cell r="Y1298" t="str">
            <v>N</v>
          </cell>
        </row>
        <row r="1299">
          <cell r="A1299" t="str">
            <v>7502004402703CC</v>
          </cell>
          <cell r="V1299" t="str">
            <v>N</v>
          </cell>
          <cell r="Y1299" t="str">
            <v>N</v>
          </cell>
        </row>
        <row r="1300">
          <cell r="A1300" t="str">
            <v>7502009740497CC</v>
          </cell>
          <cell r="V1300" t="str">
            <v>N</v>
          </cell>
          <cell r="Y1300" t="str">
            <v>N</v>
          </cell>
        </row>
        <row r="1301">
          <cell r="A1301">
            <v>785118754334</v>
          </cell>
          <cell r="V1301" t="str">
            <v>N</v>
          </cell>
          <cell r="Y1301" t="str">
            <v>N</v>
          </cell>
        </row>
        <row r="1302">
          <cell r="A1302">
            <v>7501299385098</v>
          </cell>
          <cell r="V1302" t="str">
            <v>N</v>
          </cell>
          <cell r="Y1302" t="str">
            <v>N</v>
          </cell>
        </row>
        <row r="1303">
          <cell r="A1303">
            <v>7501019032424</v>
          </cell>
          <cell r="V1303" t="str">
            <v>N</v>
          </cell>
          <cell r="Y1303" t="str">
            <v>N</v>
          </cell>
        </row>
        <row r="1304">
          <cell r="A1304">
            <v>7502216793446</v>
          </cell>
          <cell r="V1304" t="str">
            <v>N</v>
          </cell>
          <cell r="Y1304" t="str">
            <v>N</v>
          </cell>
        </row>
        <row r="1305">
          <cell r="A1305">
            <v>7501125174841</v>
          </cell>
          <cell r="V1305" t="str">
            <v>N</v>
          </cell>
          <cell r="Y1305" t="str">
            <v>N</v>
          </cell>
        </row>
        <row r="1306">
          <cell r="A1306">
            <v>7501384544577</v>
          </cell>
          <cell r="V1306" t="str">
            <v>N</v>
          </cell>
          <cell r="Y1306" t="str">
            <v>N</v>
          </cell>
        </row>
        <row r="1307">
          <cell r="A1307">
            <v>7501836010087</v>
          </cell>
          <cell r="V1307" t="str">
            <v>N</v>
          </cell>
          <cell r="Y1307" t="str">
            <v>N</v>
          </cell>
        </row>
        <row r="1308">
          <cell r="A1308">
            <v>7500462933746</v>
          </cell>
          <cell r="V1308" t="str">
            <v>S</v>
          </cell>
          <cell r="Y1308" t="str">
            <v>N</v>
          </cell>
        </row>
        <row r="1309">
          <cell r="A1309">
            <v>7501349019706</v>
          </cell>
          <cell r="V1309" t="str">
            <v>N</v>
          </cell>
          <cell r="Y1309" t="str">
            <v>N</v>
          </cell>
        </row>
        <row r="1310">
          <cell r="A1310">
            <v>7501349029194</v>
          </cell>
          <cell r="V1310" t="str">
            <v>N</v>
          </cell>
          <cell r="Y1310" t="str">
            <v>N</v>
          </cell>
        </row>
        <row r="1311">
          <cell r="A1311">
            <v>7501349029200</v>
          </cell>
          <cell r="V1311" t="str">
            <v>N</v>
          </cell>
          <cell r="Y1311" t="str">
            <v>N</v>
          </cell>
        </row>
        <row r="1312">
          <cell r="A1312">
            <v>7501349011984</v>
          </cell>
          <cell r="V1312" t="str">
            <v>N</v>
          </cell>
          <cell r="Y1312" t="str">
            <v>N</v>
          </cell>
        </row>
        <row r="1313">
          <cell r="A1313">
            <v>7501349029064</v>
          </cell>
          <cell r="V1313" t="str">
            <v>N</v>
          </cell>
          <cell r="Y1313" t="str">
            <v>N</v>
          </cell>
        </row>
        <row r="1314">
          <cell r="A1314">
            <v>7501349011779</v>
          </cell>
          <cell r="V1314" t="str">
            <v>N</v>
          </cell>
          <cell r="Y1314" t="str">
            <v>N</v>
          </cell>
        </row>
        <row r="1315">
          <cell r="A1315">
            <v>7501349029071</v>
          </cell>
          <cell r="V1315" t="str">
            <v>N</v>
          </cell>
          <cell r="Y1315" t="str">
            <v>N</v>
          </cell>
        </row>
        <row r="1316">
          <cell r="A1316">
            <v>7501349029101</v>
          </cell>
          <cell r="V1316" t="str">
            <v>N</v>
          </cell>
          <cell r="Y1316" t="str">
            <v>N</v>
          </cell>
        </row>
        <row r="1317">
          <cell r="A1317">
            <v>7501868901100</v>
          </cell>
          <cell r="V1317" t="str">
            <v>S</v>
          </cell>
          <cell r="Y1317" t="str">
            <v>N</v>
          </cell>
        </row>
        <row r="1318">
          <cell r="A1318">
            <v>7502209858183</v>
          </cell>
          <cell r="V1318" t="str">
            <v>N</v>
          </cell>
          <cell r="Y1318" t="str">
            <v>N</v>
          </cell>
        </row>
        <row r="1319">
          <cell r="A1319">
            <v>7501342804040</v>
          </cell>
          <cell r="V1319" t="str">
            <v>N</v>
          </cell>
          <cell r="Y1319" t="str">
            <v>N</v>
          </cell>
        </row>
        <row r="1320">
          <cell r="A1320">
            <v>7501563611809</v>
          </cell>
          <cell r="V1320" t="str">
            <v>S</v>
          </cell>
          <cell r="Y1320" t="str">
            <v>N</v>
          </cell>
        </row>
        <row r="1321">
          <cell r="A1321">
            <v>7502208894892</v>
          </cell>
          <cell r="V1321" t="str">
            <v>N</v>
          </cell>
          <cell r="Y1321" t="str">
            <v>N</v>
          </cell>
        </row>
        <row r="1322">
          <cell r="A1322">
            <v>7501943471900</v>
          </cell>
          <cell r="V1322" t="str">
            <v>S</v>
          </cell>
          <cell r="Y1322" t="str">
            <v>N</v>
          </cell>
        </row>
        <row r="1323">
          <cell r="A1323">
            <v>7502216793378</v>
          </cell>
          <cell r="V1323" t="str">
            <v>N</v>
          </cell>
          <cell r="Y1323" t="str">
            <v>N</v>
          </cell>
        </row>
        <row r="1324">
          <cell r="A1324">
            <v>7501300407276</v>
          </cell>
          <cell r="V1324" t="str">
            <v>N</v>
          </cell>
          <cell r="Y1324" t="str">
            <v>N</v>
          </cell>
        </row>
        <row r="1325">
          <cell r="A1325">
            <v>7501165006430</v>
          </cell>
          <cell r="V1325" t="str">
            <v>N</v>
          </cell>
          <cell r="Y1325" t="str">
            <v>N</v>
          </cell>
        </row>
        <row r="1326">
          <cell r="A1326">
            <v>7891317019747</v>
          </cell>
          <cell r="V1326" t="str">
            <v>N</v>
          </cell>
          <cell r="Y1326" t="str">
            <v>N</v>
          </cell>
        </row>
        <row r="1327">
          <cell r="A1327">
            <v>7501048780235</v>
          </cell>
          <cell r="V1327" t="str">
            <v>S</v>
          </cell>
          <cell r="Y1327" t="str">
            <v>N</v>
          </cell>
        </row>
        <row r="1328">
          <cell r="A1328">
            <v>7501061810032</v>
          </cell>
          <cell r="V1328" t="str">
            <v>S</v>
          </cell>
          <cell r="Y1328" t="str">
            <v>N</v>
          </cell>
        </row>
        <row r="1329">
          <cell r="A1329">
            <v>7501590222221</v>
          </cell>
          <cell r="V1329" t="str">
            <v>N</v>
          </cell>
          <cell r="Y1329" t="str">
            <v>N</v>
          </cell>
        </row>
        <row r="1330">
          <cell r="A1330">
            <v>780083142827</v>
          </cell>
          <cell r="V1330" t="str">
            <v>N</v>
          </cell>
          <cell r="Y1330" t="str">
            <v>N</v>
          </cell>
        </row>
        <row r="1331">
          <cell r="A1331">
            <v>785120755497</v>
          </cell>
          <cell r="V1331" t="str">
            <v>N</v>
          </cell>
          <cell r="Y1331" t="str">
            <v>N</v>
          </cell>
        </row>
        <row r="1332">
          <cell r="A1332">
            <v>759684076152</v>
          </cell>
          <cell r="V1332" t="str">
            <v>S</v>
          </cell>
          <cell r="Y1332" t="str">
            <v>N</v>
          </cell>
        </row>
        <row r="1333">
          <cell r="A1333">
            <v>7891024028827</v>
          </cell>
          <cell r="V1333" t="str">
            <v>S</v>
          </cell>
          <cell r="Y1333" t="str">
            <v>N</v>
          </cell>
        </row>
        <row r="1334">
          <cell r="A1334">
            <v>7502216800984</v>
          </cell>
          <cell r="V1334" t="str">
            <v>N</v>
          </cell>
          <cell r="Y1334" t="str">
            <v>N</v>
          </cell>
        </row>
        <row r="1335">
          <cell r="A1335">
            <v>7503028771684</v>
          </cell>
          <cell r="V1335" t="str">
            <v>N</v>
          </cell>
          <cell r="Y1335" t="str">
            <v>N</v>
          </cell>
        </row>
        <row r="1336">
          <cell r="A1336">
            <v>729513130065</v>
          </cell>
          <cell r="V1336" t="str">
            <v>S</v>
          </cell>
          <cell r="Y1336" t="str">
            <v>N</v>
          </cell>
        </row>
        <row r="1337">
          <cell r="A1337">
            <v>759684352324</v>
          </cell>
          <cell r="V1337" t="str">
            <v>S</v>
          </cell>
          <cell r="Y1337" t="str">
            <v>N</v>
          </cell>
        </row>
        <row r="1338">
          <cell r="A1338">
            <v>7501626700778</v>
          </cell>
          <cell r="V1338" t="str">
            <v>S</v>
          </cell>
          <cell r="Y1338" t="str">
            <v>N</v>
          </cell>
        </row>
        <row r="1339">
          <cell r="A1339">
            <v>7501277028696</v>
          </cell>
          <cell r="V1339" t="str">
            <v>N</v>
          </cell>
          <cell r="Y1339" t="str">
            <v>N</v>
          </cell>
        </row>
        <row r="1340">
          <cell r="A1340">
            <v>7501303458503</v>
          </cell>
          <cell r="V1340" t="str">
            <v>N</v>
          </cell>
          <cell r="Y1340" t="str">
            <v>N</v>
          </cell>
        </row>
        <row r="1341">
          <cell r="A1341">
            <v>7506306206625</v>
          </cell>
          <cell r="V1341" t="str">
            <v>S</v>
          </cell>
          <cell r="Y1341" t="str">
            <v>N</v>
          </cell>
        </row>
        <row r="1342">
          <cell r="A1342">
            <v>7501125173547</v>
          </cell>
          <cell r="V1342" t="str">
            <v>N</v>
          </cell>
          <cell r="Y1342" t="str">
            <v>N</v>
          </cell>
        </row>
        <row r="1343">
          <cell r="A1343">
            <v>7702010631207</v>
          </cell>
          <cell r="V1343" t="str">
            <v>S</v>
          </cell>
          <cell r="Y1343" t="str">
            <v>N</v>
          </cell>
        </row>
        <row r="1344">
          <cell r="A1344">
            <v>7501027516299</v>
          </cell>
          <cell r="V1344" t="str">
            <v>S</v>
          </cell>
          <cell r="Y1344" t="str">
            <v>N</v>
          </cell>
        </row>
        <row r="1345">
          <cell r="A1345">
            <v>714706903359</v>
          </cell>
          <cell r="V1345" t="str">
            <v>N</v>
          </cell>
          <cell r="Y1345" t="str">
            <v>N</v>
          </cell>
        </row>
        <row r="1346">
          <cell r="A1346" t="str">
            <v>7502208894557--</v>
          </cell>
          <cell r="V1346" t="str">
            <v>N</v>
          </cell>
          <cell r="Y1346" t="str">
            <v>N</v>
          </cell>
        </row>
        <row r="1347">
          <cell r="A1347">
            <v>7502276040610</v>
          </cell>
          <cell r="V1347" t="str">
            <v>N</v>
          </cell>
          <cell r="Y1347" t="str">
            <v>N</v>
          </cell>
        </row>
        <row r="1348">
          <cell r="A1348">
            <v>7502216808478</v>
          </cell>
          <cell r="V1348" t="str">
            <v>N</v>
          </cell>
          <cell r="Y1348" t="str">
            <v>N</v>
          </cell>
        </row>
        <row r="1349">
          <cell r="A1349">
            <v>7501052719320</v>
          </cell>
          <cell r="V1349" t="str">
            <v>N</v>
          </cell>
          <cell r="Y1349" t="str">
            <v>N</v>
          </cell>
        </row>
        <row r="1350">
          <cell r="A1350">
            <v>7501052719313</v>
          </cell>
          <cell r="V1350" t="str">
            <v>N</v>
          </cell>
          <cell r="Y1350" t="str">
            <v>N</v>
          </cell>
        </row>
        <row r="1351">
          <cell r="A1351">
            <v>7501052719306</v>
          </cell>
          <cell r="V1351" t="str">
            <v>N</v>
          </cell>
          <cell r="Y1351" t="str">
            <v>N</v>
          </cell>
        </row>
        <row r="1352">
          <cell r="A1352">
            <v>656599040608</v>
          </cell>
          <cell r="V1352" t="str">
            <v>N</v>
          </cell>
          <cell r="Y1352" t="str">
            <v>N</v>
          </cell>
        </row>
        <row r="1353">
          <cell r="A1353">
            <v>620540061622</v>
          </cell>
          <cell r="V1353" t="str">
            <v>N</v>
          </cell>
          <cell r="Y1353" t="str">
            <v>N</v>
          </cell>
        </row>
        <row r="1354">
          <cell r="A1354">
            <v>7502216930599</v>
          </cell>
          <cell r="V1354" t="str">
            <v>N</v>
          </cell>
          <cell r="Y1354" t="str">
            <v>N</v>
          </cell>
        </row>
        <row r="1355">
          <cell r="A1355">
            <v>7501825300342</v>
          </cell>
          <cell r="V1355" t="str">
            <v>N</v>
          </cell>
          <cell r="Y1355" t="str">
            <v>N</v>
          </cell>
        </row>
        <row r="1356">
          <cell r="A1356">
            <v>7502227874165</v>
          </cell>
          <cell r="V1356" t="str">
            <v>N</v>
          </cell>
          <cell r="Y1356" t="str">
            <v>N</v>
          </cell>
        </row>
        <row r="1357">
          <cell r="A1357">
            <v>7502208894960</v>
          </cell>
          <cell r="V1357" t="str">
            <v>N</v>
          </cell>
          <cell r="Y1357" t="str">
            <v>N</v>
          </cell>
        </row>
        <row r="1358">
          <cell r="A1358">
            <v>7501054500063</v>
          </cell>
          <cell r="V1358" t="str">
            <v>S</v>
          </cell>
          <cell r="Y1358" t="str">
            <v>N</v>
          </cell>
        </row>
        <row r="1359">
          <cell r="A1359">
            <v>7509546009179</v>
          </cell>
          <cell r="V1359" t="str">
            <v>S</v>
          </cell>
          <cell r="Y1359" t="str">
            <v>N</v>
          </cell>
        </row>
        <row r="1360">
          <cell r="A1360">
            <v>7501065028785</v>
          </cell>
          <cell r="V1360" t="str">
            <v>N</v>
          </cell>
          <cell r="Y1360" t="str">
            <v>N</v>
          </cell>
        </row>
        <row r="1361">
          <cell r="A1361">
            <v>7502216808638</v>
          </cell>
          <cell r="V1361" t="str">
            <v>N</v>
          </cell>
          <cell r="Y1361" t="str">
            <v>N</v>
          </cell>
        </row>
        <row r="1362">
          <cell r="A1362" t="str">
            <v>7502211789284CC</v>
          </cell>
          <cell r="V1362" t="str">
            <v>N</v>
          </cell>
          <cell r="Y1362" t="str">
            <v>N</v>
          </cell>
        </row>
        <row r="1363">
          <cell r="A1363" t="str">
            <v>7502006923558CC</v>
          </cell>
          <cell r="V1363" t="str">
            <v>N</v>
          </cell>
          <cell r="Y1363" t="str">
            <v>N</v>
          </cell>
        </row>
        <row r="1364">
          <cell r="A1364" t="str">
            <v>7502009741296CC</v>
          </cell>
          <cell r="V1364" t="str">
            <v>N</v>
          </cell>
          <cell r="Y1364" t="str">
            <v>N</v>
          </cell>
        </row>
        <row r="1365">
          <cell r="A1365" t="str">
            <v>7503001008615CC</v>
          </cell>
          <cell r="V1365" t="str">
            <v>N</v>
          </cell>
          <cell r="Y1365" t="str">
            <v>N</v>
          </cell>
        </row>
        <row r="1366">
          <cell r="A1366" t="str">
            <v>7502003381153CC</v>
          </cell>
          <cell r="V1366" t="str">
            <v>N</v>
          </cell>
          <cell r="Y1366" t="str">
            <v>N</v>
          </cell>
        </row>
        <row r="1367">
          <cell r="A1367">
            <v>7501125189142</v>
          </cell>
          <cell r="V1367" t="str">
            <v>N</v>
          </cell>
          <cell r="Y1367" t="str">
            <v>N</v>
          </cell>
        </row>
        <row r="1368">
          <cell r="A1368">
            <v>759684353352</v>
          </cell>
          <cell r="V1368" t="str">
            <v>S</v>
          </cell>
          <cell r="Y1368" t="str">
            <v>N</v>
          </cell>
        </row>
        <row r="1369">
          <cell r="A1369">
            <v>7501563024555</v>
          </cell>
          <cell r="V1369" t="str">
            <v>S</v>
          </cell>
          <cell r="Y1369" t="str">
            <v>N</v>
          </cell>
        </row>
        <row r="1370">
          <cell r="A1370">
            <v>7501563024562</v>
          </cell>
          <cell r="V1370" t="str">
            <v>S</v>
          </cell>
          <cell r="Y1370" t="str">
            <v>N</v>
          </cell>
        </row>
        <row r="1371">
          <cell r="A1371">
            <v>7501563024623</v>
          </cell>
          <cell r="V1371" t="str">
            <v>S</v>
          </cell>
          <cell r="Y1371" t="str">
            <v>N</v>
          </cell>
        </row>
        <row r="1372">
          <cell r="A1372">
            <v>7506306215689</v>
          </cell>
          <cell r="V1372" t="str">
            <v>S</v>
          </cell>
          <cell r="Y1372" t="str">
            <v>N</v>
          </cell>
        </row>
        <row r="1373">
          <cell r="A1373">
            <v>7506306247468</v>
          </cell>
          <cell r="V1373" t="str">
            <v>S</v>
          </cell>
          <cell r="Y1373" t="str">
            <v>N</v>
          </cell>
        </row>
        <row r="1374">
          <cell r="A1374">
            <v>7501035908239</v>
          </cell>
          <cell r="V1374" t="str">
            <v>S</v>
          </cell>
          <cell r="Y1374" t="str">
            <v>N</v>
          </cell>
        </row>
        <row r="1375">
          <cell r="A1375">
            <v>7501033956331</v>
          </cell>
          <cell r="V1375" t="str">
            <v>S</v>
          </cell>
          <cell r="Y1375" t="str">
            <v>N</v>
          </cell>
        </row>
        <row r="1376">
          <cell r="A1376">
            <v>7509546068619</v>
          </cell>
          <cell r="V1376" t="str">
            <v>S</v>
          </cell>
          <cell r="Y1376" t="str">
            <v>N</v>
          </cell>
        </row>
        <row r="1377">
          <cell r="A1377">
            <v>7509546077253</v>
          </cell>
          <cell r="V1377" t="str">
            <v>S</v>
          </cell>
          <cell r="Y1377" t="str">
            <v>N</v>
          </cell>
        </row>
        <row r="1378">
          <cell r="A1378">
            <v>7501035909007</v>
          </cell>
          <cell r="V1378" t="str">
            <v>S</v>
          </cell>
          <cell r="Y1378" t="str">
            <v>N</v>
          </cell>
        </row>
        <row r="1379">
          <cell r="A1379">
            <v>7509546068602</v>
          </cell>
          <cell r="V1379" t="str">
            <v>S</v>
          </cell>
          <cell r="Y1379" t="str">
            <v>N</v>
          </cell>
        </row>
        <row r="1380">
          <cell r="A1380">
            <v>7501008443033</v>
          </cell>
          <cell r="V1380" t="str">
            <v>N</v>
          </cell>
          <cell r="Y1380" t="str">
            <v>N</v>
          </cell>
        </row>
        <row r="1381">
          <cell r="A1381">
            <v>7502216808102</v>
          </cell>
          <cell r="V1381" t="str">
            <v>N</v>
          </cell>
          <cell r="Y1381" t="str">
            <v>N</v>
          </cell>
        </row>
        <row r="1382">
          <cell r="A1382">
            <v>7502009749537</v>
          </cell>
          <cell r="V1382" t="str">
            <v>N</v>
          </cell>
          <cell r="Y1382" t="str">
            <v>N</v>
          </cell>
        </row>
        <row r="1383">
          <cell r="A1383">
            <v>7501057005848</v>
          </cell>
          <cell r="V1383" t="str">
            <v>N</v>
          </cell>
          <cell r="Y1383" t="str">
            <v>N</v>
          </cell>
        </row>
        <row r="1384">
          <cell r="A1384">
            <v>7502253073211</v>
          </cell>
          <cell r="V1384" t="str">
            <v>N</v>
          </cell>
          <cell r="Y1384" t="str">
            <v>N</v>
          </cell>
        </row>
        <row r="1385">
          <cell r="A1385">
            <v>7500435157964</v>
          </cell>
          <cell r="V1385" t="str">
            <v>N</v>
          </cell>
          <cell r="Y1385" t="str">
            <v>N</v>
          </cell>
        </row>
        <row r="1386">
          <cell r="A1386" t="str">
            <v>7502009740497CCC</v>
          </cell>
          <cell r="V1386" t="str">
            <v>N</v>
          </cell>
          <cell r="Y1386" t="str">
            <v>N</v>
          </cell>
        </row>
        <row r="1387">
          <cell r="A1387" t="str">
            <v>7502009742835CC</v>
          </cell>
          <cell r="V1387" t="str">
            <v>S</v>
          </cell>
          <cell r="Y1387" t="str">
            <v>N</v>
          </cell>
        </row>
        <row r="1388">
          <cell r="A1388" t="str">
            <v>7502209810358CC</v>
          </cell>
          <cell r="V1388" t="str">
            <v>N</v>
          </cell>
          <cell r="Y1388" t="str">
            <v>N</v>
          </cell>
        </row>
        <row r="1389">
          <cell r="A1389" t="str">
            <v>7502211789888CC</v>
          </cell>
          <cell r="V1389" t="str">
            <v>N</v>
          </cell>
          <cell r="Y1389" t="str">
            <v>N</v>
          </cell>
        </row>
        <row r="1390">
          <cell r="A1390" t="str">
            <v>7502211789871CC</v>
          </cell>
          <cell r="V1390" t="str">
            <v>N</v>
          </cell>
          <cell r="Y1390" t="str">
            <v>N</v>
          </cell>
        </row>
        <row r="1391">
          <cell r="A1391" t="str">
            <v>7501058623201CC</v>
          </cell>
          <cell r="V1391" t="str">
            <v>N</v>
          </cell>
          <cell r="Y1391" t="str">
            <v>N</v>
          </cell>
        </row>
        <row r="1392">
          <cell r="A1392" t="str">
            <v>7501109902866-2</v>
          </cell>
          <cell r="V1392" t="str">
            <v>N</v>
          </cell>
          <cell r="Y1392" t="str">
            <v>N</v>
          </cell>
        </row>
        <row r="1393">
          <cell r="A1393">
            <v>7501349021310</v>
          </cell>
          <cell r="V1393" t="str">
            <v>N</v>
          </cell>
          <cell r="Y1393" t="str">
            <v>N</v>
          </cell>
        </row>
        <row r="1394">
          <cell r="A1394">
            <v>7501349024533</v>
          </cell>
          <cell r="V1394" t="str">
            <v>N</v>
          </cell>
          <cell r="Y1394" t="str">
            <v>N</v>
          </cell>
        </row>
        <row r="1395">
          <cell r="A1395">
            <v>650240013775</v>
          </cell>
          <cell r="V1395" t="str">
            <v>N</v>
          </cell>
          <cell r="Y1395" t="str">
            <v>N</v>
          </cell>
        </row>
        <row r="1396">
          <cell r="A1396">
            <v>7501070903497</v>
          </cell>
          <cell r="V1396" t="str">
            <v>N</v>
          </cell>
          <cell r="Y1396" t="str">
            <v>N</v>
          </cell>
        </row>
        <row r="1397">
          <cell r="A1397">
            <v>7502240450896</v>
          </cell>
          <cell r="V1397" t="str">
            <v>N</v>
          </cell>
          <cell r="Y1397" t="str">
            <v>N</v>
          </cell>
        </row>
        <row r="1398">
          <cell r="A1398">
            <v>759684431050</v>
          </cell>
          <cell r="V1398" t="str">
            <v>N</v>
          </cell>
          <cell r="Y1398" t="str">
            <v>N</v>
          </cell>
        </row>
        <row r="1399">
          <cell r="A1399">
            <v>7501019006623</v>
          </cell>
          <cell r="V1399" t="str">
            <v>N</v>
          </cell>
          <cell r="Y1399" t="str">
            <v>N</v>
          </cell>
        </row>
        <row r="1400">
          <cell r="A1400">
            <v>7502009749520</v>
          </cell>
          <cell r="V1400" t="str">
            <v>N</v>
          </cell>
          <cell r="Y1400" t="str">
            <v>N</v>
          </cell>
        </row>
        <row r="1401">
          <cell r="A1401" t="str">
            <v>7502009740206CC</v>
          </cell>
          <cell r="V1401" t="str">
            <v>N</v>
          </cell>
          <cell r="Y1401" t="str">
            <v>N</v>
          </cell>
        </row>
        <row r="1402">
          <cell r="A1402" t="str">
            <v>7502009740503CC</v>
          </cell>
          <cell r="V1402" t="str">
            <v>N</v>
          </cell>
          <cell r="Y1402" t="str">
            <v>N</v>
          </cell>
        </row>
        <row r="1403">
          <cell r="A1403" t="str">
            <v>7503001008615CCC</v>
          </cell>
          <cell r="V1403" t="str">
            <v>N</v>
          </cell>
          <cell r="Y1403" t="str">
            <v>N</v>
          </cell>
        </row>
        <row r="1404">
          <cell r="A1404" t="str">
            <v>7503001007076CC</v>
          </cell>
          <cell r="V1404" t="str">
            <v>N</v>
          </cell>
          <cell r="Y1404" t="str">
            <v>N</v>
          </cell>
        </row>
        <row r="1405">
          <cell r="A1405" t="str">
            <v>7501349021808CC</v>
          </cell>
          <cell r="V1405" t="str">
            <v>N</v>
          </cell>
          <cell r="Y1405" t="str">
            <v>N</v>
          </cell>
        </row>
        <row r="1406">
          <cell r="A1406" t="str">
            <v>7502001165595CCC</v>
          </cell>
          <cell r="V1406" t="str">
            <v>N</v>
          </cell>
          <cell r="Y1406" t="str">
            <v>N</v>
          </cell>
        </row>
        <row r="1407">
          <cell r="A1407" t="str">
            <v>7502001165588CCC</v>
          </cell>
          <cell r="V1407" t="str">
            <v>N</v>
          </cell>
          <cell r="Y1407" t="str">
            <v>N</v>
          </cell>
        </row>
        <row r="1408">
          <cell r="A1408">
            <v>7501314704163</v>
          </cell>
          <cell r="V1408" t="str">
            <v>N</v>
          </cell>
          <cell r="Y1408" t="str">
            <v>N</v>
          </cell>
        </row>
        <row r="1409">
          <cell r="A1409">
            <v>759684313257</v>
          </cell>
          <cell r="V1409" t="str">
            <v>S</v>
          </cell>
          <cell r="Y1409" t="str">
            <v>N</v>
          </cell>
        </row>
        <row r="1410">
          <cell r="A1410">
            <v>729513107920</v>
          </cell>
          <cell r="V1410" t="str">
            <v>S</v>
          </cell>
          <cell r="Y1410" t="str">
            <v>N</v>
          </cell>
        </row>
        <row r="1411">
          <cell r="A1411">
            <v>7502227879559</v>
          </cell>
          <cell r="V1411" t="str">
            <v>N</v>
          </cell>
          <cell r="Y1411" t="str">
            <v>N</v>
          </cell>
        </row>
        <row r="1412">
          <cell r="A1412">
            <v>7502009741722</v>
          </cell>
          <cell r="V1412" t="str">
            <v>N</v>
          </cell>
          <cell r="Y1412" t="str">
            <v>N</v>
          </cell>
        </row>
        <row r="1413">
          <cell r="A1413">
            <v>7503004908721</v>
          </cell>
          <cell r="V1413" t="str">
            <v>N</v>
          </cell>
          <cell r="Y1413" t="str">
            <v>N</v>
          </cell>
        </row>
        <row r="1414">
          <cell r="A1414">
            <v>7891317019532</v>
          </cell>
          <cell r="V1414" t="str">
            <v>N</v>
          </cell>
          <cell r="Y1414" t="str">
            <v>N</v>
          </cell>
        </row>
        <row r="1415">
          <cell r="A1415">
            <v>7891317019556</v>
          </cell>
          <cell r="V1415" t="str">
            <v>N</v>
          </cell>
          <cell r="Y1415" t="str">
            <v>N</v>
          </cell>
        </row>
        <row r="1416">
          <cell r="A1416">
            <v>7501478316813</v>
          </cell>
          <cell r="V1416" t="str">
            <v>N</v>
          </cell>
          <cell r="Y1416" t="str">
            <v>N</v>
          </cell>
        </row>
        <row r="1417">
          <cell r="A1417">
            <v>7501590286100</v>
          </cell>
          <cell r="V1417" t="str">
            <v>N</v>
          </cell>
          <cell r="Y1417" t="str">
            <v>N</v>
          </cell>
        </row>
        <row r="1418">
          <cell r="A1418">
            <v>7506022301789</v>
          </cell>
          <cell r="V1418" t="str">
            <v>S</v>
          </cell>
          <cell r="Y1418" t="str">
            <v>N</v>
          </cell>
        </row>
        <row r="1419">
          <cell r="A1419">
            <v>7501537103422</v>
          </cell>
          <cell r="V1419" t="str">
            <v>N</v>
          </cell>
          <cell r="Y1419" t="str">
            <v>N</v>
          </cell>
        </row>
        <row r="1420">
          <cell r="A1420" t="str">
            <v>7501165005594CC</v>
          </cell>
          <cell r="V1420" t="str">
            <v>N</v>
          </cell>
          <cell r="Y1420" t="str">
            <v>N</v>
          </cell>
        </row>
        <row r="1421">
          <cell r="A1421" t="str">
            <v>7509546080475CC</v>
          </cell>
          <cell r="V1421" t="str">
            <v>S</v>
          </cell>
          <cell r="Y1421" t="str">
            <v>N</v>
          </cell>
        </row>
        <row r="1422">
          <cell r="A1422" t="str">
            <v>7501258208017CC</v>
          </cell>
          <cell r="V1422" t="str">
            <v>S</v>
          </cell>
          <cell r="Y1422" t="str">
            <v>N</v>
          </cell>
        </row>
        <row r="1423">
          <cell r="A1423" t="str">
            <v>7501033956331CC</v>
          </cell>
          <cell r="V1423" t="str">
            <v>S</v>
          </cell>
          <cell r="Y1423" t="str">
            <v>N</v>
          </cell>
        </row>
        <row r="1424">
          <cell r="A1424" t="str">
            <v>7501065028785CC</v>
          </cell>
          <cell r="V1424" t="str">
            <v>N</v>
          </cell>
          <cell r="Y1424" t="str">
            <v>N</v>
          </cell>
        </row>
        <row r="1425">
          <cell r="A1425" t="str">
            <v>7501065008459CC</v>
          </cell>
          <cell r="V1425" t="str">
            <v>N</v>
          </cell>
          <cell r="Y1425" t="str">
            <v>N</v>
          </cell>
        </row>
        <row r="1426">
          <cell r="A1426" t="str">
            <v>7501008499689CC</v>
          </cell>
          <cell r="V1426" t="str">
            <v>N</v>
          </cell>
          <cell r="Y1426" t="str">
            <v>N</v>
          </cell>
        </row>
        <row r="1427">
          <cell r="A1427" t="str">
            <v>7501008499702CC</v>
          </cell>
          <cell r="V1427" t="str">
            <v>N</v>
          </cell>
          <cell r="Y1427" t="str">
            <v>N</v>
          </cell>
        </row>
        <row r="1428">
          <cell r="A1428" t="str">
            <v>780083149888CC</v>
          </cell>
          <cell r="V1428" t="str">
            <v>N</v>
          </cell>
          <cell r="Y1428" t="str">
            <v>N</v>
          </cell>
        </row>
        <row r="1429">
          <cell r="A1429" t="str">
            <v>7502240450230CC</v>
          </cell>
          <cell r="V1429" t="str">
            <v>N</v>
          </cell>
          <cell r="Y1429" t="str">
            <v>N</v>
          </cell>
        </row>
        <row r="1430">
          <cell r="A1430" t="str">
            <v>7502209858077CC</v>
          </cell>
          <cell r="V1430" t="str">
            <v>N</v>
          </cell>
          <cell r="Y1430" t="str">
            <v>N</v>
          </cell>
        </row>
        <row r="1431">
          <cell r="A1431" t="str">
            <v>7451079003523CC</v>
          </cell>
          <cell r="V1431" t="str">
            <v>N</v>
          </cell>
          <cell r="Y1431" t="str">
            <v>N</v>
          </cell>
        </row>
        <row r="1432">
          <cell r="A1432" t="str">
            <v>7501471897029CC</v>
          </cell>
          <cell r="V1432" t="str">
            <v>N</v>
          </cell>
          <cell r="Y1432" t="str">
            <v>N</v>
          </cell>
        </row>
        <row r="1433">
          <cell r="A1433" t="str">
            <v>7502009744891CC</v>
          </cell>
          <cell r="V1433" t="str">
            <v>N</v>
          </cell>
          <cell r="Y1433" t="str">
            <v>N</v>
          </cell>
        </row>
        <row r="1434">
          <cell r="A1434" t="str">
            <v>7502211780687CC</v>
          </cell>
          <cell r="V1434" t="str">
            <v>N</v>
          </cell>
          <cell r="Y1434" t="str">
            <v>N</v>
          </cell>
        </row>
        <row r="1435">
          <cell r="A1435" t="str">
            <v>7501130712625CC</v>
          </cell>
          <cell r="V1435" t="str">
            <v>N</v>
          </cell>
          <cell r="Y1435" t="str">
            <v>N</v>
          </cell>
        </row>
        <row r="1436">
          <cell r="A1436" t="str">
            <v>780083141929CC</v>
          </cell>
          <cell r="V1436" t="str">
            <v>N</v>
          </cell>
          <cell r="Y1436" t="str">
            <v>N</v>
          </cell>
        </row>
        <row r="1437">
          <cell r="A1437" t="str">
            <v>4104480412103CC</v>
          </cell>
          <cell r="V1437" t="str">
            <v>N</v>
          </cell>
          <cell r="Y1437" t="str">
            <v>N</v>
          </cell>
        </row>
        <row r="1438">
          <cell r="A1438" t="str">
            <v>7502216796782CC</v>
          </cell>
          <cell r="V1438" t="str">
            <v>N</v>
          </cell>
          <cell r="Y1438" t="str">
            <v>N</v>
          </cell>
        </row>
        <row r="1439">
          <cell r="A1439" t="str">
            <v>7501033954061CC</v>
          </cell>
          <cell r="V1439" t="str">
            <v>S</v>
          </cell>
          <cell r="Y1439" t="str">
            <v>N</v>
          </cell>
        </row>
        <row r="1440">
          <cell r="A1440" t="str">
            <v>7501125174841CC</v>
          </cell>
          <cell r="V1440" t="str">
            <v>N</v>
          </cell>
          <cell r="Y1440" t="str">
            <v>N</v>
          </cell>
        </row>
        <row r="1441">
          <cell r="A1441" t="str">
            <v>7501123013340CC</v>
          </cell>
          <cell r="V1441" t="str">
            <v>N</v>
          </cell>
          <cell r="Y1441" t="str">
            <v>N</v>
          </cell>
        </row>
        <row r="1442">
          <cell r="A1442" t="str">
            <v>729514000190CC</v>
          </cell>
          <cell r="V1442" t="str">
            <v>S</v>
          </cell>
          <cell r="Y1442" t="str">
            <v>N</v>
          </cell>
        </row>
        <row r="1443">
          <cell r="A1443" t="str">
            <v>7506400900474CC</v>
          </cell>
          <cell r="V1443" t="str">
            <v>S</v>
          </cell>
          <cell r="Y1443" t="str">
            <v>N</v>
          </cell>
        </row>
        <row r="1444">
          <cell r="A1444" t="str">
            <v>7501159580014CC</v>
          </cell>
          <cell r="V1444" t="str">
            <v>N</v>
          </cell>
          <cell r="Y1444" t="str">
            <v>N</v>
          </cell>
        </row>
        <row r="1445">
          <cell r="A1445" t="str">
            <v>7501385490521CC</v>
          </cell>
          <cell r="V1445" t="str">
            <v>N</v>
          </cell>
          <cell r="Y1445" t="str">
            <v>N</v>
          </cell>
        </row>
        <row r="1446">
          <cell r="A1446" t="str">
            <v>7503000422733CC</v>
          </cell>
          <cell r="V1446" t="str">
            <v>N</v>
          </cell>
          <cell r="Y1446" t="str">
            <v>N</v>
          </cell>
        </row>
        <row r="1447">
          <cell r="A1447" t="str">
            <v>7503001007205CC</v>
          </cell>
          <cell r="V1447" t="str">
            <v>N</v>
          </cell>
          <cell r="Y1447" t="str">
            <v>N</v>
          </cell>
        </row>
        <row r="1448">
          <cell r="A1448" t="str">
            <v>7502216804814CC</v>
          </cell>
          <cell r="V1448" t="str">
            <v>N</v>
          </cell>
          <cell r="Y1448" t="str">
            <v>N</v>
          </cell>
        </row>
        <row r="1449">
          <cell r="A1449" t="str">
            <v>7502003381146CC</v>
          </cell>
          <cell r="V1449" t="str">
            <v>N</v>
          </cell>
          <cell r="Y1449" t="str">
            <v>N</v>
          </cell>
        </row>
        <row r="1450">
          <cell r="A1450" t="str">
            <v>7501088509810CC</v>
          </cell>
          <cell r="V1450" t="str">
            <v>N</v>
          </cell>
          <cell r="Y1450" t="str">
            <v>N</v>
          </cell>
        </row>
        <row r="1451">
          <cell r="A1451" t="str">
            <v>7501058623201CCC</v>
          </cell>
          <cell r="V1451" t="str">
            <v>N</v>
          </cell>
          <cell r="Y1451" t="str">
            <v>N</v>
          </cell>
        </row>
        <row r="1452">
          <cell r="A1452" t="str">
            <v>7501058623201CCCC</v>
          </cell>
          <cell r="V1452" t="str">
            <v>N</v>
          </cell>
          <cell r="Y1452" t="str">
            <v>N</v>
          </cell>
        </row>
        <row r="1453">
          <cell r="A1453">
            <v>7506306244177</v>
          </cell>
          <cell r="V1453" t="str">
            <v>S</v>
          </cell>
          <cell r="Y1453" t="str">
            <v>N</v>
          </cell>
        </row>
        <row r="1454">
          <cell r="A1454">
            <v>7791293022598</v>
          </cell>
          <cell r="V1454" t="str">
            <v>S</v>
          </cell>
          <cell r="Y1454" t="str">
            <v>N</v>
          </cell>
        </row>
        <row r="1455">
          <cell r="A1455">
            <v>7506306244184</v>
          </cell>
          <cell r="V1455" t="str">
            <v>S</v>
          </cell>
          <cell r="Y1455" t="str">
            <v>N</v>
          </cell>
        </row>
        <row r="1456">
          <cell r="A1456">
            <v>7791293022581</v>
          </cell>
          <cell r="V1456" t="str">
            <v>S</v>
          </cell>
          <cell r="Y1456" t="str">
            <v>N</v>
          </cell>
        </row>
        <row r="1457">
          <cell r="A1457" t="str">
            <v>780083141929CCC</v>
          </cell>
          <cell r="V1457" t="str">
            <v>N</v>
          </cell>
          <cell r="Y1457" t="str">
            <v>N</v>
          </cell>
        </row>
        <row r="1458">
          <cell r="A1458" t="str">
            <v>7509546073781CC</v>
          </cell>
          <cell r="V1458" t="str">
            <v>S</v>
          </cell>
          <cell r="Y1458" t="str">
            <v>N</v>
          </cell>
        </row>
        <row r="1459">
          <cell r="A1459" t="str">
            <v>650240015571CC</v>
          </cell>
          <cell r="V1459" t="str">
            <v>N</v>
          </cell>
          <cell r="Y1459" t="str">
            <v>N</v>
          </cell>
        </row>
        <row r="1460">
          <cell r="A1460" t="str">
            <v>7501065053121CC</v>
          </cell>
          <cell r="V1460" t="str">
            <v>N</v>
          </cell>
          <cell r="Y1460" t="str">
            <v>N</v>
          </cell>
        </row>
        <row r="1461">
          <cell r="A1461" t="str">
            <v>7506022330635CC</v>
          </cell>
          <cell r="V1461" t="str">
            <v>S</v>
          </cell>
          <cell r="Y1461" t="str">
            <v>N</v>
          </cell>
        </row>
        <row r="1462">
          <cell r="A1462" t="str">
            <v>7501563310436CC</v>
          </cell>
          <cell r="V1462" t="str">
            <v>N</v>
          </cell>
          <cell r="Y1462" t="str">
            <v>N</v>
          </cell>
        </row>
        <row r="1463">
          <cell r="A1463" t="str">
            <v>7501165006430CC</v>
          </cell>
          <cell r="V1463" t="str">
            <v>N</v>
          </cell>
          <cell r="Y1463" t="str">
            <v>N</v>
          </cell>
        </row>
        <row r="1464">
          <cell r="A1464" t="str">
            <v>7502009746710CC</v>
          </cell>
          <cell r="V1464" t="str">
            <v>N</v>
          </cell>
          <cell r="Y1464" t="str">
            <v>N</v>
          </cell>
        </row>
        <row r="1465">
          <cell r="A1465" t="str">
            <v>7502216796737CC</v>
          </cell>
          <cell r="V1465" t="str">
            <v>N</v>
          </cell>
          <cell r="Y1465" t="str">
            <v>N</v>
          </cell>
        </row>
        <row r="1466">
          <cell r="A1466" t="str">
            <v>7502268541095CC</v>
          </cell>
          <cell r="V1466" t="str">
            <v>N</v>
          </cell>
          <cell r="Y1466" t="str">
            <v>N</v>
          </cell>
        </row>
        <row r="1467">
          <cell r="A1467" t="str">
            <v>7501058793393CC</v>
          </cell>
          <cell r="V1467" t="str">
            <v>N</v>
          </cell>
          <cell r="Y1467" t="str">
            <v>N</v>
          </cell>
        </row>
        <row r="1468">
          <cell r="A1468" t="str">
            <v>7501300407061CC</v>
          </cell>
          <cell r="V1468" t="str">
            <v>N</v>
          </cell>
          <cell r="Y1468" t="str">
            <v>N</v>
          </cell>
        </row>
        <row r="1469">
          <cell r="A1469" t="str">
            <v>7501058623294CC</v>
          </cell>
          <cell r="V1469" t="str">
            <v>N</v>
          </cell>
          <cell r="Y1469" t="str">
            <v>N</v>
          </cell>
        </row>
        <row r="1470">
          <cell r="A1470" t="str">
            <v>7501033956133CC</v>
          </cell>
          <cell r="V1470" t="str">
            <v>S</v>
          </cell>
          <cell r="Y1470" t="str">
            <v>N</v>
          </cell>
        </row>
        <row r="1471">
          <cell r="A1471" t="str">
            <v>7502001037120CC</v>
          </cell>
          <cell r="V1471" t="str">
            <v>N</v>
          </cell>
          <cell r="Y1471" t="str">
            <v>N</v>
          </cell>
        </row>
        <row r="1472">
          <cell r="A1472" t="str">
            <v>7502253600493CC</v>
          </cell>
          <cell r="V1472" t="str">
            <v>S</v>
          </cell>
          <cell r="Y1472" t="str">
            <v>N</v>
          </cell>
        </row>
        <row r="1473">
          <cell r="A1473" t="str">
            <v>7509546068602CC</v>
          </cell>
          <cell r="V1473" t="str">
            <v>S</v>
          </cell>
          <cell r="Y1473" t="str">
            <v>N</v>
          </cell>
        </row>
        <row r="1474">
          <cell r="A1474" t="str">
            <v>7501385495380CC</v>
          </cell>
          <cell r="V1474" t="str">
            <v>N</v>
          </cell>
          <cell r="Y1474" t="str">
            <v>N</v>
          </cell>
        </row>
        <row r="1475">
          <cell r="A1475" t="str">
            <v>7501573906346CC</v>
          </cell>
          <cell r="V1475" t="str">
            <v>N</v>
          </cell>
          <cell r="Y1475" t="str">
            <v>N</v>
          </cell>
        </row>
        <row r="1476">
          <cell r="A1476" t="str">
            <v>7501065095947CC</v>
          </cell>
          <cell r="V1476" t="str">
            <v>N</v>
          </cell>
          <cell r="Y1476" t="str">
            <v>N</v>
          </cell>
        </row>
        <row r="1477">
          <cell r="A1477" t="str">
            <v>7501065095978CC</v>
          </cell>
          <cell r="V1477" t="str">
            <v>N</v>
          </cell>
          <cell r="Y1477" t="str">
            <v>N</v>
          </cell>
        </row>
        <row r="1478">
          <cell r="A1478" t="str">
            <v>4021447739687CC</v>
          </cell>
          <cell r="V1478" t="str">
            <v>S</v>
          </cell>
          <cell r="Y1478" t="str">
            <v>N</v>
          </cell>
        </row>
        <row r="1479">
          <cell r="A1479" t="str">
            <v>4021447930350CC</v>
          </cell>
          <cell r="V1479" t="str">
            <v>S</v>
          </cell>
          <cell r="Y1479" t="str">
            <v>N</v>
          </cell>
        </row>
        <row r="1480">
          <cell r="A1480" t="str">
            <v>7509546073743CC</v>
          </cell>
          <cell r="V1480" t="str">
            <v>S</v>
          </cell>
          <cell r="Y1480" t="str">
            <v>N</v>
          </cell>
        </row>
        <row r="1481">
          <cell r="A1481">
            <v>759684317170</v>
          </cell>
          <cell r="V1481" t="str">
            <v>S</v>
          </cell>
          <cell r="Y1481" t="str">
            <v>N</v>
          </cell>
        </row>
        <row r="1482">
          <cell r="A1482">
            <v>7501384544584</v>
          </cell>
          <cell r="V1482" t="str">
            <v>N</v>
          </cell>
          <cell r="Y1482" t="str">
            <v>N</v>
          </cell>
        </row>
        <row r="1483">
          <cell r="A1483">
            <v>637420602004</v>
          </cell>
          <cell r="V1483" t="str">
            <v>S</v>
          </cell>
          <cell r="Y1483" t="str">
            <v>N</v>
          </cell>
        </row>
        <row r="1484">
          <cell r="A1484">
            <v>7502224246125</v>
          </cell>
          <cell r="V1484" t="str">
            <v>S</v>
          </cell>
          <cell r="Y1484" t="str">
            <v>N</v>
          </cell>
        </row>
        <row r="1485">
          <cell r="A1485">
            <v>7501020680461</v>
          </cell>
          <cell r="V1485" t="str">
            <v>S</v>
          </cell>
          <cell r="Y1485" t="str">
            <v>N</v>
          </cell>
        </row>
        <row r="1486">
          <cell r="A1486">
            <v>7891317019815</v>
          </cell>
          <cell r="V1486" t="str">
            <v>N</v>
          </cell>
          <cell r="Y1486" t="str">
            <v>N</v>
          </cell>
        </row>
        <row r="1487">
          <cell r="A1487">
            <v>7501478316226</v>
          </cell>
          <cell r="V1487" t="str">
            <v>N</v>
          </cell>
          <cell r="Y1487" t="str">
            <v>N</v>
          </cell>
        </row>
        <row r="1488">
          <cell r="A1488">
            <v>7560223314344</v>
          </cell>
          <cell r="V1488" t="str">
            <v>S</v>
          </cell>
          <cell r="Y1488" t="str">
            <v>N</v>
          </cell>
        </row>
        <row r="1489">
          <cell r="A1489" t="str">
            <v>7501349012172CC</v>
          </cell>
          <cell r="V1489" t="str">
            <v>N</v>
          </cell>
          <cell r="Y1489" t="str">
            <v>N</v>
          </cell>
        </row>
        <row r="1490">
          <cell r="A1490" t="str">
            <v>7502211783527CC</v>
          </cell>
          <cell r="V1490" t="str">
            <v>N</v>
          </cell>
          <cell r="Y1490" t="str">
            <v>N</v>
          </cell>
        </row>
        <row r="1491">
          <cell r="A1491" t="str">
            <v>7502211783527CCC</v>
          </cell>
          <cell r="V1491" t="str">
            <v>N</v>
          </cell>
          <cell r="Y1491" t="str">
            <v>N</v>
          </cell>
        </row>
        <row r="1492">
          <cell r="A1492" t="str">
            <v>7501385490521CCC</v>
          </cell>
          <cell r="V1492" t="str">
            <v>N</v>
          </cell>
          <cell r="Y1492" t="str">
            <v>N</v>
          </cell>
        </row>
        <row r="1493">
          <cell r="A1493" t="str">
            <v>7501349012172CCC</v>
          </cell>
          <cell r="V1493" t="str">
            <v>N</v>
          </cell>
          <cell r="Y1493" t="str">
            <v>N</v>
          </cell>
        </row>
        <row r="1494">
          <cell r="A1494" t="str">
            <v>7502001163775CC</v>
          </cell>
          <cell r="V1494" t="str">
            <v>N</v>
          </cell>
          <cell r="Y1494" t="str">
            <v>N</v>
          </cell>
        </row>
        <row r="1495">
          <cell r="A1495" t="str">
            <v>7501349021594CC</v>
          </cell>
          <cell r="V1495" t="str">
            <v>N</v>
          </cell>
          <cell r="Y1495" t="str">
            <v>N</v>
          </cell>
        </row>
        <row r="1496">
          <cell r="A1496" t="str">
            <v>7502009741050CC</v>
          </cell>
          <cell r="V1496" t="str">
            <v>N</v>
          </cell>
          <cell r="Y1496" t="str">
            <v>N</v>
          </cell>
        </row>
        <row r="1497">
          <cell r="A1497" t="str">
            <v>7502009745126CC</v>
          </cell>
          <cell r="V1497" t="str">
            <v>N</v>
          </cell>
          <cell r="Y1497" t="str">
            <v>N</v>
          </cell>
        </row>
        <row r="1498">
          <cell r="A1498" t="str">
            <v>7502227870228CC</v>
          </cell>
          <cell r="V1498" t="str">
            <v>N</v>
          </cell>
          <cell r="Y1498" t="str">
            <v>N</v>
          </cell>
        </row>
        <row r="1499">
          <cell r="A1499" t="str">
            <v>650240015366CC</v>
          </cell>
          <cell r="V1499" t="str">
            <v>N</v>
          </cell>
          <cell r="Y1499" t="str">
            <v>N</v>
          </cell>
        </row>
        <row r="1500">
          <cell r="A1500" t="str">
            <v>7502223112186CC</v>
          </cell>
          <cell r="V1500" t="str">
            <v>N</v>
          </cell>
          <cell r="Y1500" t="str">
            <v>N</v>
          </cell>
        </row>
        <row r="1501">
          <cell r="A1501" t="str">
            <v>7509546682471CC</v>
          </cell>
          <cell r="V1501" t="str">
            <v>S</v>
          </cell>
          <cell r="Y1501" t="str">
            <v>N</v>
          </cell>
        </row>
        <row r="1502">
          <cell r="A1502" t="str">
            <v>7502225092479CC</v>
          </cell>
          <cell r="V1502" t="str">
            <v>N</v>
          </cell>
          <cell r="Y1502" t="str">
            <v>N</v>
          </cell>
        </row>
        <row r="1503">
          <cell r="A1503" t="str">
            <v>7501573900016CC</v>
          </cell>
          <cell r="V1503" t="str">
            <v>N</v>
          </cell>
          <cell r="Y1503" t="str">
            <v>N</v>
          </cell>
        </row>
        <row r="1504">
          <cell r="A1504" t="str">
            <v>7503000422511CC</v>
          </cell>
          <cell r="V1504" t="str">
            <v>N</v>
          </cell>
          <cell r="Y1504" t="str">
            <v>N</v>
          </cell>
        </row>
        <row r="1505">
          <cell r="A1505">
            <v>7506476200126</v>
          </cell>
          <cell r="V1505" t="str">
            <v>N</v>
          </cell>
          <cell r="Y1505" t="str">
            <v>N</v>
          </cell>
        </row>
        <row r="1506">
          <cell r="A1506" t="str">
            <v>7509546690766CC</v>
          </cell>
          <cell r="V1506" t="str">
            <v>S</v>
          </cell>
          <cell r="Y1506" t="str">
            <v>N</v>
          </cell>
        </row>
        <row r="1507">
          <cell r="A1507">
            <v>7501034605115</v>
          </cell>
          <cell r="V1507" t="str">
            <v>N</v>
          </cell>
          <cell r="Y1507" t="str">
            <v>N</v>
          </cell>
        </row>
        <row r="1508">
          <cell r="A1508" t="str">
            <v>7509546063843CC</v>
          </cell>
          <cell r="V1508" t="str">
            <v>S</v>
          </cell>
          <cell r="Y1508" t="str">
            <v>N</v>
          </cell>
        </row>
        <row r="1509">
          <cell r="A1509" t="str">
            <v>7502227879597CC</v>
          </cell>
          <cell r="V1509" t="str">
            <v>N</v>
          </cell>
          <cell r="Y1509" t="str">
            <v>N</v>
          </cell>
        </row>
        <row r="1510">
          <cell r="A1510">
            <v>7501075727517</v>
          </cell>
          <cell r="V1510" t="str">
            <v>N</v>
          </cell>
          <cell r="Y1510" t="str">
            <v>N</v>
          </cell>
        </row>
        <row r="1511">
          <cell r="A1511">
            <v>148138</v>
          </cell>
          <cell r="V1511" t="str">
            <v>S</v>
          </cell>
          <cell r="Y1511" t="str">
            <v>N</v>
          </cell>
        </row>
        <row r="1512">
          <cell r="A1512">
            <v>7501072300218</v>
          </cell>
          <cell r="V1512" t="str">
            <v>N</v>
          </cell>
          <cell r="Y1512" t="str">
            <v>N</v>
          </cell>
        </row>
        <row r="1513">
          <cell r="A1513">
            <v>7506476200164</v>
          </cell>
          <cell r="V1513" t="str">
            <v>N</v>
          </cell>
          <cell r="Y1513" t="str">
            <v>N</v>
          </cell>
        </row>
        <row r="1514">
          <cell r="A1514">
            <v>7506476200171</v>
          </cell>
          <cell r="V1514" t="str">
            <v>N</v>
          </cell>
          <cell r="Y1514" t="str">
            <v>N</v>
          </cell>
        </row>
        <row r="1515">
          <cell r="A1515">
            <v>7501349024243</v>
          </cell>
          <cell r="V1515" t="str">
            <v>N</v>
          </cell>
          <cell r="Y1515" t="str">
            <v>N</v>
          </cell>
        </row>
        <row r="1516">
          <cell r="A1516" t="str">
            <v>780083148584CC</v>
          </cell>
          <cell r="V1516" t="str">
            <v>N</v>
          </cell>
          <cell r="Y1516" t="str">
            <v>N</v>
          </cell>
        </row>
        <row r="1517">
          <cell r="A1517">
            <v>7502009749162</v>
          </cell>
          <cell r="V1517" t="str">
            <v>N</v>
          </cell>
          <cell r="Y1517" t="str">
            <v>N</v>
          </cell>
        </row>
        <row r="1518">
          <cell r="A1518">
            <v>7502240450988</v>
          </cell>
          <cell r="V1518" t="str">
            <v>N</v>
          </cell>
          <cell r="Y1518" t="str">
            <v>N</v>
          </cell>
        </row>
        <row r="1519">
          <cell r="A1519" t="str">
            <v>7503000422191CC</v>
          </cell>
          <cell r="V1519" t="str">
            <v>N</v>
          </cell>
          <cell r="Y1519" t="str">
            <v>N</v>
          </cell>
        </row>
        <row r="1520">
          <cell r="A1520" t="str">
            <v>7506306215689CC</v>
          </cell>
          <cell r="V1520" t="str">
            <v>S</v>
          </cell>
          <cell r="Y1520" t="str">
            <v>N</v>
          </cell>
        </row>
        <row r="1521">
          <cell r="A1521" t="str">
            <v>7501072300133CC</v>
          </cell>
          <cell r="V1521" t="str">
            <v>N</v>
          </cell>
          <cell r="Y1521" t="str">
            <v>N</v>
          </cell>
        </row>
        <row r="1522">
          <cell r="A1522" t="str">
            <v>7501088505607CC</v>
          </cell>
          <cell r="V1522" t="str">
            <v>N</v>
          </cell>
          <cell r="Y1522" t="str">
            <v>N</v>
          </cell>
        </row>
        <row r="1523">
          <cell r="A1523" t="str">
            <v>650240036385CC</v>
          </cell>
          <cell r="V1523" t="str">
            <v>N</v>
          </cell>
          <cell r="Y1523" t="str">
            <v>N</v>
          </cell>
        </row>
        <row r="1524">
          <cell r="A1524" t="str">
            <v>7506306249356CC</v>
          </cell>
          <cell r="V1524" t="str">
            <v>S</v>
          </cell>
          <cell r="Y1524" t="str">
            <v>N</v>
          </cell>
        </row>
        <row r="1525">
          <cell r="A1525" t="str">
            <v>354312225164CC</v>
          </cell>
          <cell r="V1525" t="str">
            <v>S</v>
          </cell>
          <cell r="Y1525" t="str">
            <v>N</v>
          </cell>
        </row>
        <row r="1526">
          <cell r="A1526" t="str">
            <v>7502250340255CC</v>
          </cell>
          <cell r="V1526" t="str">
            <v>S</v>
          </cell>
          <cell r="Y1526" t="str">
            <v>N</v>
          </cell>
        </row>
        <row r="1527">
          <cell r="A1527" t="str">
            <v>7502240451015CC</v>
          </cell>
          <cell r="V1527" t="str">
            <v>N</v>
          </cell>
          <cell r="Y1527" t="str">
            <v>N</v>
          </cell>
        </row>
        <row r="1528">
          <cell r="A1528" t="str">
            <v>7501471800265CC</v>
          </cell>
          <cell r="V1528" t="str">
            <v>N</v>
          </cell>
          <cell r="Y1528" t="str">
            <v>N</v>
          </cell>
        </row>
        <row r="1529">
          <cell r="A1529" t="str">
            <v>7506306247468CC</v>
          </cell>
          <cell r="V1529" t="str">
            <v>S</v>
          </cell>
          <cell r="Y1529" t="str">
            <v>N</v>
          </cell>
        </row>
        <row r="1530">
          <cell r="A1530" t="str">
            <v>650240031502CC</v>
          </cell>
          <cell r="V1530" t="str">
            <v>N</v>
          </cell>
          <cell r="Y1530" t="str">
            <v>N</v>
          </cell>
        </row>
        <row r="1531">
          <cell r="A1531" t="str">
            <v>7891317019747CC</v>
          </cell>
          <cell r="V1531" t="str">
            <v>N</v>
          </cell>
          <cell r="Y1531" t="str">
            <v>N</v>
          </cell>
        </row>
        <row r="1532">
          <cell r="A1532" t="str">
            <v>7501070612368CC</v>
          </cell>
          <cell r="V1532" t="str">
            <v>N</v>
          </cell>
          <cell r="Y1532" t="str">
            <v>N</v>
          </cell>
        </row>
        <row r="1533">
          <cell r="A1533" t="str">
            <v>650240017100CC</v>
          </cell>
          <cell r="V1533" t="str">
            <v>N</v>
          </cell>
          <cell r="Y1533" t="str">
            <v>N</v>
          </cell>
        </row>
        <row r="1534">
          <cell r="A1534" t="str">
            <v>7501065008473CC</v>
          </cell>
          <cell r="V1534" t="str">
            <v>N</v>
          </cell>
          <cell r="Y1534" t="str">
            <v>N</v>
          </cell>
        </row>
        <row r="1535">
          <cell r="A1535" t="str">
            <v>7502211782483CC</v>
          </cell>
          <cell r="V1535" t="str">
            <v>N</v>
          </cell>
          <cell r="Y1535" t="str">
            <v>N</v>
          </cell>
        </row>
        <row r="1536">
          <cell r="A1536" t="str">
            <v>7501072310392CC</v>
          </cell>
          <cell r="V1536" t="str">
            <v>N</v>
          </cell>
          <cell r="Y1536" t="str">
            <v>N</v>
          </cell>
        </row>
        <row r="1537">
          <cell r="A1537" t="str">
            <v>7502009740213CC</v>
          </cell>
          <cell r="V1537" t="str">
            <v>N</v>
          </cell>
          <cell r="Y1537" t="str">
            <v>N</v>
          </cell>
        </row>
        <row r="1538">
          <cell r="A1538" t="str">
            <v>3664798025705CC</v>
          </cell>
          <cell r="V1538" t="str">
            <v>N</v>
          </cell>
          <cell r="Y1538" t="str">
            <v>N</v>
          </cell>
        </row>
        <row r="1539">
          <cell r="A1539" t="str">
            <v>7501095409059CC</v>
          </cell>
          <cell r="V1539" t="str">
            <v>N</v>
          </cell>
          <cell r="Y1539" t="str">
            <v>N</v>
          </cell>
        </row>
        <row r="1540">
          <cell r="A1540" t="str">
            <v>7501573903246CC</v>
          </cell>
          <cell r="V1540" t="str">
            <v>N</v>
          </cell>
          <cell r="Y1540" t="str">
            <v>N</v>
          </cell>
        </row>
        <row r="1541">
          <cell r="A1541" t="str">
            <v>7501125175091CC</v>
          </cell>
          <cell r="V1541" t="str">
            <v>N</v>
          </cell>
          <cell r="Y1541" t="str">
            <v>N</v>
          </cell>
        </row>
        <row r="1542">
          <cell r="A1542" t="str">
            <v>7501943480001CC</v>
          </cell>
          <cell r="V1542" t="str">
            <v>S</v>
          </cell>
          <cell r="Y1542" t="str">
            <v>N</v>
          </cell>
        </row>
        <row r="1543">
          <cell r="A1543" t="str">
            <v>20800753067CC</v>
          </cell>
          <cell r="V1543" t="str">
            <v>N</v>
          </cell>
          <cell r="Y1543" t="str">
            <v>N</v>
          </cell>
        </row>
        <row r="1544">
          <cell r="A1544" t="str">
            <v>7501258215640CC</v>
          </cell>
          <cell r="V1544" t="str">
            <v>N</v>
          </cell>
          <cell r="Y1544" t="str">
            <v>N</v>
          </cell>
        </row>
        <row r="1545">
          <cell r="A1545" t="str">
            <v>7501020680461CC</v>
          </cell>
          <cell r="V1545" t="str">
            <v>S</v>
          </cell>
          <cell r="Y1545" t="str">
            <v>N</v>
          </cell>
        </row>
        <row r="1546">
          <cell r="A1546" t="str">
            <v>650240007651CC</v>
          </cell>
          <cell r="V1546" t="str">
            <v>N</v>
          </cell>
          <cell r="Y1546" t="str">
            <v>N</v>
          </cell>
        </row>
        <row r="1547">
          <cell r="A1547">
            <v>7502226294254</v>
          </cell>
          <cell r="V1547" t="str">
            <v>N</v>
          </cell>
          <cell r="Y1547" t="str">
            <v>N</v>
          </cell>
        </row>
        <row r="1548">
          <cell r="A1548" t="str">
            <v>7503001007069CC</v>
          </cell>
          <cell r="V1548" t="str">
            <v>N</v>
          </cell>
          <cell r="Y1548" t="str">
            <v>N</v>
          </cell>
        </row>
        <row r="1549">
          <cell r="A1549" t="str">
            <v>785118753955CC</v>
          </cell>
          <cell r="V1549" t="str">
            <v>N</v>
          </cell>
          <cell r="Y1549" t="str">
            <v>N</v>
          </cell>
        </row>
        <row r="1550">
          <cell r="A1550" t="str">
            <v>7502211781059CC</v>
          </cell>
          <cell r="V1550" t="str">
            <v>N</v>
          </cell>
          <cell r="Y1550" t="str">
            <v>N</v>
          </cell>
        </row>
        <row r="1551">
          <cell r="A1551" t="str">
            <v>7502009740374CC</v>
          </cell>
          <cell r="V1551" t="str">
            <v>N</v>
          </cell>
          <cell r="Y1551" t="str">
            <v>N</v>
          </cell>
        </row>
        <row r="1552">
          <cell r="A1552" t="str">
            <v>650240036378CC</v>
          </cell>
          <cell r="V1552" t="str">
            <v>N</v>
          </cell>
          <cell r="Y1552" t="str">
            <v>N</v>
          </cell>
        </row>
        <row r="1553">
          <cell r="A1553" t="str">
            <v>7501478316189CC</v>
          </cell>
          <cell r="V1553" t="str">
            <v>S</v>
          </cell>
          <cell r="Y1553" t="str">
            <v>N</v>
          </cell>
        </row>
        <row r="1554">
          <cell r="A1554" t="str">
            <v>7502208891235CC</v>
          </cell>
          <cell r="V1554" t="str">
            <v>N</v>
          </cell>
          <cell r="Y1554" t="str">
            <v>N</v>
          </cell>
        </row>
        <row r="1555">
          <cell r="A1555" t="str">
            <v>7502305940003CC</v>
          </cell>
          <cell r="V1555" t="str">
            <v>S</v>
          </cell>
          <cell r="Y1555" t="str">
            <v>N</v>
          </cell>
        </row>
        <row r="1556">
          <cell r="A1556">
            <v>7702031244493</v>
          </cell>
          <cell r="V1556" t="str">
            <v>S</v>
          </cell>
          <cell r="Y1556" t="str">
            <v>N</v>
          </cell>
        </row>
        <row r="1557">
          <cell r="A1557">
            <v>7702035870384</v>
          </cell>
          <cell r="V1557" t="str">
            <v>S</v>
          </cell>
          <cell r="Y1557" t="str">
            <v>N</v>
          </cell>
        </row>
        <row r="1558">
          <cell r="A1558">
            <v>7501342804644</v>
          </cell>
          <cell r="V1558" t="str">
            <v>N</v>
          </cell>
          <cell r="Y1558" t="str">
            <v>N</v>
          </cell>
        </row>
        <row r="1559">
          <cell r="A1559" t="str">
            <v>7502001160385CC</v>
          </cell>
          <cell r="V1559" t="str">
            <v>N</v>
          </cell>
          <cell r="Y1559" t="str">
            <v>N</v>
          </cell>
        </row>
        <row r="1560">
          <cell r="A1560" t="str">
            <v>7502253073211CC</v>
          </cell>
          <cell r="V1560" t="str">
            <v>N</v>
          </cell>
          <cell r="Y1560" t="str">
            <v>N</v>
          </cell>
        </row>
        <row r="1561">
          <cell r="A1561" t="str">
            <v>7502213042325CC</v>
          </cell>
          <cell r="V1561" t="str">
            <v>N</v>
          </cell>
          <cell r="Y1561" t="str">
            <v>N</v>
          </cell>
        </row>
        <row r="1562">
          <cell r="A1562" t="str">
            <v>7501064560163CC</v>
          </cell>
          <cell r="V1562" t="str">
            <v>N</v>
          </cell>
          <cell r="Y1562" t="str">
            <v>N</v>
          </cell>
        </row>
        <row r="1563">
          <cell r="A1563" t="str">
            <v>7501058715517CC</v>
          </cell>
          <cell r="V1563" t="str">
            <v>N</v>
          </cell>
          <cell r="Y1563" t="str">
            <v>N</v>
          </cell>
        </row>
        <row r="1564">
          <cell r="A1564" t="str">
            <v>300090275051CC</v>
          </cell>
          <cell r="V1564" t="str">
            <v>N</v>
          </cell>
          <cell r="Y1564" t="str">
            <v>N</v>
          </cell>
        </row>
        <row r="1565">
          <cell r="A1565" t="str">
            <v>7501258208000CC</v>
          </cell>
          <cell r="V1565" t="str">
            <v>N</v>
          </cell>
          <cell r="Y1565" t="str">
            <v>N</v>
          </cell>
        </row>
        <row r="1566">
          <cell r="A1566" t="str">
            <v>7502009745409CC</v>
          </cell>
          <cell r="V1566" t="str">
            <v>N</v>
          </cell>
          <cell r="Y1566" t="str">
            <v>N</v>
          </cell>
        </row>
        <row r="1567">
          <cell r="A1567" t="str">
            <v>75036508CC</v>
          </cell>
          <cell r="V1567" t="str">
            <v>S</v>
          </cell>
          <cell r="Y1567" t="str">
            <v>N</v>
          </cell>
        </row>
        <row r="1568">
          <cell r="A1568" t="str">
            <v>7502211784241CC</v>
          </cell>
          <cell r="V1568" t="str">
            <v>N</v>
          </cell>
          <cell r="Y1568" t="str">
            <v>N</v>
          </cell>
        </row>
        <row r="1569">
          <cell r="A1569" t="str">
            <v>7501058715494CC</v>
          </cell>
          <cell r="V1569" t="str">
            <v>N</v>
          </cell>
          <cell r="Y1569" t="str">
            <v>N</v>
          </cell>
        </row>
        <row r="1570">
          <cell r="A1570" t="str">
            <v>7502001167254CC</v>
          </cell>
          <cell r="V1570" t="str">
            <v>N</v>
          </cell>
          <cell r="Y1570" t="str">
            <v>N</v>
          </cell>
        </row>
        <row r="1571">
          <cell r="A1571">
            <v>7896009419324</v>
          </cell>
          <cell r="V1571" t="str">
            <v>S</v>
          </cell>
          <cell r="Y1571" t="str">
            <v>N</v>
          </cell>
        </row>
        <row r="1572">
          <cell r="A1572">
            <v>7501128162173</v>
          </cell>
          <cell r="V1572" t="str">
            <v>S</v>
          </cell>
          <cell r="Y1572" t="str">
            <v>N</v>
          </cell>
        </row>
        <row r="1573">
          <cell r="A1573">
            <v>7501318645080</v>
          </cell>
          <cell r="V1573" t="str">
            <v>N</v>
          </cell>
          <cell r="Y1573" t="str">
            <v>N</v>
          </cell>
        </row>
        <row r="1574">
          <cell r="A1574">
            <v>7501349021051</v>
          </cell>
          <cell r="V1574" t="str">
            <v>N</v>
          </cell>
          <cell r="Y1574" t="str">
            <v>N</v>
          </cell>
        </row>
        <row r="1575">
          <cell r="A1575">
            <v>7501258215954</v>
          </cell>
          <cell r="V1575" t="str">
            <v>N</v>
          </cell>
          <cell r="Y1575" t="str">
            <v>N</v>
          </cell>
        </row>
        <row r="1576">
          <cell r="A1576">
            <v>7501075727548</v>
          </cell>
          <cell r="V1576" t="str">
            <v>N</v>
          </cell>
          <cell r="Y1576" t="str">
            <v>N</v>
          </cell>
        </row>
        <row r="1577">
          <cell r="A1577">
            <v>7501122963103</v>
          </cell>
          <cell r="V1577" t="str">
            <v>N</v>
          </cell>
          <cell r="Y1577" t="str">
            <v>N</v>
          </cell>
        </row>
        <row r="1578">
          <cell r="A1578">
            <v>7506442705273</v>
          </cell>
          <cell r="V1578" t="str">
            <v>N</v>
          </cell>
          <cell r="Y1578" t="str">
            <v>N</v>
          </cell>
        </row>
        <row r="1579">
          <cell r="A1579">
            <v>7501033951374</v>
          </cell>
          <cell r="V1579" t="str">
            <v>N</v>
          </cell>
          <cell r="Y1579" t="str">
            <v>N</v>
          </cell>
        </row>
        <row r="1580">
          <cell r="A1580">
            <v>7501008485378</v>
          </cell>
          <cell r="V1580" t="str">
            <v>N</v>
          </cell>
          <cell r="Y1580" t="str">
            <v>N</v>
          </cell>
        </row>
        <row r="1581">
          <cell r="A1581">
            <v>7506331300053</v>
          </cell>
          <cell r="V1581" t="str">
            <v>N</v>
          </cell>
          <cell r="Y1581" t="str">
            <v>N</v>
          </cell>
        </row>
        <row r="1582">
          <cell r="A1582">
            <v>7501868950702</v>
          </cell>
          <cell r="V1582" t="str">
            <v>S</v>
          </cell>
          <cell r="Y1582" t="str">
            <v>N</v>
          </cell>
        </row>
        <row r="1583">
          <cell r="A1583">
            <v>7502009748875</v>
          </cell>
          <cell r="V1583" t="str">
            <v>N</v>
          </cell>
          <cell r="Y1583" t="str">
            <v>N</v>
          </cell>
        </row>
        <row r="1584">
          <cell r="A1584">
            <v>7501048695607</v>
          </cell>
          <cell r="V1584" t="str">
            <v>S</v>
          </cell>
          <cell r="Y1584" t="str">
            <v>N</v>
          </cell>
        </row>
        <row r="1585">
          <cell r="A1585">
            <v>7501048695904</v>
          </cell>
          <cell r="V1585" t="str">
            <v>S</v>
          </cell>
          <cell r="Y1585" t="str">
            <v>N</v>
          </cell>
        </row>
        <row r="1586">
          <cell r="A1586">
            <v>7501048696802</v>
          </cell>
          <cell r="V1586" t="str">
            <v>S</v>
          </cell>
          <cell r="Y1586" t="str">
            <v>N</v>
          </cell>
        </row>
        <row r="1587">
          <cell r="A1587">
            <v>7501048695003</v>
          </cell>
          <cell r="V1587" t="str">
            <v>S</v>
          </cell>
          <cell r="Y1587" t="str">
            <v>N</v>
          </cell>
        </row>
        <row r="1588">
          <cell r="A1588">
            <v>7501048695300</v>
          </cell>
          <cell r="V1588" t="str">
            <v>S</v>
          </cell>
          <cell r="Y1588" t="str">
            <v>N</v>
          </cell>
        </row>
        <row r="1589">
          <cell r="A1589">
            <v>7502216804333</v>
          </cell>
          <cell r="V1589" t="str">
            <v>N</v>
          </cell>
          <cell r="Y1589" t="str">
            <v>N</v>
          </cell>
        </row>
        <row r="1590">
          <cell r="A1590">
            <v>7506442703880</v>
          </cell>
          <cell r="V1590" t="str">
            <v>N</v>
          </cell>
          <cell r="Y1590" t="str">
            <v>N</v>
          </cell>
        </row>
        <row r="1591">
          <cell r="A1591">
            <v>7503027446392</v>
          </cell>
          <cell r="V1591" t="str">
            <v>N</v>
          </cell>
          <cell r="Y1591" t="str">
            <v>N</v>
          </cell>
        </row>
        <row r="1592">
          <cell r="A1592">
            <v>7502216809895</v>
          </cell>
          <cell r="V1592" t="str">
            <v>N</v>
          </cell>
          <cell r="Y1592" t="str">
            <v>N</v>
          </cell>
        </row>
        <row r="1593">
          <cell r="A1593" t="str">
            <v>7501095409004CC</v>
          </cell>
          <cell r="V1593" t="str">
            <v>N</v>
          </cell>
          <cell r="Y1593" t="str">
            <v>N</v>
          </cell>
        </row>
        <row r="1594">
          <cell r="A1594" t="str">
            <v>780083139759CC</v>
          </cell>
          <cell r="V1594" t="str">
            <v>N</v>
          </cell>
          <cell r="Y1594" t="str">
            <v>N</v>
          </cell>
        </row>
        <row r="1595">
          <cell r="A1595" t="str">
            <v>7501328979496CC</v>
          </cell>
          <cell r="V1595" t="str">
            <v>N</v>
          </cell>
          <cell r="Y1595" t="str">
            <v>N</v>
          </cell>
        </row>
        <row r="1596">
          <cell r="A1596" t="str">
            <v>785120755046CC</v>
          </cell>
          <cell r="V1596" t="str">
            <v>N</v>
          </cell>
          <cell r="Y1596" t="str">
            <v>N</v>
          </cell>
        </row>
        <row r="1597">
          <cell r="A1597" t="str">
            <v>780083139575CC</v>
          </cell>
          <cell r="V1597" t="str">
            <v>N</v>
          </cell>
          <cell r="Y1597" t="str">
            <v>N</v>
          </cell>
        </row>
        <row r="1598">
          <cell r="A1598" t="str">
            <v>7501058792792CC</v>
          </cell>
          <cell r="V1598" t="str">
            <v>N</v>
          </cell>
          <cell r="Y1598" t="str">
            <v>N</v>
          </cell>
        </row>
        <row r="1599">
          <cell r="A1599" t="str">
            <v>7501326004176CC</v>
          </cell>
          <cell r="V1599" t="str">
            <v>N</v>
          </cell>
          <cell r="Y1599" t="str">
            <v>N</v>
          </cell>
        </row>
        <row r="1600">
          <cell r="A1600" t="str">
            <v>7501298221823CC</v>
          </cell>
          <cell r="V1600" t="str">
            <v>N</v>
          </cell>
          <cell r="Y1600" t="str">
            <v>N</v>
          </cell>
        </row>
        <row r="1601">
          <cell r="A1601" t="str">
            <v>7501070903497CC</v>
          </cell>
          <cell r="V1601" t="str">
            <v>N</v>
          </cell>
          <cell r="Y1601" t="str">
            <v>N</v>
          </cell>
        </row>
        <row r="1602">
          <cell r="A1602" t="str">
            <v>650240013805CC</v>
          </cell>
          <cell r="V1602" t="str">
            <v>N</v>
          </cell>
          <cell r="Y1602" t="str">
            <v>N</v>
          </cell>
        </row>
        <row r="1603">
          <cell r="A1603" t="str">
            <v>7501159580182CC</v>
          </cell>
          <cell r="V1603" t="str">
            <v>N</v>
          </cell>
          <cell r="Y1603" t="str">
            <v>N</v>
          </cell>
        </row>
        <row r="1604">
          <cell r="A1604" t="str">
            <v>7501328980119CC</v>
          </cell>
          <cell r="V1604" t="str">
            <v>N</v>
          </cell>
          <cell r="Y1604" t="str">
            <v>N</v>
          </cell>
        </row>
        <row r="1605">
          <cell r="A1605" t="str">
            <v>650240010712CC</v>
          </cell>
          <cell r="V1605" t="str">
            <v>N</v>
          </cell>
          <cell r="Y1605" t="str">
            <v>N</v>
          </cell>
        </row>
        <row r="1606">
          <cell r="A1606" t="str">
            <v>7501318612655CC</v>
          </cell>
          <cell r="V1606" t="str">
            <v>N</v>
          </cell>
          <cell r="Y1606" t="str">
            <v>N</v>
          </cell>
        </row>
        <row r="1607">
          <cell r="A1607" t="str">
            <v>7501868941007CC</v>
          </cell>
          <cell r="V1607" t="str">
            <v>S</v>
          </cell>
          <cell r="Y1607" t="str">
            <v>N</v>
          </cell>
        </row>
        <row r="1608">
          <cell r="A1608">
            <v>7501125100116</v>
          </cell>
          <cell r="V1608" t="str">
            <v>N</v>
          </cell>
          <cell r="Y1608" t="str">
            <v>N</v>
          </cell>
        </row>
        <row r="1609">
          <cell r="A1609">
            <v>7501052712178</v>
          </cell>
          <cell r="V1609" t="str">
            <v>N</v>
          </cell>
          <cell r="Y1609" t="str">
            <v>N</v>
          </cell>
        </row>
        <row r="1610">
          <cell r="A1610">
            <v>7501384547929</v>
          </cell>
          <cell r="V1610" t="str">
            <v>N</v>
          </cell>
          <cell r="Y1610" t="str">
            <v>N</v>
          </cell>
        </row>
        <row r="1611">
          <cell r="A1611">
            <v>7501384547233</v>
          </cell>
          <cell r="V1611" t="str">
            <v>N</v>
          </cell>
          <cell r="Y1611" t="str">
            <v>N</v>
          </cell>
        </row>
        <row r="1612">
          <cell r="A1612">
            <v>7501070635671</v>
          </cell>
          <cell r="V1612" t="str">
            <v>N</v>
          </cell>
          <cell r="Y1612" t="str">
            <v>N</v>
          </cell>
        </row>
        <row r="1613">
          <cell r="A1613">
            <v>7501125115448</v>
          </cell>
          <cell r="V1613" t="str">
            <v>N</v>
          </cell>
          <cell r="Y1613" t="str">
            <v>N</v>
          </cell>
        </row>
        <row r="1614">
          <cell r="A1614">
            <v>7501287678034</v>
          </cell>
          <cell r="V1614" t="str">
            <v>N</v>
          </cell>
          <cell r="Y1614" t="str">
            <v>N</v>
          </cell>
        </row>
        <row r="1615">
          <cell r="A1615">
            <v>7502321440006</v>
          </cell>
          <cell r="V1615" t="str">
            <v>N</v>
          </cell>
          <cell r="Y1615" t="str">
            <v>N</v>
          </cell>
        </row>
        <row r="1616">
          <cell r="A1616" t="str">
            <v>7501349022515CC</v>
          </cell>
          <cell r="V1616" t="str">
            <v>N</v>
          </cell>
          <cell r="Y1616" t="str">
            <v>N</v>
          </cell>
        </row>
        <row r="1617">
          <cell r="A1617" t="str">
            <v>7501125100130CC</v>
          </cell>
          <cell r="V1617" t="str">
            <v>N</v>
          </cell>
          <cell r="Y1617" t="str">
            <v>N</v>
          </cell>
        </row>
        <row r="1618">
          <cell r="A1618" t="str">
            <v>7503001007137CC</v>
          </cell>
          <cell r="V1618" t="str">
            <v>N</v>
          </cell>
          <cell r="Y1618" t="str">
            <v>N</v>
          </cell>
        </row>
        <row r="1619">
          <cell r="A1619" t="str">
            <v>7501298217659CC</v>
          </cell>
          <cell r="V1619" t="str">
            <v>N</v>
          </cell>
          <cell r="Y1619" t="str">
            <v>N</v>
          </cell>
        </row>
        <row r="1620">
          <cell r="A1620" t="str">
            <v>7503001007090CC</v>
          </cell>
          <cell r="V1620" t="str">
            <v>N</v>
          </cell>
          <cell r="Y1620" t="str">
            <v>N</v>
          </cell>
        </row>
        <row r="1621">
          <cell r="A1621" t="str">
            <v>7502259891468CC</v>
          </cell>
          <cell r="V1621" t="str">
            <v>N</v>
          </cell>
          <cell r="Y1621" t="str">
            <v>N</v>
          </cell>
        </row>
        <row r="1622">
          <cell r="A1622">
            <v>7506022331441</v>
          </cell>
          <cell r="V1622" t="str">
            <v>S</v>
          </cell>
          <cell r="Y1622" t="str">
            <v>N</v>
          </cell>
        </row>
        <row r="1623">
          <cell r="A1623">
            <v>7501563300048</v>
          </cell>
          <cell r="V1623" t="str">
            <v>S</v>
          </cell>
          <cell r="Y1623" t="str">
            <v>N</v>
          </cell>
        </row>
        <row r="1624">
          <cell r="A1624">
            <v>7501349022935</v>
          </cell>
          <cell r="V1624" t="str">
            <v>N</v>
          </cell>
          <cell r="Y1624" t="str">
            <v>N</v>
          </cell>
        </row>
        <row r="1625">
          <cell r="A1625">
            <v>7501300408174</v>
          </cell>
          <cell r="V1625" t="str">
            <v>N</v>
          </cell>
          <cell r="Y1625" t="str">
            <v>N</v>
          </cell>
        </row>
        <row r="1626">
          <cell r="A1626">
            <v>7502208894496</v>
          </cell>
          <cell r="V1626" t="str">
            <v>N</v>
          </cell>
          <cell r="Y1626" t="str">
            <v>N</v>
          </cell>
        </row>
        <row r="1627">
          <cell r="A1627">
            <v>7502208892195</v>
          </cell>
          <cell r="V1627" t="str">
            <v>N</v>
          </cell>
          <cell r="Y1627" t="str">
            <v>N</v>
          </cell>
        </row>
        <row r="1628">
          <cell r="A1628">
            <v>7502208892553</v>
          </cell>
          <cell r="V1628" t="str">
            <v>N</v>
          </cell>
          <cell r="Y1628" t="str">
            <v>N</v>
          </cell>
        </row>
        <row r="1629">
          <cell r="A1629">
            <v>7501537161088</v>
          </cell>
          <cell r="V1629" t="str">
            <v>N</v>
          </cell>
          <cell r="Y1629" t="str">
            <v>N</v>
          </cell>
        </row>
        <row r="1630">
          <cell r="A1630">
            <v>7502208891198</v>
          </cell>
          <cell r="V1630" t="str">
            <v>N</v>
          </cell>
          <cell r="Y1630" t="str">
            <v>N</v>
          </cell>
        </row>
        <row r="1631">
          <cell r="A1631">
            <v>7503027446408</v>
          </cell>
          <cell r="V1631" t="str">
            <v>N</v>
          </cell>
          <cell r="Y1631" t="str">
            <v>N</v>
          </cell>
        </row>
        <row r="1632">
          <cell r="A1632">
            <v>7501052712369</v>
          </cell>
          <cell r="V1632" t="str">
            <v>N</v>
          </cell>
          <cell r="Y1632" t="str">
            <v>N</v>
          </cell>
        </row>
        <row r="1633">
          <cell r="A1633">
            <v>7501537103026</v>
          </cell>
          <cell r="V1633" t="str">
            <v>N</v>
          </cell>
          <cell r="Y1633" t="str">
            <v>N</v>
          </cell>
        </row>
        <row r="1634">
          <cell r="A1634">
            <v>7501008499818</v>
          </cell>
          <cell r="V1634" t="str">
            <v>N</v>
          </cell>
          <cell r="Y1634" t="str">
            <v>N</v>
          </cell>
        </row>
        <row r="1635">
          <cell r="A1635">
            <v>8903726307748</v>
          </cell>
          <cell r="V1635" t="str">
            <v>N</v>
          </cell>
          <cell r="Y1635" t="str">
            <v>N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3482-B22B-4718-961C-CD962B407168}">
  <dimension ref="A1:U69"/>
  <sheetViews>
    <sheetView workbookViewId="0">
      <selection sqref="A1:D1"/>
    </sheetView>
  </sheetViews>
  <sheetFormatPr baseColWidth="10" defaultRowHeight="14.4" x14ac:dyDescent="0.3"/>
  <cols>
    <col min="1" max="1" width="21.109375" style="16" customWidth="1"/>
    <col min="2" max="2" width="70" bestFit="1" customWidth="1"/>
    <col min="3" max="3" width="10.88671875" customWidth="1"/>
    <col min="4" max="4" width="11.44140625" customWidth="1"/>
    <col min="5" max="9" width="17.44140625" style="13" customWidth="1"/>
    <col min="10" max="11" width="11.44140625" style="16"/>
    <col min="12" max="12" width="18.33203125" style="16" customWidth="1"/>
    <col min="13" max="13" width="13.44140625" style="16" customWidth="1"/>
    <col min="14" max="14" width="15.33203125" style="16" customWidth="1"/>
    <col min="15" max="15" width="13.33203125" customWidth="1"/>
    <col min="19" max="19" width="47.6640625" style="20" bestFit="1" customWidth="1"/>
    <col min="20" max="20" width="33.88671875" style="20" bestFit="1" customWidth="1"/>
    <col min="21" max="21" width="19" style="20" bestFit="1" customWidth="1"/>
  </cols>
  <sheetData>
    <row r="1" spans="1:21" ht="51.75" customHeight="1" x14ac:dyDescent="0.3">
      <c r="A1" s="15"/>
      <c r="B1" s="87" t="s">
        <v>0</v>
      </c>
      <c r="C1" s="87"/>
      <c r="D1" s="87"/>
      <c r="E1" s="22" t="s">
        <v>1</v>
      </c>
      <c r="F1" s="21"/>
      <c r="G1" s="3" t="s">
        <v>2</v>
      </c>
      <c r="H1" s="26"/>
      <c r="I1" s="3" t="s">
        <v>3</v>
      </c>
      <c r="J1" s="21"/>
      <c r="K1" s="2"/>
      <c r="O1" s="5"/>
    </row>
    <row r="2" spans="1:21" ht="28.2" x14ac:dyDescent="0.3">
      <c r="A2" s="17" t="s">
        <v>4</v>
      </c>
      <c r="B2" s="88"/>
      <c r="C2" s="88"/>
      <c r="D2" s="88"/>
      <c r="E2" s="1" t="s">
        <v>5</v>
      </c>
      <c r="F2" s="19"/>
      <c r="G2" s="3" t="s">
        <v>6</v>
      </c>
      <c r="H2" s="26"/>
      <c r="I2" s="3" t="s">
        <v>7</v>
      </c>
      <c r="J2" s="4"/>
      <c r="K2"/>
      <c r="O2" s="4"/>
    </row>
    <row r="3" spans="1:21" x14ac:dyDescent="0.3">
      <c r="A3" s="17"/>
      <c r="B3" s="6"/>
      <c r="C3" s="6"/>
      <c r="D3" s="6"/>
      <c r="E3" s="1"/>
      <c r="F3" s="1"/>
      <c r="G3" s="1"/>
      <c r="H3" s="1"/>
      <c r="I3" s="1"/>
      <c r="J3" s="89" t="s">
        <v>1581</v>
      </c>
      <c r="K3" s="89"/>
      <c r="L3" s="89"/>
      <c r="M3" s="89"/>
      <c r="N3" s="89"/>
      <c r="O3" s="4"/>
    </row>
    <row r="4" spans="1:21" ht="28.8" thickBot="1" x14ac:dyDescent="0.35">
      <c r="A4" s="23" t="s">
        <v>8</v>
      </c>
      <c r="B4" s="24" t="s">
        <v>9</v>
      </c>
      <c r="C4" s="24" t="s">
        <v>10</v>
      </c>
      <c r="D4" s="25" t="s">
        <v>1579</v>
      </c>
      <c r="E4" s="7" t="s">
        <v>11</v>
      </c>
      <c r="F4" s="8" t="s">
        <v>12</v>
      </c>
      <c r="G4" s="7" t="s">
        <v>1578</v>
      </c>
      <c r="H4" s="7" t="s">
        <v>1580</v>
      </c>
      <c r="I4" s="7" t="s">
        <v>1578</v>
      </c>
      <c r="J4" s="27" t="s">
        <v>13</v>
      </c>
      <c r="K4" s="27" t="s">
        <v>14</v>
      </c>
      <c r="L4" s="27" t="s">
        <v>15</v>
      </c>
      <c r="M4" s="27" t="s">
        <v>16</v>
      </c>
      <c r="N4" s="27" t="s">
        <v>17</v>
      </c>
      <c r="S4" s="20" t="s">
        <v>1582</v>
      </c>
      <c r="T4" s="20" t="s">
        <v>1648</v>
      </c>
      <c r="U4" s="20" t="s">
        <v>1604</v>
      </c>
    </row>
    <row r="5" spans="1:21" ht="15" thickBot="1" x14ac:dyDescent="0.35">
      <c r="A5" s="18"/>
      <c r="B5" s="14"/>
      <c r="C5" s="11"/>
      <c r="D5">
        <f>E5/G5</f>
        <v>0</v>
      </c>
      <c r="E5"/>
      <c r="F5" s="12">
        <f>C5*E5</f>
        <v>0</v>
      </c>
      <c r="G5">
        <f>IF(_xlfn.XLOOKUP(A5,MACHOTE!A:A,MACHOTE!V:V,0,0)="S",1.16,IF(_xlfn.XLOOKUP(A5,MACHOTE!A:A,MACHOTE!Y:Y,0,0)="S",1.08,1))</f>
        <v>1</v>
      </c>
      <c r="H5">
        <f>D5*C5</f>
        <v>0</v>
      </c>
      <c r="I5" s="13">
        <f>F5-H5</f>
        <v>0</v>
      </c>
      <c r="J5" s="15"/>
      <c r="K5" s="15"/>
      <c r="L5" s="15"/>
      <c r="M5" s="15"/>
      <c r="S5" s="20" t="s">
        <v>1583</v>
      </c>
      <c r="T5" s="20" t="s">
        <v>1649</v>
      </c>
      <c r="U5" s="20" t="s">
        <v>1617</v>
      </c>
    </row>
    <row r="6" spans="1:21" ht="15" thickBot="1" x14ac:dyDescent="0.35">
      <c r="A6" s="9"/>
      <c r="B6" s="10"/>
      <c r="C6" s="11"/>
      <c r="D6" s="12"/>
      <c r="E6"/>
      <c r="F6" s="12"/>
      <c r="G6" s="12"/>
      <c r="H6" s="12"/>
      <c r="I6" s="12"/>
      <c r="J6" s="15"/>
      <c r="K6" s="15"/>
      <c r="L6" s="15"/>
      <c r="M6" s="15"/>
      <c r="S6" s="20" t="s">
        <v>1584</v>
      </c>
      <c r="T6" s="20" t="s">
        <v>1650</v>
      </c>
      <c r="U6" s="20" t="s">
        <v>1618</v>
      </c>
    </row>
    <row r="7" spans="1:21" ht="15" thickBot="1" x14ac:dyDescent="0.35">
      <c r="A7" s="9"/>
      <c r="B7" s="10"/>
      <c r="C7" s="11"/>
      <c r="D7" s="12"/>
      <c r="E7"/>
      <c r="F7" s="12"/>
      <c r="G7" s="12"/>
      <c r="H7" s="12"/>
      <c r="I7" s="12"/>
      <c r="J7" s="15"/>
      <c r="K7" s="15"/>
      <c r="L7" s="15"/>
      <c r="M7" s="15"/>
      <c r="S7" s="20" t="s">
        <v>1585</v>
      </c>
      <c r="T7" s="20" t="s">
        <v>1651</v>
      </c>
      <c r="U7" s="20" t="s">
        <v>1619</v>
      </c>
    </row>
    <row r="8" spans="1:21" ht="15" thickBot="1" x14ac:dyDescent="0.35">
      <c r="A8" s="9"/>
      <c r="B8" s="10"/>
      <c r="C8" s="11"/>
      <c r="D8" s="12"/>
      <c r="E8"/>
      <c r="F8" s="12"/>
      <c r="G8" s="12"/>
      <c r="H8" s="12"/>
      <c r="I8" s="12"/>
      <c r="J8" s="15"/>
      <c r="K8" s="15"/>
      <c r="L8" s="15"/>
      <c r="M8" s="15"/>
      <c r="S8" s="20" t="s">
        <v>1586</v>
      </c>
      <c r="T8" s="20" t="s">
        <v>1652</v>
      </c>
      <c r="U8" s="20" t="s">
        <v>1638</v>
      </c>
    </row>
    <row r="9" spans="1:21" ht="15" thickBot="1" x14ac:dyDescent="0.35">
      <c r="A9" s="9"/>
      <c r="B9" s="10"/>
      <c r="C9" s="11"/>
      <c r="D9" s="12"/>
      <c r="E9"/>
      <c r="F9" s="12"/>
      <c r="G9" s="12"/>
      <c r="H9" s="12"/>
      <c r="I9" s="12"/>
      <c r="J9" s="15"/>
      <c r="K9" s="15"/>
      <c r="L9" s="15"/>
      <c r="M9" s="15"/>
      <c r="S9" s="20" t="s">
        <v>1587</v>
      </c>
      <c r="T9" s="20" t="s">
        <v>1653</v>
      </c>
      <c r="U9" s="20" t="s">
        <v>1661</v>
      </c>
    </row>
    <row r="10" spans="1:21" ht="15" thickBot="1" x14ac:dyDescent="0.35">
      <c r="A10" s="9"/>
      <c r="B10" s="10"/>
      <c r="C10" s="11"/>
      <c r="D10" s="12"/>
      <c r="E10"/>
      <c r="F10" s="12"/>
      <c r="G10" s="12"/>
      <c r="H10" s="12"/>
      <c r="I10" s="12"/>
      <c r="J10" s="15"/>
      <c r="K10" s="15"/>
      <c r="L10" s="15"/>
      <c r="M10" s="15"/>
      <c r="S10" s="20" t="s">
        <v>1588</v>
      </c>
      <c r="T10" s="20" t="s">
        <v>1654</v>
      </c>
      <c r="U10" s="20" t="s">
        <v>1662</v>
      </c>
    </row>
    <row r="11" spans="1:21" ht="15" thickBot="1" x14ac:dyDescent="0.35">
      <c r="A11" s="9"/>
      <c r="B11" s="10"/>
      <c r="C11" s="11"/>
      <c r="D11" s="12"/>
      <c r="E11"/>
      <c r="F11" s="12"/>
      <c r="G11" s="12"/>
      <c r="H11" s="12"/>
      <c r="I11" s="12"/>
      <c r="J11" s="15"/>
      <c r="K11" s="15"/>
      <c r="L11" s="15"/>
      <c r="M11" s="15"/>
      <c r="S11" s="20" t="s">
        <v>1589</v>
      </c>
      <c r="T11" s="20" t="s">
        <v>1655</v>
      </c>
    </row>
    <row r="12" spans="1:21" ht="15" thickBot="1" x14ac:dyDescent="0.35">
      <c r="A12" s="9"/>
      <c r="B12" s="10"/>
      <c r="C12" s="11"/>
      <c r="D12" s="12"/>
      <c r="E12"/>
      <c r="F12" s="12"/>
      <c r="G12" s="12"/>
      <c r="H12" s="12"/>
      <c r="I12" s="12"/>
      <c r="J12" s="15"/>
      <c r="K12" s="15"/>
      <c r="L12" s="15"/>
      <c r="M12" s="15"/>
      <c r="S12" s="20" t="s">
        <v>1590</v>
      </c>
      <c r="T12" s="20" t="s">
        <v>1656</v>
      </c>
    </row>
    <row r="13" spans="1:21" ht="15" thickBot="1" x14ac:dyDescent="0.35">
      <c r="A13" s="9"/>
      <c r="B13" s="10"/>
      <c r="C13" s="11"/>
      <c r="D13" s="12"/>
      <c r="E13"/>
      <c r="F13" s="12"/>
      <c r="G13" s="12"/>
      <c r="H13" s="12"/>
      <c r="I13" s="12"/>
      <c r="J13" s="15"/>
      <c r="K13" s="15"/>
      <c r="L13" s="15"/>
      <c r="M13" s="15"/>
      <c r="S13" s="20" t="s">
        <v>1591</v>
      </c>
      <c r="T13" s="20" t="s">
        <v>1657</v>
      </c>
    </row>
    <row r="14" spans="1:21" ht="15" thickBot="1" x14ac:dyDescent="0.35">
      <c r="A14" s="9"/>
      <c r="B14" s="10"/>
      <c r="C14" s="11"/>
      <c r="D14" s="12"/>
      <c r="E14"/>
      <c r="F14" s="12"/>
      <c r="G14" s="12"/>
      <c r="H14" s="12"/>
      <c r="I14" s="12"/>
      <c r="J14" s="15"/>
      <c r="K14" s="15"/>
      <c r="L14" s="15"/>
      <c r="M14" s="15"/>
      <c r="S14" s="20" t="s">
        <v>1592</v>
      </c>
      <c r="T14" s="20" t="s">
        <v>1658</v>
      </c>
    </row>
    <row r="15" spans="1:21" ht="15" thickBot="1" x14ac:dyDescent="0.35">
      <c r="A15" s="9"/>
      <c r="B15" s="10"/>
      <c r="C15" s="11"/>
      <c r="D15" s="12"/>
      <c r="E15"/>
      <c r="F15" s="12"/>
      <c r="G15" s="12"/>
      <c r="H15" s="12"/>
      <c r="I15" s="12"/>
      <c r="J15" s="15"/>
      <c r="K15" s="15"/>
      <c r="L15" s="15"/>
      <c r="M15" s="15"/>
      <c r="S15" s="20" t="s">
        <v>1593</v>
      </c>
      <c r="T15" s="20" t="s">
        <v>1659</v>
      </c>
    </row>
    <row r="16" spans="1:21" ht="15" thickBot="1" x14ac:dyDescent="0.35">
      <c r="A16" s="9"/>
      <c r="B16" s="10"/>
      <c r="C16" s="11"/>
      <c r="D16" s="12"/>
      <c r="E16"/>
      <c r="F16" s="12"/>
      <c r="G16" s="12"/>
      <c r="H16" s="12"/>
      <c r="I16" s="12"/>
      <c r="J16" s="15"/>
      <c r="K16" s="15"/>
      <c r="L16" s="15"/>
      <c r="M16" s="15"/>
      <c r="S16" s="20" t="s">
        <v>1594</v>
      </c>
      <c r="T16" s="20" t="s">
        <v>1660</v>
      </c>
    </row>
    <row r="17" spans="1:19" ht="15" thickBot="1" x14ac:dyDescent="0.35">
      <c r="A17" s="9"/>
      <c r="B17" s="10"/>
      <c r="C17" s="11"/>
      <c r="D17" s="12"/>
      <c r="E17"/>
      <c r="F17" s="12"/>
      <c r="G17" s="12"/>
      <c r="H17" s="12"/>
      <c r="I17" s="12"/>
      <c r="J17" s="15"/>
      <c r="K17" s="15"/>
      <c r="L17" s="15"/>
      <c r="M17" s="15"/>
      <c r="S17" s="20" t="s">
        <v>1595</v>
      </c>
    </row>
    <row r="18" spans="1:19" x14ac:dyDescent="0.3">
      <c r="D18" s="12"/>
      <c r="E18"/>
      <c r="F18" s="12"/>
      <c r="G18" s="12"/>
      <c r="H18" s="12"/>
      <c r="I18" s="12"/>
      <c r="J18" s="15"/>
      <c r="K18" s="15"/>
      <c r="L18" s="15"/>
      <c r="M18" s="15"/>
      <c r="S18" s="20" t="s">
        <v>1596</v>
      </c>
    </row>
    <row r="19" spans="1:19" x14ac:dyDescent="0.3">
      <c r="D19" s="13"/>
      <c r="E19"/>
      <c r="J19" s="15"/>
      <c r="K19" s="15"/>
      <c r="L19" s="15"/>
      <c r="M19" s="15"/>
      <c r="S19" s="20" t="s">
        <v>1597</v>
      </c>
    </row>
    <row r="20" spans="1:19" x14ac:dyDescent="0.3">
      <c r="D20" s="13"/>
      <c r="E20"/>
      <c r="J20" s="15"/>
      <c r="K20" s="15"/>
      <c r="L20" s="15"/>
      <c r="M20" s="15"/>
      <c r="S20" s="20" t="s">
        <v>1598</v>
      </c>
    </row>
    <row r="21" spans="1:19" x14ac:dyDescent="0.3">
      <c r="D21" s="13"/>
      <c r="E21"/>
      <c r="S21" s="20" t="s">
        <v>1599</v>
      </c>
    </row>
    <row r="22" spans="1:19" x14ac:dyDescent="0.3">
      <c r="D22" s="13"/>
      <c r="E22"/>
      <c r="S22" s="20" t="s">
        <v>1600</v>
      </c>
    </row>
    <row r="23" spans="1:19" x14ac:dyDescent="0.3">
      <c r="D23" s="13"/>
      <c r="E23"/>
      <c r="S23" s="20" t="s">
        <v>1601</v>
      </c>
    </row>
    <row r="24" spans="1:19" x14ac:dyDescent="0.3">
      <c r="S24" s="20" t="s">
        <v>1602</v>
      </c>
    </row>
    <row r="25" spans="1:19" x14ac:dyDescent="0.3">
      <c r="S25" s="20" t="s">
        <v>1603</v>
      </c>
    </row>
    <row r="26" spans="1:19" x14ac:dyDescent="0.3">
      <c r="S26" s="20" t="s">
        <v>1604</v>
      </c>
    </row>
    <row r="27" spans="1:19" x14ac:dyDescent="0.3">
      <c r="S27" s="20" t="s">
        <v>1605</v>
      </c>
    </row>
    <row r="28" spans="1:19" x14ac:dyDescent="0.3">
      <c r="S28" s="20" t="s">
        <v>1606</v>
      </c>
    </row>
    <row r="29" spans="1:19" x14ac:dyDescent="0.3">
      <c r="S29" s="20" t="s">
        <v>1607</v>
      </c>
    </row>
    <row r="30" spans="1:19" x14ac:dyDescent="0.3">
      <c r="S30" s="20" t="s">
        <v>1608</v>
      </c>
    </row>
    <row r="31" spans="1:19" x14ac:dyDescent="0.3">
      <c r="S31" s="20" t="s">
        <v>1609</v>
      </c>
    </row>
    <row r="32" spans="1:19" x14ac:dyDescent="0.3">
      <c r="S32" s="20" t="s">
        <v>1610</v>
      </c>
    </row>
    <row r="33" spans="19:19" x14ac:dyDescent="0.3">
      <c r="S33" s="20" t="s">
        <v>1611</v>
      </c>
    </row>
    <row r="34" spans="19:19" x14ac:dyDescent="0.3">
      <c r="S34" s="20" t="s">
        <v>1612</v>
      </c>
    </row>
    <row r="35" spans="19:19" x14ac:dyDescent="0.3">
      <c r="S35" s="20" t="s">
        <v>1613</v>
      </c>
    </row>
    <row r="36" spans="19:19" x14ac:dyDescent="0.3">
      <c r="S36" s="20" t="s">
        <v>1614</v>
      </c>
    </row>
    <row r="37" spans="19:19" x14ac:dyDescent="0.3">
      <c r="S37" s="20" t="s">
        <v>1615</v>
      </c>
    </row>
    <row r="38" spans="19:19" x14ac:dyDescent="0.3">
      <c r="S38" s="20" t="s">
        <v>1616</v>
      </c>
    </row>
    <row r="39" spans="19:19" x14ac:dyDescent="0.3">
      <c r="S39" s="20" t="s">
        <v>1617</v>
      </c>
    </row>
    <row r="40" spans="19:19" x14ac:dyDescent="0.3">
      <c r="S40" s="20" t="s">
        <v>1618</v>
      </c>
    </row>
    <row r="41" spans="19:19" x14ac:dyDescent="0.3">
      <c r="S41" s="20" t="s">
        <v>1619</v>
      </c>
    </row>
    <row r="42" spans="19:19" x14ac:dyDescent="0.3">
      <c r="S42" s="20" t="s">
        <v>1620</v>
      </c>
    </row>
    <row r="43" spans="19:19" x14ac:dyDescent="0.3">
      <c r="S43" s="20" t="s">
        <v>1621</v>
      </c>
    </row>
    <row r="44" spans="19:19" x14ac:dyDescent="0.3">
      <c r="S44" s="20" t="s">
        <v>1622</v>
      </c>
    </row>
    <row r="45" spans="19:19" x14ac:dyDescent="0.3">
      <c r="S45" s="20" t="s">
        <v>1623</v>
      </c>
    </row>
    <row r="46" spans="19:19" x14ac:dyDescent="0.3">
      <c r="S46" s="20" t="s">
        <v>1624</v>
      </c>
    </row>
    <row r="47" spans="19:19" x14ac:dyDescent="0.3">
      <c r="S47" s="20" t="s">
        <v>1625</v>
      </c>
    </row>
    <row r="48" spans="19:19" x14ac:dyDescent="0.3">
      <c r="S48" s="20" t="s">
        <v>1626</v>
      </c>
    </row>
    <row r="49" spans="19:19" x14ac:dyDescent="0.3">
      <c r="S49" s="20" t="s">
        <v>1627</v>
      </c>
    </row>
    <row r="50" spans="19:19" x14ac:dyDescent="0.3">
      <c r="S50" s="20" t="s">
        <v>1628</v>
      </c>
    </row>
    <row r="51" spans="19:19" x14ac:dyDescent="0.3">
      <c r="S51" s="20" t="s">
        <v>1629</v>
      </c>
    </row>
    <row r="52" spans="19:19" x14ac:dyDescent="0.3">
      <c r="S52" s="20" t="s">
        <v>1630</v>
      </c>
    </row>
    <row r="53" spans="19:19" x14ac:dyDescent="0.3">
      <c r="S53" s="20" t="s">
        <v>1631</v>
      </c>
    </row>
    <row r="54" spans="19:19" x14ac:dyDescent="0.3">
      <c r="S54" s="20" t="s">
        <v>1632</v>
      </c>
    </row>
    <row r="55" spans="19:19" x14ac:dyDescent="0.3">
      <c r="S55" s="20" t="s">
        <v>1633</v>
      </c>
    </row>
    <row r="56" spans="19:19" x14ac:dyDescent="0.3">
      <c r="S56" s="20" t="s">
        <v>1634</v>
      </c>
    </row>
    <row r="57" spans="19:19" x14ac:dyDescent="0.3">
      <c r="S57" s="20" t="s">
        <v>1635</v>
      </c>
    </row>
    <row r="58" spans="19:19" x14ac:dyDescent="0.3">
      <c r="S58" s="20" t="s">
        <v>1636</v>
      </c>
    </row>
    <row r="59" spans="19:19" x14ac:dyDescent="0.3">
      <c r="S59" s="20" t="s">
        <v>1637</v>
      </c>
    </row>
    <row r="60" spans="19:19" x14ac:dyDescent="0.3">
      <c r="S60" s="20" t="s">
        <v>1638</v>
      </c>
    </row>
    <row r="61" spans="19:19" x14ac:dyDescent="0.3">
      <c r="S61" s="20" t="s">
        <v>1639</v>
      </c>
    </row>
    <row r="62" spans="19:19" x14ac:dyDescent="0.3">
      <c r="S62" s="20" t="s">
        <v>1640</v>
      </c>
    </row>
    <row r="63" spans="19:19" x14ac:dyDescent="0.3">
      <c r="S63" s="20" t="s">
        <v>1641</v>
      </c>
    </row>
    <row r="64" spans="19:19" x14ac:dyDescent="0.3">
      <c r="S64" s="20" t="s">
        <v>1642</v>
      </c>
    </row>
    <row r="65" spans="19:19" x14ac:dyDescent="0.3">
      <c r="S65" s="20" t="s">
        <v>1643</v>
      </c>
    </row>
    <row r="66" spans="19:19" x14ac:dyDescent="0.3">
      <c r="S66" s="20" t="s">
        <v>1644</v>
      </c>
    </row>
    <row r="67" spans="19:19" x14ac:dyDescent="0.3">
      <c r="S67" s="20" t="s">
        <v>1645</v>
      </c>
    </row>
    <row r="68" spans="19:19" x14ac:dyDescent="0.3">
      <c r="S68" s="20" t="s">
        <v>1646</v>
      </c>
    </row>
    <row r="69" spans="19:19" x14ac:dyDescent="0.3">
      <c r="S69" s="20" t="s">
        <v>1647</v>
      </c>
    </row>
  </sheetData>
  <mergeCells count="3">
    <mergeCell ref="B1:D1"/>
    <mergeCell ref="B2:D2"/>
    <mergeCell ref="J3:N3"/>
  </mergeCells>
  <dataValidations count="3">
    <dataValidation type="list" allowBlank="1" showInputMessage="1" showErrorMessage="1" sqref="H1" xr:uid="{5C9CAE51-4E9F-47DB-B339-25A0AC45B55F}">
      <formula1>$T$4:$T$16</formula1>
    </dataValidation>
    <dataValidation type="list" allowBlank="1" showInputMessage="1" showErrorMessage="1" sqref="J1" xr:uid="{C44D6A73-5C75-4475-9524-E8BEE4E57471}">
      <formula1>$U$4:$U$10</formula1>
    </dataValidation>
    <dataValidation type="list" allowBlank="1" showInputMessage="1" showErrorMessage="1" sqref="B2:D2" xr:uid="{C9D10E5A-4A3E-481E-8E9D-B22B86088B68}">
      <formula1>$S$4:$S$69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895B-9649-474F-867B-DF0FACC1940E}">
  <sheetPr>
    <pageSetUpPr fitToPage="1"/>
  </sheetPr>
  <dimension ref="A1:U77"/>
  <sheetViews>
    <sheetView tabSelected="1" zoomScale="80" zoomScaleNormal="80" workbookViewId="0">
      <selection activeCell="B3" sqref="B3:B8"/>
    </sheetView>
  </sheetViews>
  <sheetFormatPr baseColWidth="10" defaultColWidth="11.44140625" defaultRowHeight="14.4" x14ac:dyDescent="0.3"/>
  <cols>
    <col min="1" max="1" width="31" style="29" bestFit="1" customWidth="1"/>
    <col min="2" max="2" width="76.6640625" style="29" customWidth="1"/>
    <col min="3" max="4" width="11.44140625" style="29"/>
    <col min="5" max="5" width="17.109375" style="61" customWidth="1"/>
    <col min="6" max="6" width="12" style="29" bestFit="1" customWidth="1"/>
    <col min="7" max="10" width="11.44140625" style="29"/>
    <col min="11" max="11" width="7.109375" style="29" customWidth="1"/>
    <col min="12" max="16" width="11.44140625" style="29"/>
    <col min="17" max="18" width="11.44140625" style="78"/>
    <col min="19" max="19" width="12.6640625" style="55" customWidth="1"/>
    <col min="20" max="20" width="11.44140625" style="80"/>
    <col min="21" max="16384" width="11.44140625" style="29"/>
  </cols>
  <sheetData>
    <row r="1" spans="1:21" ht="69" customHeight="1" thickBot="1" x14ac:dyDescent="0.35">
      <c r="A1" s="15"/>
      <c r="B1" s="32" t="s">
        <v>0</v>
      </c>
      <c r="C1" s="32"/>
      <c r="D1" s="32"/>
      <c r="E1" s="60"/>
      <c r="F1" s="36"/>
      <c r="G1" s="36"/>
    </row>
    <row r="2" spans="1:21" ht="15" thickBot="1" x14ac:dyDescent="0.35">
      <c r="A2" s="28" t="s">
        <v>4</v>
      </c>
      <c r="B2" s="90"/>
      <c r="C2" s="91"/>
      <c r="D2" s="92"/>
    </row>
    <row r="3" spans="1:21" ht="15" thickBot="1" x14ac:dyDescent="0.35">
      <c r="A3" s="30" t="s">
        <v>1</v>
      </c>
      <c r="B3" s="51"/>
      <c r="C3" s="47"/>
      <c r="D3" s="47"/>
    </row>
    <row r="4" spans="1:21" ht="15" thickBot="1" x14ac:dyDescent="0.35">
      <c r="A4" s="28" t="s">
        <v>2</v>
      </c>
      <c r="B4" s="52"/>
      <c r="C4" s="47"/>
      <c r="D4" s="47"/>
    </row>
    <row r="5" spans="1:21" ht="15" thickBot="1" x14ac:dyDescent="0.35">
      <c r="A5" s="28" t="s">
        <v>6</v>
      </c>
      <c r="B5" s="52"/>
      <c r="C5" s="47"/>
      <c r="D5" s="53"/>
    </row>
    <row r="6" spans="1:21" ht="15" thickBot="1" x14ac:dyDescent="0.35">
      <c r="A6" s="28" t="s">
        <v>3</v>
      </c>
      <c r="B6" s="52"/>
      <c r="C6" s="47"/>
      <c r="D6" s="47"/>
      <c r="S6" s="56" t="s">
        <v>4530</v>
      </c>
    </row>
    <row r="7" spans="1:21" x14ac:dyDescent="0.3">
      <c r="A7" s="45" t="s">
        <v>1792</v>
      </c>
      <c r="B7" s="46"/>
      <c r="C7" s="47"/>
      <c r="D7" s="47"/>
      <c r="S7" s="55" t="s">
        <v>4529</v>
      </c>
    </row>
    <row r="8" spans="1:21" x14ac:dyDescent="0.3">
      <c r="A8" s="48" t="s">
        <v>1794</v>
      </c>
      <c r="B8" s="46"/>
      <c r="D8" s="6"/>
      <c r="E8" s="62"/>
      <c r="F8" s="1"/>
      <c r="G8" s="1"/>
      <c r="H8" s="1"/>
      <c r="I8" s="1"/>
      <c r="J8" s="89" t="s">
        <v>1581</v>
      </c>
      <c r="K8" s="89"/>
      <c r="L8" s="89"/>
      <c r="M8" s="89"/>
      <c r="N8" s="89"/>
      <c r="S8" s="55" t="s">
        <v>4528</v>
      </c>
    </row>
    <row r="9" spans="1:21" s="70" customFormat="1" ht="29.4" thickBot="1" x14ac:dyDescent="0.35">
      <c r="A9" s="66" t="s">
        <v>8</v>
      </c>
      <c r="B9" s="65" t="s">
        <v>9</v>
      </c>
      <c r="C9" s="65" t="s">
        <v>10</v>
      </c>
      <c r="D9" s="65" t="s">
        <v>1579</v>
      </c>
      <c r="E9" s="67" t="s">
        <v>1795</v>
      </c>
      <c r="F9" s="68" t="s">
        <v>12</v>
      </c>
      <c r="G9" s="75" t="s">
        <v>1578</v>
      </c>
      <c r="H9" s="74" t="s">
        <v>1580</v>
      </c>
      <c r="I9" s="75" t="s">
        <v>1578</v>
      </c>
      <c r="J9" s="69" t="s">
        <v>13</v>
      </c>
      <c r="K9" s="69" t="s">
        <v>14</v>
      </c>
      <c r="L9" s="69" t="s">
        <v>15</v>
      </c>
      <c r="M9" s="69" t="s">
        <v>16</v>
      </c>
      <c r="N9" s="69" t="s">
        <v>17</v>
      </c>
      <c r="P9" s="71" t="s">
        <v>1791</v>
      </c>
      <c r="Q9" s="79"/>
      <c r="R9" s="79"/>
      <c r="S9" s="72" t="s">
        <v>1582</v>
      </c>
      <c r="T9" s="73" t="s">
        <v>1648</v>
      </c>
      <c r="U9" s="73" t="s">
        <v>1604</v>
      </c>
    </row>
    <row r="10" spans="1:21" ht="15" thickBot="1" x14ac:dyDescent="0.35">
      <c r="A10" s="35"/>
      <c r="B10" s="85"/>
      <c r="C10" s="64"/>
      <c r="D10" s="54">
        <f>E10/G10</f>
        <v>0</v>
      </c>
      <c r="E10" s="83"/>
      <c r="F10" s="12">
        <f>C10*E10</f>
        <v>0</v>
      </c>
      <c r="G10">
        <f>IF(_xlfn.XLOOKUP(A10,MACHOTE!A:A,MACHOTE!V:V,0,0)="S",1.16,IF(_xlfn.XLOOKUP(A10,MACHOTE!A:A,MACHOTE!Y:Y,0,0)="S",1.08,1))</f>
        <v>1</v>
      </c>
      <c r="H10">
        <f>D10*C10</f>
        <v>0</v>
      </c>
      <c r="I10" s="13">
        <f>F10-H10</f>
        <v>0</v>
      </c>
      <c r="J10" s="57"/>
      <c r="K10" s="57"/>
      <c r="L10" s="64"/>
      <c r="M10" s="64"/>
      <c r="N10" s="64"/>
      <c r="S10" s="55" t="s">
        <v>1583</v>
      </c>
      <c r="T10" s="20" t="s">
        <v>1649</v>
      </c>
      <c r="U10" s="20" t="s">
        <v>1617</v>
      </c>
    </row>
    <row r="11" spans="1:21" ht="15" thickBot="1" x14ac:dyDescent="0.35">
      <c r="A11" s="35"/>
      <c r="B11" s="85"/>
      <c r="C11" s="57"/>
      <c r="D11" s="54">
        <f>E11/G11</f>
        <v>0</v>
      </c>
      <c r="E11" s="83"/>
      <c r="F11" s="12">
        <f>C11*E11</f>
        <v>0</v>
      </c>
      <c r="G11" s="86">
        <f>IF(_xlfn.XLOOKUP(A11,MACHOTE!A:A,MACHOTE!V:V,0,0)="S",1.16,IF(_xlfn.XLOOKUP(A11,MACHOTE!A:A,MACHOTE!Y:Y,0,0)="S",1.08,1))</f>
        <v>1</v>
      </c>
      <c r="H11" s="86">
        <f>D11*C11</f>
        <v>0</v>
      </c>
      <c r="I11" s="13">
        <f>F11-H11</f>
        <v>0</v>
      </c>
      <c r="J11" s="57"/>
      <c r="K11" s="57"/>
      <c r="L11" s="59"/>
      <c r="M11" s="59"/>
      <c r="N11" s="59"/>
      <c r="S11" s="55" t="s">
        <v>1793</v>
      </c>
      <c r="T11" s="20" t="s">
        <v>1650</v>
      </c>
      <c r="U11" s="20" t="s">
        <v>1618</v>
      </c>
    </row>
    <row r="12" spans="1:21" ht="15" thickBot="1" x14ac:dyDescent="0.35">
      <c r="A12" s="35"/>
      <c r="B12" s="82"/>
      <c r="C12" s="57"/>
      <c r="D12" s="54"/>
      <c r="E12" s="83"/>
      <c r="F12" s="12"/>
      <c r="G12" s="31"/>
      <c r="H12" s="31"/>
      <c r="I12" s="13"/>
      <c r="J12" s="57"/>
      <c r="K12" s="57"/>
      <c r="L12" s="59"/>
      <c r="M12" s="59"/>
      <c r="N12" s="59"/>
      <c r="S12" s="55" t="s">
        <v>1585</v>
      </c>
      <c r="T12" s="20" t="s">
        <v>1651</v>
      </c>
      <c r="U12" s="20" t="s">
        <v>1619</v>
      </c>
    </row>
    <row r="13" spans="1:21" ht="15" thickBot="1" x14ac:dyDescent="0.35">
      <c r="A13" s="35"/>
      <c r="B13" s="77"/>
      <c r="C13" s="57"/>
      <c r="D13" s="54"/>
      <c r="E13" s="83"/>
      <c r="F13" s="12"/>
      <c r="G13" s="31"/>
      <c r="H13" s="31"/>
      <c r="I13" s="13"/>
      <c r="J13" s="34"/>
      <c r="K13" s="57"/>
      <c r="L13" s="34"/>
      <c r="M13" s="34"/>
      <c r="N13" s="34"/>
      <c r="S13" s="55" t="s">
        <v>1586</v>
      </c>
      <c r="T13" s="20" t="s">
        <v>1652</v>
      </c>
      <c r="U13" s="20" t="s">
        <v>1638</v>
      </c>
    </row>
    <row r="14" spans="1:21" ht="15" thickBot="1" x14ac:dyDescent="0.35">
      <c r="A14" s="35"/>
      <c r="B14" s="77"/>
      <c r="C14" s="57"/>
      <c r="D14" s="54"/>
      <c r="E14" s="83"/>
      <c r="F14" s="12"/>
      <c r="G14" s="31"/>
      <c r="H14" s="31"/>
      <c r="I14" s="13"/>
      <c r="J14" s="33"/>
      <c r="K14" s="33"/>
      <c r="L14" s="33"/>
      <c r="S14" s="55" t="s">
        <v>1587</v>
      </c>
      <c r="T14" s="20" t="s">
        <v>1653</v>
      </c>
      <c r="U14" s="20" t="s">
        <v>1661</v>
      </c>
    </row>
    <row r="15" spans="1:21" ht="15" thickBot="1" x14ac:dyDescent="0.35">
      <c r="A15" s="35"/>
      <c r="B15" s="77"/>
      <c r="C15" s="57"/>
      <c r="D15" s="54"/>
      <c r="E15" s="83"/>
      <c r="F15" s="12"/>
      <c r="G15" s="31"/>
      <c r="H15" s="31"/>
      <c r="I15" s="13"/>
      <c r="S15" s="55" t="s">
        <v>1588</v>
      </c>
      <c r="T15" s="20" t="s">
        <v>1654</v>
      </c>
      <c r="U15" s="20" t="s">
        <v>1662</v>
      </c>
    </row>
    <row r="16" spans="1:21" ht="15" thickBot="1" x14ac:dyDescent="0.35">
      <c r="A16" s="35"/>
      <c r="B16" s="76"/>
      <c r="C16" s="57"/>
      <c r="D16" s="54"/>
      <c r="E16" s="83"/>
      <c r="F16" s="12"/>
      <c r="G16" s="31"/>
      <c r="H16" s="31"/>
      <c r="I16" s="13"/>
      <c r="S16" s="55" t="s">
        <v>1589</v>
      </c>
      <c r="T16" s="20" t="s">
        <v>1655</v>
      </c>
    </row>
    <row r="17" spans="1:20" ht="15" thickBot="1" x14ac:dyDescent="0.35">
      <c r="A17" s="35"/>
      <c r="B17" s="77"/>
      <c r="C17" s="57"/>
      <c r="D17" s="54"/>
      <c r="E17" s="83"/>
      <c r="F17" s="12"/>
      <c r="G17" s="31"/>
      <c r="H17" s="31"/>
      <c r="I17" s="13"/>
      <c r="S17" s="55" t="s">
        <v>1590</v>
      </c>
      <c r="T17" s="20" t="s">
        <v>1656</v>
      </c>
    </row>
    <row r="18" spans="1:20" ht="15" thickBot="1" x14ac:dyDescent="0.35">
      <c r="A18" s="35"/>
      <c r="B18" s="77"/>
      <c r="C18" s="57"/>
      <c r="D18" s="54"/>
      <c r="E18" s="83"/>
      <c r="F18" s="12"/>
      <c r="G18" s="31"/>
      <c r="H18" s="31"/>
      <c r="I18" s="13"/>
      <c r="S18" s="55" t="s">
        <v>1591</v>
      </c>
      <c r="T18" s="20" t="s">
        <v>1657</v>
      </c>
    </row>
    <row r="19" spans="1:20" ht="15" thickBot="1" x14ac:dyDescent="0.35">
      <c r="A19" s="35"/>
      <c r="B19" s="77"/>
      <c r="C19" s="57"/>
      <c r="D19" s="54"/>
      <c r="E19" s="83"/>
      <c r="F19" s="12"/>
      <c r="G19" s="31"/>
      <c r="H19" s="31"/>
      <c r="I19" s="13"/>
      <c r="S19" s="55" t="s">
        <v>1592</v>
      </c>
      <c r="T19" s="20" t="s">
        <v>1658</v>
      </c>
    </row>
    <row r="20" spans="1:20" ht="15" thickBot="1" x14ac:dyDescent="0.35">
      <c r="A20" s="35"/>
      <c r="B20" s="77"/>
      <c r="C20" s="57"/>
      <c r="D20" s="54"/>
      <c r="E20" s="83"/>
      <c r="F20" s="12"/>
      <c r="G20" s="31"/>
      <c r="H20" s="31"/>
      <c r="I20" s="13"/>
      <c r="S20" s="55" t="s">
        <v>1593</v>
      </c>
      <c r="T20" s="20" t="s">
        <v>1659</v>
      </c>
    </row>
    <row r="21" spans="1:20" ht="15" thickBot="1" x14ac:dyDescent="0.35">
      <c r="A21" s="35"/>
      <c r="B21" s="77"/>
      <c r="C21" s="57"/>
      <c r="D21" s="54"/>
      <c r="E21" s="83"/>
      <c r="F21" s="12"/>
      <c r="G21" s="31"/>
      <c r="H21" s="31"/>
      <c r="I21" s="13"/>
      <c r="S21" s="55" t="s">
        <v>4507</v>
      </c>
      <c r="T21" s="20" t="s">
        <v>1660</v>
      </c>
    </row>
    <row r="22" spans="1:20" ht="15" thickBot="1" x14ac:dyDescent="0.35">
      <c r="A22" s="35"/>
      <c r="B22" s="77"/>
      <c r="C22" s="57"/>
      <c r="D22" s="54"/>
      <c r="E22" s="83"/>
      <c r="F22" s="12"/>
      <c r="G22" s="31"/>
      <c r="H22" s="31"/>
      <c r="I22" s="13"/>
      <c r="S22" s="55" t="s">
        <v>1595</v>
      </c>
    </row>
    <row r="23" spans="1:20" ht="15" thickBot="1" x14ac:dyDescent="0.35">
      <c r="A23" s="35"/>
      <c r="B23" s="58"/>
      <c r="C23" s="57"/>
      <c r="D23" s="54"/>
      <c r="E23" s="83"/>
      <c r="F23" s="12"/>
      <c r="G23" s="31"/>
      <c r="H23" s="31"/>
      <c r="I23" s="13"/>
      <c r="S23" s="55" t="s">
        <v>1596</v>
      </c>
    </row>
    <row r="24" spans="1:20" ht="15" thickBot="1" x14ac:dyDescent="0.35">
      <c r="A24" s="35"/>
      <c r="B24" s="58"/>
      <c r="C24" s="57"/>
      <c r="D24" s="54"/>
      <c r="E24" s="83"/>
      <c r="F24" s="12"/>
      <c r="G24" s="31"/>
      <c r="H24" s="31"/>
      <c r="I24" s="13"/>
      <c r="S24" s="55" t="s">
        <v>1597</v>
      </c>
    </row>
    <row r="25" spans="1:20" ht="15" thickBot="1" x14ac:dyDescent="0.35">
      <c r="A25" s="35"/>
      <c r="B25" s="58"/>
      <c r="C25" s="57"/>
      <c r="D25" s="54"/>
      <c r="E25" s="83"/>
      <c r="F25" s="12"/>
      <c r="G25" s="31"/>
      <c r="H25" s="31"/>
      <c r="I25" s="13"/>
      <c r="S25" s="55" t="s">
        <v>1598</v>
      </c>
    </row>
    <row r="26" spans="1:20" ht="15" thickBot="1" x14ac:dyDescent="0.35">
      <c r="A26" s="35"/>
      <c r="B26" s="58"/>
      <c r="C26" s="57"/>
      <c r="D26" s="54"/>
      <c r="E26" s="83"/>
      <c r="F26" s="12"/>
      <c r="G26" s="31"/>
      <c r="H26" s="31"/>
      <c r="I26" s="13"/>
      <c r="S26" s="55" t="s">
        <v>1599</v>
      </c>
    </row>
    <row r="27" spans="1:20" ht="15" thickBot="1" x14ac:dyDescent="0.35">
      <c r="A27" s="35"/>
      <c r="B27" s="58"/>
      <c r="C27" s="57"/>
      <c r="D27" s="54"/>
      <c r="E27" s="83"/>
      <c r="F27" s="12"/>
      <c r="G27" s="31"/>
      <c r="H27" s="31"/>
      <c r="I27" s="13"/>
      <c r="S27" s="55" t="s">
        <v>1600</v>
      </c>
    </row>
    <row r="28" spans="1:20" ht="15" thickBot="1" x14ac:dyDescent="0.35">
      <c r="A28" s="35"/>
      <c r="B28" s="58"/>
      <c r="C28" s="57"/>
      <c r="D28" s="54"/>
      <c r="E28" s="83"/>
      <c r="F28" s="12"/>
      <c r="G28" s="31"/>
      <c r="H28" s="31"/>
      <c r="I28" s="13"/>
      <c r="S28" s="55" t="s">
        <v>1601</v>
      </c>
    </row>
    <row r="29" spans="1:20" ht="15" thickBot="1" x14ac:dyDescent="0.35">
      <c r="A29" s="35"/>
      <c r="B29" s="58"/>
      <c r="C29" s="57"/>
      <c r="D29" s="54"/>
      <c r="E29" s="83"/>
      <c r="F29" s="12"/>
      <c r="G29" s="31"/>
      <c r="H29" s="31"/>
      <c r="I29" s="13"/>
      <c r="S29" s="55" t="s">
        <v>1602</v>
      </c>
    </row>
    <row r="30" spans="1:20" ht="15" thickBot="1" x14ac:dyDescent="0.35">
      <c r="A30" s="35"/>
      <c r="B30" s="58"/>
      <c r="C30" s="57"/>
      <c r="D30" s="54"/>
      <c r="E30" s="83"/>
      <c r="F30" s="12"/>
      <c r="G30" s="31"/>
      <c r="H30" s="31"/>
      <c r="I30" s="13"/>
      <c r="S30" s="55" t="s">
        <v>1603</v>
      </c>
    </row>
    <row r="31" spans="1:20" ht="15" thickBot="1" x14ac:dyDescent="0.35">
      <c r="A31" s="35"/>
      <c r="B31" s="33"/>
      <c r="C31" s="34"/>
      <c r="D31" s="31"/>
      <c r="E31" s="83"/>
      <c r="F31" s="12"/>
      <c r="G31" s="31"/>
      <c r="H31" s="31"/>
      <c r="I31" s="13"/>
      <c r="S31" s="55" t="s">
        <v>1604</v>
      </c>
    </row>
    <row r="32" spans="1:20" ht="15" thickBot="1" x14ac:dyDescent="0.35">
      <c r="A32" s="35"/>
      <c r="B32" s="33"/>
      <c r="C32" s="34"/>
      <c r="D32" s="31"/>
      <c r="E32" s="83"/>
      <c r="F32" s="12"/>
      <c r="G32" s="31"/>
      <c r="H32" s="31"/>
      <c r="I32" s="13"/>
      <c r="S32" s="55" t="s">
        <v>1605</v>
      </c>
    </row>
    <row r="33" spans="1:19" ht="15" thickBot="1" x14ac:dyDescent="0.35">
      <c r="A33" s="35"/>
      <c r="B33" s="33"/>
      <c r="C33" s="34"/>
      <c r="D33" s="31"/>
      <c r="E33" s="83"/>
      <c r="F33" s="12"/>
      <c r="G33" s="31"/>
      <c r="H33" s="31"/>
      <c r="I33" s="13"/>
      <c r="S33" s="55" t="s">
        <v>1606</v>
      </c>
    </row>
    <row r="34" spans="1:19" ht="15" thickBot="1" x14ac:dyDescent="0.35">
      <c r="A34" s="35"/>
      <c r="B34" s="33"/>
      <c r="C34" s="34"/>
      <c r="D34" s="31"/>
      <c r="E34" s="83"/>
      <c r="F34" s="12"/>
      <c r="G34" s="31"/>
      <c r="H34" s="31"/>
      <c r="I34" s="13"/>
      <c r="S34" s="55" t="s">
        <v>1607</v>
      </c>
    </row>
    <row r="35" spans="1:19" ht="15" thickBot="1" x14ac:dyDescent="0.35">
      <c r="A35" s="35"/>
      <c r="B35" s="33"/>
      <c r="C35" s="34"/>
      <c r="D35" s="31"/>
      <c r="E35" s="83"/>
      <c r="F35" s="12"/>
      <c r="G35" s="31"/>
      <c r="H35" s="31"/>
      <c r="I35" s="13"/>
      <c r="S35" s="55" t="s">
        <v>1608</v>
      </c>
    </row>
    <row r="36" spans="1:19" ht="15" thickBot="1" x14ac:dyDescent="0.35">
      <c r="A36" s="35"/>
      <c r="B36" s="33"/>
      <c r="C36" s="34"/>
      <c r="D36" s="31"/>
      <c r="E36" s="83"/>
      <c r="F36" s="12"/>
      <c r="G36" s="31"/>
      <c r="H36" s="31"/>
      <c r="I36" s="13"/>
      <c r="S36" s="55" t="s">
        <v>1609</v>
      </c>
    </row>
    <row r="37" spans="1:19" ht="15" thickBot="1" x14ac:dyDescent="0.35">
      <c r="A37" s="35"/>
      <c r="B37" s="33"/>
      <c r="C37" s="34"/>
      <c r="D37" s="31"/>
      <c r="E37" s="83"/>
      <c r="F37" s="12"/>
      <c r="G37" s="31"/>
      <c r="H37" s="31"/>
      <c r="I37" s="13"/>
      <c r="S37" s="55" t="s">
        <v>1610</v>
      </c>
    </row>
    <row r="38" spans="1:19" ht="15" thickBot="1" x14ac:dyDescent="0.35">
      <c r="A38" s="35"/>
      <c r="B38" s="33"/>
      <c r="C38" s="34"/>
      <c r="D38" s="31"/>
      <c r="E38" s="83"/>
      <c r="F38" s="12"/>
      <c r="G38" s="31"/>
      <c r="H38" s="31"/>
      <c r="I38" s="13"/>
      <c r="S38" s="55" t="s">
        <v>1611</v>
      </c>
    </row>
    <row r="39" spans="1:19" ht="15" thickBot="1" x14ac:dyDescent="0.35">
      <c r="A39" s="35"/>
      <c r="B39" s="33"/>
      <c r="C39" s="34"/>
      <c r="D39" s="31"/>
      <c r="E39" s="63"/>
      <c r="F39" s="12"/>
      <c r="G39" s="31"/>
      <c r="H39" s="31"/>
      <c r="I39" s="13"/>
      <c r="S39" s="55" t="s">
        <v>4508</v>
      </c>
    </row>
    <row r="40" spans="1:19" ht="15" thickBot="1" x14ac:dyDescent="0.35">
      <c r="A40" s="35"/>
      <c r="B40" s="33"/>
      <c r="C40" s="34"/>
      <c r="D40" s="31"/>
      <c r="E40" s="63"/>
      <c r="F40" s="12"/>
      <c r="G40" s="31"/>
      <c r="H40" s="31"/>
      <c r="I40" s="13"/>
      <c r="S40" s="55" t="s">
        <v>1613</v>
      </c>
    </row>
    <row r="41" spans="1:19" ht="15" thickBot="1" x14ac:dyDescent="0.35">
      <c r="A41" s="35"/>
      <c r="B41" s="33"/>
      <c r="C41" s="34"/>
      <c r="D41" s="31"/>
      <c r="E41" s="63"/>
      <c r="F41" s="12"/>
      <c r="G41" s="31"/>
      <c r="H41" s="31"/>
      <c r="I41" s="13"/>
      <c r="S41" s="55" t="s">
        <v>1614</v>
      </c>
    </row>
    <row r="42" spans="1:19" ht="15" thickBot="1" x14ac:dyDescent="0.35">
      <c r="A42" s="35"/>
      <c r="B42" s="33"/>
      <c r="C42" s="34"/>
      <c r="D42" s="31"/>
      <c r="E42" s="63"/>
      <c r="F42" s="12"/>
      <c r="G42" s="31"/>
      <c r="H42" s="31"/>
      <c r="I42" s="13"/>
      <c r="S42" s="55" t="s">
        <v>1615</v>
      </c>
    </row>
    <row r="43" spans="1:19" ht="15" thickBot="1" x14ac:dyDescent="0.35">
      <c r="A43" s="35"/>
      <c r="B43" s="33"/>
      <c r="C43" s="34"/>
      <c r="D43" s="31"/>
      <c r="E43" s="63"/>
      <c r="F43" s="12"/>
      <c r="G43" s="31"/>
      <c r="H43" s="31"/>
      <c r="I43" s="13"/>
      <c r="S43" s="55" t="s">
        <v>1616</v>
      </c>
    </row>
    <row r="44" spans="1:19" ht="15" thickBot="1" x14ac:dyDescent="0.35">
      <c r="A44" s="35"/>
      <c r="B44" s="33"/>
      <c r="C44" s="34"/>
      <c r="D44" s="31"/>
      <c r="E44" s="63"/>
      <c r="F44" s="12"/>
      <c r="G44" s="31"/>
      <c r="H44" s="31"/>
      <c r="I44" s="13"/>
      <c r="S44" s="55" t="s">
        <v>1617</v>
      </c>
    </row>
    <row r="45" spans="1:19" ht="15" thickBot="1" x14ac:dyDescent="0.35">
      <c r="A45" s="35"/>
      <c r="B45" s="33"/>
      <c r="C45" s="34"/>
      <c r="D45" s="31"/>
      <c r="E45" s="63"/>
      <c r="F45" s="12"/>
      <c r="G45" s="31"/>
      <c r="H45" s="31"/>
      <c r="I45" s="13"/>
      <c r="S45" s="55" t="s">
        <v>1618</v>
      </c>
    </row>
    <row r="46" spans="1:19" ht="15" thickBot="1" x14ac:dyDescent="0.35">
      <c r="A46" s="35"/>
      <c r="B46" s="33"/>
      <c r="C46" s="34"/>
      <c r="D46" s="31"/>
      <c r="E46" s="63"/>
      <c r="F46" s="12"/>
      <c r="G46" s="31"/>
      <c r="H46" s="31"/>
      <c r="I46" s="13"/>
      <c r="S46" s="55" t="s">
        <v>1619</v>
      </c>
    </row>
    <row r="47" spans="1:19" ht="15" thickBot="1" x14ac:dyDescent="0.35">
      <c r="A47" s="35"/>
      <c r="B47" s="33"/>
      <c r="C47" s="34"/>
      <c r="D47" s="31"/>
      <c r="E47" s="63"/>
      <c r="F47" s="12"/>
      <c r="G47" s="31"/>
      <c r="H47" s="31"/>
      <c r="I47" s="13"/>
      <c r="S47" s="55" t="s">
        <v>1620</v>
      </c>
    </row>
    <row r="48" spans="1:19" ht="15" thickBot="1" x14ac:dyDescent="0.35">
      <c r="A48" s="35"/>
      <c r="B48" s="33"/>
      <c r="C48" s="34"/>
      <c r="D48" s="31"/>
      <c r="E48" s="63"/>
      <c r="F48" s="12"/>
      <c r="G48" s="31"/>
      <c r="H48" s="31"/>
      <c r="I48" s="13"/>
      <c r="S48" s="55" t="s">
        <v>1621</v>
      </c>
    </row>
    <row r="49" spans="1:19" ht="15" thickBot="1" x14ac:dyDescent="0.35">
      <c r="A49" s="35"/>
      <c r="B49" s="33"/>
      <c r="C49" s="34"/>
      <c r="D49" s="31"/>
      <c r="E49" s="63"/>
      <c r="F49" s="12"/>
      <c r="G49" s="31"/>
      <c r="H49" s="31"/>
      <c r="I49" s="13"/>
      <c r="S49" s="55" t="s">
        <v>1622</v>
      </c>
    </row>
    <row r="50" spans="1:19" ht="15" thickBot="1" x14ac:dyDescent="0.35">
      <c r="A50" s="35"/>
      <c r="B50" s="33"/>
      <c r="C50" s="34"/>
      <c r="D50" s="31"/>
      <c r="E50" s="63"/>
      <c r="F50" s="12"/>
      <c r="G50" s="31"/>
      <c r="H50" s="31"/>
      <c r="I50" s="13"/>
      <c r="S50" s="55" t="s">
        <v>1623</v>
      </c>
    </row>
    <row r="51" spans="1:19" ht="15" thickBot="1" x14ac:dyDescent="0.35">
      <c r="A51" s="35"/>
      <c r="B51" s="33"/>
      <c r="C51" s="34"/>
      <c r="D51" s="31"/>
      <c r="E51" s="63"/>
      <c r="F51" s="12"/>
      <c r="G51" s="31"/>
      <c r="H51" s="31"/>
      <c r="I51" s="13"/>
      <c r="S51" s="55" t="s">
        <v>1624</v>
      </c>
    </row>
    <row r="52" spans="1:19" ht="15" thickBot="1" x14ac:dyDescent="0.35">
      <c r="A52" s="35"/>
      <c r="B52" s="33"/>
      <c r="C52" s="34"/>
      <c r="D52" s="31"/>
      <c r="E52" s="63"/>
      <c r="F52" s="12"/>
      <c r="G52" s="31"/>
      <c r="H52" s="31"/>
      <c r="I52" s="13"/>
      <c r="S52" s="55" t="s">
        <v>1625</v>
      </c>
    </row>
    <row r="53" spans="1:19" ht="15" thickBot="1" x14ac:dyDescent="0.35">
      <c r="A53" s="35"/>
      <c r="B53" s="33"/>
      <c r="C53" s="34"/>
      <c r="D53" s="31"/>
      <c r="E53" s="63"/>
      <c r="F53" s="12"/>
      <c r="G53" s="31"/>
      <c r="H53" s="31"/>
      <c r="I53" s="13"/>
      <c r="S53" s="55" t="s">
        <v>1626</v>
      </c>
    </row>
    <row r="54" spans="1:19" ht="15" thickBot="1" x14ac:dyDescent="0.35">
      <c r="A54" s="49"/>
      <c r="C54" s="34"/>
      <c r="D54" s="31"/>
      <c r="E54" s="63"/>
      <c r="F54" s="12"/>
      <c r="G54" s="31"/>
      <c r="H54" s="31"/>
      <c r="I54" s="13"/>
      <c r="S54" s="55" t="s">
        <v>1627</v>
      </c>
    </row>
    <row r="55" spans="1:19" ht="15" thickBot="1" x14ac:dyDescent="0.35">
      <c r="A55" s="49"/>
      <c r="C55" s="34"/>
      <c r="D55" s="31"/>
      <c r="E55" s="63"/>
      <c r="F55" s="12"/>
      <c r="G55" s="31"/>
      <c r="H55" s="31"/>
      <c r="I55" s="13"/>
      <c r="S55" s="55" t="s">
        <v>1628</v>
      </c>
    </row>
    <row r="56" spans="1:19" ht="15" thickBot="1" x14ac:dyDescent="0.35">
      <c r="A56" s="49"/>
      <c r="C56" s="34"/>
      <c r="D56" s="31"/>
      <c r="E56" s="63"/>
      <c r="F56" s="12"/>
      <c r="G56" s="31"/>
      <c r="H56" s="31"/>
      <c r="I56" s="13"/>
      <c r="S56" s="55" t="s">
        <v>1629</v>
      </c>
    </row>
    <row r="57" spans="1:19" ht="15" thickBot="1" x14ac:dyDescent="0.35">
      <c r="A57" s="49"/>
      <c r="C57" s="34"/>
      <c r="D57" s="31"/>
      <c r="E57" s="63"/>
      <c r="F57" s="12"/>
      <c r="G57" s="31"/>
      <c r="H57" s="31"/>
      <c r="I57" s="13"/>
      <c r="S57" s="55" t="s">
        <v>1630</v>
      </c>
    </row>
    <row r="58" spans="1:19" ht="15" thickBot="1" x14ac:dyDescent="0.35">
      <c r="A58" s="49"/>
      <c r="C58" s="34"/>
      <c r="D58" s="31"/>
      <c r="E58" s="63"/>
      <c r="F58" s="12"/>
      <c r="G58" s="31"/>
      <c r="H58" s="31"/>
      <c r="I58" s="13"/>
      <c r="S58" s="55" t="s">
        <v>1631</v>
      </c>
    </row>
    <row r="59" spans="1:19" ht="15" thickBot="1" x14ac:dyDescent="0.35">
      <c r="A59" s="49"/>
      <c r="C59" s="34"/>
      <c r="D59" s="31"/>
      <c r="E59" s="63"/>
      <c r="F59" s="12"/>
      <c r="G59" s="31"/>
      <c r="H59" s="31"/>
      <c r="I59" s="13"/>
      <c r="S59" s="55" t="s">
        <v>1632</v>
      </c>
    </row>
    <row r="60" spans="1:19" ht="15" thickBot="1" x14ac:dyDescent="0.35">
      <c r="A60" s="49"/>
      <c r="C60" s="34"/>
      <c r="D60" s="31"/>
      <c r="E60" s="63"/>
      <c r="F60" s="12"/>
      <c r="G60" s="31"/>
      <c r="H60" s="31"/>
      <c r="I60" s="13"/>
      <c r="S60" s="55" t="s">
        <v>1633</v>
      </c>
    </row>
    <row r="61" spans="1:19" ht="15" thickBot="1" x14ac:dyDescent="0.35">
      <c r="A61" s="49"/>
      <c r="C61" s="34"/>
      <c r="D61" s="31"/>
      <c r="E61" s="63"/>
      <c r="F61" s="12"/>
      <c r="G61" s="31"/>
      <c r="H61" s="31"/>
      <c r="I61" s="13"/>
      <c r="S61" s="55" t="s">
        <v>1634</v>
      </c>
    </row>
    <row r="62" spans="1:19" ht="15" thickBot="1" x14ac:dyDescent="0.35">
      <c r="A62" s="49"/>
      <c r="C62" s="34"/>
      <c r="D62" s="31"/>
      <c r="E62" s="63"/>
      <c r="F62" s="12"/>
      <c r="G62" s="31"/>
      <c r="H62" s="31"/>
      <c r="I62" s="13"/>
      <c r="S62" s="55" t="s">
        <v>1635</v>
      </c>
    </row>
    <row r="63" spans="1:19" ht="15" thickBot="1" x14ac:dyDescent="0.35">
      <c r="A63" s="49"/>
      <c r="C63" s="34"/>
      <c r="D63" s="31"/>
      <c r="E63" s="63"/>
      <c r="F63" s="12"/>
      <c r="G63" s="31"/>
      <c r="H63" s="31"/>
      <c r="I63" s="13"/>
      <c r="S63" s="55" t="s">
        <v>1636</v>
      </c>
    </row>
    <row r="64" spans="1:19" ht="15" thickBot="1" x14ac:dyDescent="0.35">
      <c r="A64" s="49"/>
      <c r="C64" s="34"/>
      <c r="D64" s="31"/>
      <c r="E64" s="63"/>
      <c r="F64" s="12"/>
      <c r="G64" s="31"/>
      <c r="H64" s="31"/>
      <c r="I64" s="13"/>
      <c r="S64" s="55" t="s">
        <v>1637</v>
      </c>
    </row>
    <row r="65" spans="1:19" ht="15" thickBot="1" x14ac:dyDescent="0.35">
      <c r="A65" s="49"/>
      <c r="C65" s="34"/>
      <c r="D65" s="31"/>
      <c r="E65" s="63"/>
      <c r="F65" s="12"/>
      <c r="G65" s="31"/>
      <c r="H65" s="31"/>
      <c r="I65" s="13"/>
      <c r="S65" s="55" t="s">
        <v>1638</v>
      </c>
    </row>
    <row r="66" spans="1:19" ht="15" thickBot="1" x14ac:dyDescent="0.35">
      <c r="A66" s="49"/>
      <c r="C66" s="34"/>
      <c r="D66" s="31"/>
      <c r="E66" s="63"/>
      <c r="F66" s="12"/>
      <c r="G66" s="31"/>
      <c r="H66" s="31"/>
      <c r="I66" s="13"/>
      <c r="S66" s="55" t="s">
        <v>1639</v>
      </c>
    </row>
    <row r="67" spans="1:19" ht="15" thickBot="1" x14ac:dyDescent="0.35">
      <c r="A67" s="49"/>
      <c r="C67" s="34"/>
      <c r="D67" s="31"/>
      <c r="E67" s="63"/>
      <c r="F67" s="12"/>
      <c r="G67" s="31"/>
      <c r="H67" s="31"/>
      <c r="I67" s="13"/>
      <c r="S67" s="55" t="s">
        <v>1640</v>
      </c>
    </row>
    <row r="68" spans="1:19" ht="15" thickBot="1" x14ac:dyDescent="0.35">
      <c r="A68" s="49"/>
      <c r="C68" s="34"/>
      <c r="D68" s="31"/>
      <c r="E68" s="63"/>
      <c r="F68" s="12"/>
      <c r="G68" s="31"/>
      <c r="H68" s="31"/>
      <c r="I68" s="13"/>
      <c r="S68" s="55" t="s">
        <v>1641</v>
      </c>
    </row>
    <row r="69" spans="1:19" ht="15" thickBot="1" x14ac:dyDescent="0.35">
      <c r="A69" s="49"/>
      <c r="C69" s="34"/>
      <c r="D69" s="31"/>
      <c r="E69" s="63"/>
      <c r="F69" s="12"/>
      <c r="G69" s="31"/>
      <c r="H69" s="31"/>
      <c r="I69" s="13"/>
      <c r="S69" s="55" t="s">
        <v>1642</v>
      </c>
    </row>
    <row r="70" spans="1:19" ht="15" thickBot="1" x14ac:dyDescent="0.35">
      <c r="A70" s="49"/>
      <c r="C70" s="34"/>
      <c r="D70" s="31"/>
      <c r="E70" s="63"/>
      <c r="F70" s="12"/>
      <c r="G70" s="31"/>
      <c r="H70" s="31"/>
      <c r="I70" s="13"/>
      <c r="S70" s="55" t="s">
        <v>1643</v>
      </c>
    </row>
    <row r="71" spans="1:19" ht="15" thickBot="1" x14ac:dyDescent="0.35">
      <c r="A71" s="49"/>
      <c r="C71" s="34"/>
      <c r="D71" s="31"/>
      <c r="E71" s="63"/>
      <c r="F71" s="12"/>
      <c r="G71" s="31"/>
      <c r="H71" s="31"/>
      <c r="I71" s="13"/>
      <c r="S71" s="55" t="s">
        <v>1644</v>
      </c>
    </row>
    <row r="72" spans="1:19" ht="15" thickBot="1" x14ac:dyDescent="0.35">
      <c r="A72" s="49"/>
      <c r="C72" s="34"/>
      <c r="D72" s="31"/>
      <c r="E72" s="63"/>
      <c r="F72" s="12"/>
      <c r="G72" s="31"/>
      <c r="H72" s="31"/>
      <c r="I72" s="13"/>
      <c r="S72" s="55" t="s">
        <v>1645</v>
      </c>
    </row>
    <row r="73" spans="1:19" x14ac:dyDescent="0.3">
      <c r="F73" s="50"/>
      <c r="S73" s="55" t="s">
        <v>1646</v>
      </c>
    </row>
    <row r="74" spans="1:19" x14ac:dyDescent="0.3">
      <c r="S74" s="55" t="s">
        <v>1647</v>
      </c>
    </row>
    <row r="75" spans="1:19" x14ac:dyDescent="0.3">
      <c r="S75" s="55" t="s">
        <v>5049</v>
      </c>
    </row>
    <row r="76" spans="1:19" x14ac:dyDescent="0.3">
      <c r="S76" s="55" t="s">
        <v>5309</v>
      </c>
    </row>
    <row r="77" spans="1:19" x14ac:dyDescent="0.3">
      <c r="S77" s="55" t="s">
        <v>5310</v>
      </c>
    </row>
  </sheetData>
  <mergeCells count="2">
    <mergeCell ref="B2:D2"/>
    <mergeCell ref="J8:N8"/>
  </mergeCells>
  <dataValidations count="2">
    <dataValidation type="list" allowBlank="1" showInputMessage="1" showErrorMessage="1" sqref="B2:D2" xr:uid="{474D64ED-6F25-4694-8DBC-8E942BE48B03}">
      <formula1>$S$9:$S$75</formula1>
    </dataValidation>
    <dataValidation type="list" allowBlank="1" showInputMessage="1" showErrorMessage="1" sqref="B6" xr:uid="{14637F8F-2FAD-46B6-8F77-886415D825EE}">
      <formula1>$U$9:$U$15</formula1>
    </dataValidation>
  </dataValidations>
  <pageMargins left="0.70866141732283472" right="0.70866141732283472" top="0.74803149606299213" bottom="0.74803149606299213" header="0.31496062992125984" footer="0.31496062992125984"/>
  <pageSetup scale="4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447A-E0CD-4FF1-92A9-82BFB7A8E14D}">
  <dimension ref="A1:V225"/>
  <sheetViews>
    <sheetView zoomScale="80" zoomScaleNormal="80" workbookViewId="0">
      <selection activeCell="A18" sqref="A18"/>
    </sheetView>
  </sheetViews>
  <sheetFormatPr baseColWidth="10" defaultRowHeight="14.4" x14ac:dyDescent="0.3"/>
  <cols>
    <col min="1" max="1" width="20.6640625" customWidth="1"/>
    <col min="2" max="2" width="15.109375" customWidth="1"/>
    <col min="12" max="12" width="14.88671875" customWidth="1"/>
    <col min="16" max="16" width="11.5546875" style="31"/>
  </cols>
  <sheetData>
    <row r="1" spans="1:22" ht="43.2" x14ac:dyDescent="0.3">
      <c r="A1" s="37" t="s">
        <v>1783</v>
      </c>
      <c r="B1" s="37" t="s">
        <v>9</v>
      </c>
      <c r="C1" s="37" t="s">
        <v>10</v>
      </c>
      <c r="D1" s="37" t="s">
        <v>1784</v>
      </c>
      <c r="E1" s="37" t="s">
        <v>1579</v>
      </c>
      <c r="F1" s="37" t="s">
        <v>11</v>
      </c>
      <c r="G1" s="37" t="s">
        <v>12</v>
      </c>
      <c r="H1" s="37" t="s">
        <v>1578</v>
      </c>
      <c r="I1" s="37" t="s">
        <v>1580</v>
      </c>
      <c r="J1" s="37" t="s">
        <v>1578</v>
      </c>
      <c r="K1" s="37" t="s">
        <v>1785</v>
      </c>
      <c r="L1" s="37" t="s">
        <v>1786</v>
      </c>
      <c r="M1" s="37" t="s">
        <v>1787</v>
      </c>
      <c r="N1" s="37" t="s">
        <v>1788</v>
      </c>
      <c r="O1" s="37" t="s">
        <v>1789</v>
      </c>
      <c r="P1" s="37" t="s">
        <v>1794</v>
      </c>
      <c r="Q1" s="37" t="s">
        <v>1790</v>
      </c>
      <c r="R1" s="37" t="s">
        <v>13</v>
      </c>
      <c r="S1" s="37" t="s">
        <v>14</v>
      </c>
      <c r="T1" s="37" t="s">
        <v>15</v>
      </c>
      <c r="U1" s="37" t="s">
        <v>16</v>
      </c>
      <c r="V1" s="37" t="s">
        <v>17</v>
      </c>
    </row>
    <row r="2" spans="1:22" x14ac:dyDescent="0.3">
      <c r="A2" s="38">
        <f>OC!A10</f>
        <v>0</v>
      </c>
      <c r="B2" s="38">
        <f>OC!B10</f>
        <v>0</v>
      </c>
      <c r="C2" s="38">
        <f>OC!C10</f>
        <v>0</v>
      </c>
      <c r="D2" s="38">
        <f>OC!P10</f>
        <v>0</v>
      </c>
      <c r="E2" s="39">
        <f>OC!D10</f>
        <v>0</v>
      </c>
      <c r="F2" s="40">
        <f>OC!E10</f>
        <v>0</v>
      </c>
      <c r="G2" s="41">
        <f>C2*F2</f>
        <v>0</v>
      </c>
      <c r="H2" s="39">
        <f>IF(_xlfn.XLOOKUP(A2,[1]MACHOTE!A:A,[1]MACHOTE!V:V,0,0)="S",1.16,IF(_xlfn.XLOOKUP(A2,[1]MACHOTE!A:A,[1]MACHOTE!Y:Y,0,0)="S",1.08,1))</f>
        <v>1</v>
      </c>
      <c r="I2" s="39">
        <f>E2*C2</f>
        <v>0</v>
      </c>
      <c r="J2" s="42">
        <f>G2-I2</f>
        <v>0</v>
      </c>
      <c r="K2" s="39">
        <f>OC!$B$6</f>
        <v>0</v>
      </c>
      <c r="L2" s="39">
        <f>OC!$B$7</f>
        <v>0</v>
      </c>
      <c r="M2" s="39">
        <f>OC!$B$2</f>
        <v>0</v>
      </c>
      <c r="N2" s="44">
        <f>OC!$B$3</f>
        <v>0</v>
      </c>
      <c r="O2" s="39">
        <f>OC!$B$5</f>
        <v>0</v>
      </c>
      <c r="P2" s="39">
        <f>OC!$B$8</f>
        <v>0</v>
      </c>
      <c r="Q2" s="39">
        <f>OC!$B$4</f>
        <v>0</v>
      </c>
      <c r="R2" s="43">
        <f>OC!J10</f>
        <v>0</v>
      </c>
      <c r="S2" s="43">
        <v>0</v>
      </c>
      <c r="T2" s="43">
        <f>OC!L10</f>
        <v>0</v>
      </c>
      <c r="U2" s="43">
        <f>OC!M10</f>
        <v>0</v>
      </c>
      <c r="V2" s="43">
        <f>OC!N10</f>
        <v>0</v>
      </c>
    </row>
    <row r="3" spans="1:22" x14ac:dyDescent="0.3">
      <c r="A3" s="38">
        <f>OC!A11</f>
        <v>0</v>
      </c>
      <c r="B3" s="38">
        <f>OC!B11</f>
        <v>0</v>
      </c>
      <c r="C3" s="38">
        <f>OC!C11</f>
        <v>0</v>
      </c>
      <c r="D3" s="38">
        <f>OC!P11</f>
        <v>0</v>
      </c>
      <c r="E3" s="39">
        <f>OC!D11</f>
        <v>0</v>
      </c>
      <c r="F3" s="40">
        <f>OC!E11</f>
        <v>0</v>
      </c>
      <c r="G3" s="41">
        <f t="shared" ref="G3:G15" si="0">C3*F3</f>
        <v>0</v>
      </c>
      <c r="H3" s="39">
        <f>IF(_xlfn.XLOOKUP(A3,[1]MACHOTE!A:A,[1]MACHOTE!V:V,0,0)="S",1.16,IF(_xlfn.XLOOKUP(A3,[1]MACHOTE!A:A,[1]MACHOTE!Y:Y,0,0)="S",1.08,1))</f>
        <v>1</v>
      </c>
      <c r="I3" s="39">
        <f t="shared" ref="I3:I15" si="1">E3*C3</f>
        <v>0</v>
      </c>
      <c r="J3" s="42">
        <f t="shared" ref="J3:J15" si="2">G3-I3</f>
        <v>0</v>
      </c>
      <c r="K3" s="39">
        <f>OC!$B$6</f>
        <v>0</v>
      </c>
      <c r="L3" s="39">
        <f>OC!$B$7</f>
        <v>0</v>
      </c>
      <c r="M3" s="39">
        <f>OC!$B$2</f>
        <v>0</v>
      </c>
      <c r="N3" s="44">
        <f>OC!$B$3</f>
        <v>0</v>
      </c>
      <c r="O3" s="39">
        <f>OC!$B$5</f>
        <v>0</v>
      </c>
      <c r="P3" s="39">
        <f>OC!$B$8</f>
        <v>0</v>
      </c>
      <c r="Q3" s="39">
        <f>OC!$B$4</f>
        <v>0</v>
      </c>
      <c r="R3" s="43">
        <f>OC!J11</f>
        <v>0</v>
      </c>
      <c r="S3" s="43">
        <v>0</v>
      </c>
      <c r="T3" s="43">
        <f>OC!M11</f>
        <v>0</v>
      </c>
      <c r="U3" s="43">
        <f>OC!N11</f>
        <v>0</v>
      </c>
      <c r="V3" s="43">
        <f>OC!N11</f>
        <v>0</v>
      </c>
    </row>
    <row r="4" spans="1:22" x14ac:dyDescent="0.3">
      <c r="A4" s="38">
        <f>OC!A12</f>
        <v>0</v>
      </c>
      <c r="B4" s="38">
        <f>OC!B12</f>
        <v>0</v>
      </c>
      <c r="C4" s="38">
        <f>OC!C12</f>
        <v>0</v>
      </c>
      <c r="D4" s="38">
        <f>OC!P12</f>
        <v>0</v>
      </c>
      <c r="E4" s="39">
        <f>OC!D12</f>
        <v>0</v>
      </c>
      <c r="F4" s="40">
        <f>OC!E12</f>
        <v>0</v>
      </c>
      <c r="G4" s="41">
        <f t="shared" si="0"/>
        <v>0</v>
      </c>
      <c r="H4" s="39">
        <f>IF(_xlfn.XLOOKUP(A4,[1]MACHOTE!A:A,[1]MACHOTE!V:V,0,0)="S",1.16,IF(_xlfn.XLOOKUP(A4,[1]MACHOTE!A:A,[1]MACHOTE!Y:Y,0,0)="S",1.08,1))</f>
        <v>1</v>
      </c>
      <c r="I4" s="39">
        <f t="shared" si="1"/>
        <v>0</v>
      </c>
      <c r="J4" s="42">
        <f t="shared" si="2"/>
        <v>0</v>
      </c>
      <c r="K4" s="39">
        <f>OC!$B$6</f>
        <v>0</v>
      </c>
      <c r="L4" s="39">
        <f>OC!$B$7</f>
        <v>0</v>
      </c>
      <c r="M4" s="39">
        <f>OC!$B$2</f>
        <v>0</v>
      </c>
      <c r="N4" s="44">
        <f>OC!$B$3</f>
        <v>0</v>
      </c>
      <c r="O4" s="39">
        <f>OC!$B$5</f>
        <v>0</v>
      </c>
      <c r="P4" s="39">
        <f>OC!$B$8</f>
        <v>0</v>
      </c>
      <c r="Q4" s="39">
        <f>OC!$B$4</f>
        <v>0</v>
      </c>
      <c r="R4" s="43">
        <f>OC!J12</f>
        <v>0</v>
      </c>
      <c r="S4" s="43">
        <v>0</v>
      </c>
      <c r="T4" s="43">
        <f>OC!M12</f>
        <v>0</v>
      </c>
      <c r="U4" s="43">
        <f>OC!N12</f>
        <v>0</v>
      </c>
      <c r="V4" s="43">
        <f>OC!N12</f>
        <v>0</v>
      </c>
    </row>
    <row r="5" spans="1:22" x14ac:dyDescent="0.3">
      <c r="A5" s="38">
        <f>OC!A13</f>
        <v>0</v>
      </c>
      <c r="B5" s="38">
        <f>OC!B13</f>
        <v>0</v>
      </c>
      <c r="C5" s="38">
        <f>OC!C13</f>
        <v>0</v>
      </c>
      <c r="D5" s="38">
        <f>OC!P13</f>
        <v>0</v>
      </c>
      <c r="E5" s="39">
        <f>OC!D13</f>
        <v>0</v>
      </c>
      <c r="F5" s="40">
        <f>OC!E13</f>
        <v>0</v>
      </c>
      <c r="G5" s="41">
        <f t="shared" si="0"/>
        <v>0</v>
      </c>
      <c r="H5" s="39">
        <f>IF(_xlfn.XLOOKUP(A5,[1]MACHOTE!A:A,[1]MACHOTE!V:V,0,0)="S",1.16,IF(_xlfn.XLOOKUP(A5,[1]MACHOTE!A:A,[1]MACHOTE!Y:Y,0,0)="S",1.08,1))</f>
        <v>1</v>
      </c>
      <c r="I5" s="39">
        <f t="shared" si="1"/>
        <v>0</v>
      </c>
      <c r="J5" s="42">
        <f t="shared" si="2"/>
        <v>0</v>
      </c>
      <c r="K5" s="39">
        <f>OC!$B$6</f>
        <v>0</v>
      </c>
      <c r="L5" s="39">
        <f>OC!$B$7</f>
        <v>0</v>
      </c>
      <c r="M5" s="39">
        <f>OC!$B$2</f>
        <v>0</v>
      </c>
      <c r="N5" s="44">
        <f>OC!$B$3</f>
        <v>0</v>
      </c>
      <c r="O5" s="39">
        <f>OC!$B$5</f>
        <v>0</v>
      </c>
      <c r="P5" s="39">
        <f>OC!$B$8</f>
        <v>0</v>
      </c>
      <c r="Q5" s="39">
        <f>OC!$B$4</f>
        <v>0</v>
      </c>
      <c r="R5" s="43">
        <f>OC!J13</f>
        <v>0</v>
      </c>
      <c r="S5" s="43">
        <v>0</v>
      </c>
      <c r="T5" s="43">
        <f>OC!L13</f>
        <v>0</v>
      </c>
      <c r="U5" s="43">
        <f>OC!M13</f>
        <v>0</v>
      </c>
      <c r="V5" s="43">
        <f>OC!N13</f>
        <v>0</v>
      </c>
    </row>
    <row r="6" spans="1:22" x14ac:dyDescent="0.3">
      <c r="A6" s="38">
        <f>OC!A14</f>
        <v>0</v>
      </c>
      <c r="B6" s="38">
        <f>OC!B14</f>
        <v>0</v>
      </c>
      <c r="C6" s="38">
        <f>OC!C14</f>
        <v>0</v>
      </c>
      <c r="D6" s="38">
        <f>OC!P14</f>
        <v>0</v>
      </c>
      <c r="E6" s="39">
        <f>OC!D14</f>
        <v>0</v>
      </c>
      <c r="F6" s="40">
        <f>OC!E14</f>
        <v>0</v>
      </c>
      <c r="G6" s="41">
        <f t="shared" si="0"/>
        <v>0</v>
      </c>
      <c r="H6" s="39">
        <f>IF(_xlfn.XLOOKUP(A6,[1]MACHOTE!A:A,[1]MACHOTE!V:V,0,0)="S",1.16,IF(_xlfn.XLOOKUP(A6,[1]MACHOTE!A:A,[1]MACHOTE!Y:Y,0,0)="S",1.08,1))</f>
        <v>1</v>
      </c>
      <c r="I6" s="39">
        <f t="shared" si="1"/>
        <v>0</v>
      </c>
      <c r="J6" s="42">
        <f t="shared" si="2"/>
        <v>0</v>
      </c>
      <c r="K6" s="39">
        <f>OC!$B$6</f>
        <v>0</v>
      </c>
      <c r="L6" s="39">
        <f>OC!$B$7</f>
        <v>0</v>
      </c>
      <c r="M6" s="39">
        <f>OC!$B$2</f>
        <v>0</v>
      </c>
      <c r="N6" s="44">
        <f>OC!$B$3</f>
        <v>0</v>
      </c>
      <c r="O6" s="39">
        <f>OC!$B$5</f>
        <v>0</v>
      </c>
      <c r="P6" s="39">
        <f>OC!$B$8</f>
        <v>0</v>
      </c>
      <c r="Q6" s="39">
        <f>OC!$B$4</f>
        <v>0</v>
      </c>
      <c r="R6" s="43">
        <f>OC!J14</f>
        <v>0</v>
      </c>
      <c r="S6" s="43">
        <v>0</v>
      </c>
      <c r="T6" s="43">
        <f>OC!L14</f>
        <v>0</v>
      </c>
      <c r="U6" s="43">
        <f>OC!M14</f>
        <v>0</v>
      </c>
      <c r="V6" s="43">
        <f>OC!N14</f>
        <v>0</v>
      </c>
    </row>
    <row r="7" spans="1:22" x14ac:dyDescent="0.3">
      <c r="A7" s="38">
        <f>OC!A15</f>
        <v>0</v>
      </c>
      <c r="B7" s="38">
        <f>OC!B15</f>
        <v>0</v>
      </c>
      <c r="C7" s="38">
        <f>OC!C15</f>
        <v>0</v>
      </c>
      <c r="D7" s="38">
        <f>OC!P15</f>
        <v>0</v>
      </c>
      <c r="E7" s="39">
        <f>OC!D15</f>
        <v>0</v>
      </c>
      <c r="F7" s="40">
        <f>OC!E15</f>
        <v>0</v>
      </c>
      <c r="G7" s="41">
        <f t="shared" si="0"/>
        <v>0</v>
      </c>
      <c r="H7" s="39">
        <f>IF(_xlfn.XLOOKUP(A7,[1]MACHOTE!A:A,[1]MACHOTE!V:V,0,0)="S",1.16,IF(_xlfn.XLOOKUP(A7,[1]MACHOTE!A:A,[1]MACHOTE!Y:Y,0,0)="S",1.08,1))</f>
        <v>1</v>
      </c>
      <c r="I7" s="39">
        <f t="shared" si="1"/>
        <v>0</v>
      </c>
      <c r="J7" s="42">
        <f t="shared" si="2"/>
        <v>0</v>
      </c>
      <c r="K7" s="39">
        <f>OC!$B$6</f>
        <v>0</v>
      </c>
      <c r="L7" s="39">
        <f>OC!$B$7</f>
        <v>0</v>
      </c>
      <c r="M7" s="39">
        <f>OC!$B$2</f>
        <v>0</v>
      </c>
      <c r="N7" s="44">
        <f>OC!$B$3</f>
        <v>0</v>
      </c>
      <c r="O7" s="39">
        <f>OC!$B$5</f>
        <v>0</v>
      </c>
      <c r="P7" s="39">
        <f>OC!$B$8</f>
        <v>0</v>
      </c>
      <c r="Q7" s="39">
        <f>OC!$B$4</f>
        <v>0</v>
      </c>
      <c r="R7" s="43">
        <f>OC!J15</f>
        <v>0</v>
      </c>
      <c r="S7" s="43">
        <v>0</v>
      </c>
      <c r="T7" s="43">
        <f>OC!L15</f>
        <v>0</v>
      </c>
      <c r="U7" s="43">
        <f>OC!M15</f>
        <v>0</v>
      </c>
      <c r="V7" s="43">
        <f>OC!N15</f>
        <v>0</v>
      </c>
    </row>
    <row r="8" spans="1:22" x14ac:dyDescent="0.3">
      <c r="A8" s="38">
        <f>OC!A16</f>
        <v>0</v>
      </c>
      <c r="B8" s="38">
        <f>OC!B16</f>
        <v>0</v>
      </c>
      <c r="C8" s="38">
        <f>OC!C16</f>
        <v>0</v>
      </c>
      <c r="D8" s="38">
        <f>OC!P16</f>
        <v>0</v>
      </c>
      <c r="E8" s="39">
        <f>OC!D16</f>
        <v>0</v>
      </c>
      <c r="F8" s="40">
        <f>OC!E16</f>
        <v>0</v>
      </c>
      <c r="G8" s="41">
        <f t="shared" si="0"/>
        <v>0</v>
      </c>
      <c r="H8" s="39">
        <f>IF(_xlfn.XLOOKUP(A8,[1]MACHOTE!A:A,[1]MACHOTE!V:V,0,0)="S",1.16,IF(_xlfn.XLOOKUP(A8,[1]MACHOTE!A:A,[1]MACHOTE!Y:Y,0,0)="S",1.08,1))</f>
        <v>1</v>
      </c>
      <c r="I8" s="39">
        <f t="shared" si="1"/>
        <v>0</v>
      </c>
      <c r="J8" s="42">
        <f t="shared" si="2"/>
        <v>0</v>
      </c>
      <c r="K8" s="39">
        <f>OC!$B$6</f>
        <v>0</v>
      </c>
      <c r="L8" s="39">
        <f>OC!$B$7</f>
        <v>0</v>
      </c>
      <c r="M8" s="39">
        <f>OC!$B$2</f>
        <v>0</v>
      </c>
      <c r="N8" s="44">
        <f>OC!$B$3</f>
        <v>0</v>
      </c>
      <c r="O8" s="39">
        <f>OC!$B$5</f>
        <v>0</v>
      </c>
      <c r="P8" s="39">
        <f>OC!$B$8</f>
        <v>0</v>
      </c>
      <c r="Q8" s="39">
        <f>OC!$B$4</f>
        <v>0</v>
      </c>
      <c r="R8" s="43">
        <f>OC!J16</f>
        <v>0</v>
      </c>
      <c r="S8" s="43">
        <v>0</v>
      </c>
      <c r="T8" s="43">
        <f>OC!L16</f>
        <v>0</v>
      </c>
      <c r="U8" s="43">
        <f>OC!M16</f>
        <v>0</v>
      </c>
      <c r="V8" s="43">
        <f>OC!N16</f>
        <v>0</v>
      </c>
    </row>
    <row r="9" spans="1:22" x14ac:dyDescent="0.3">
      <c r="A9" s="38">
        <f>OC!A17</f>
        <v>0</v>
      </c>
      <c r="B9" s="38">
        <f>OC!B17</f>
        <v>0</v>
      </c>
      <c r="C9" s="38">
        <f>OC!C17</f>
        <v>0</v>
      </c>
      <c r="D9" s="38">
        <f>OC!P17</f>
        <v>0</v>
      </c>
      <c r="E9" s="39">
        <f>OC!D17</f>
        <v>0</v>
      </c>
      <c r="F9" s="40">
        <f>OC!E17</f>
        <v>0</v>
      </c>
      <c r="G9" s="41">
        <f t="shared" si="0"/>
        <v>0</v>
      </c>
      <c r="H9" s="39">
        <f>IF(_xlfn.XLOOKUP(A9,[1]MACHOTE!A:A,[1]MACHOTE!V:V,0,0)="S",1.16,IF(_xlfn.XLOOKUP(A9,[1]MACHOTE!A:A,[1]MACHOTE!Y:Y,0,0)="S",1.08,1))</f>
        <v>1</v>
      </c>
      <c r="I9" s="39">
        <f t="shared" si="1"/>
        <v>0</v>
      </c>
      <c r="J9" s="42">
        <f t="shared" si="2"/>
        <v>0</v>
      </c>
      <c r="K9" s="39">
        <f>OC!$B$6</f>
        <v>0</v>
      </c>
      <c r="L9" s="39">
        <f>OC!$B$7</f>
        <v>0</v>
      </c>
      <c r="M9" s="39">
        <f>OC!$B$2</f>
        <v>0</v>
      </c>
      <c r="N9" s="44">
        <f>OC!$B$3</f>
        <v>0</v>
      </c>
      <c r="O9" s="39">
        <f>OC!$B$5</f>
        <v>0</v>
      </c>
      <c r="P9" s="39">
        <f>OC!$B$8</f>
        <v>0</v>
      </c>
      <c r="Q9" s="39">
        <f>OC!$B$4</f>
        <v>0</v>
      </c>
      <c r="R9" s="43">
        <f>OC!J17</f>
        <v>0</v>
      </c>
      <c r="S9" s="43">
        <v>0</v>
      </c>
      <c r="T9" s="43">
        <f>OC!L17</f>
        <v>0</v>
      </c>
      <c r="U9" s="43">
        <f>OC!M17</f>
        <v>0</v>
      </c>
      <c r="V9" s="43">
        <f>OC!N17</f>
        <v>0</v>
      </c>
    </row>
    <row r="10" spans="1:22" x14ac:dyDescent="0.3">
      <c r="A10" s="38">
        <f>OC!A18</f>
        <v>0</v>
      </c>
      <c r="B10" s="38">
        <f>OC!B18</f>
        <v>0</v>
      </c>
      <c r="C10" s="38">
        <f>OC!C18</f>
        <v>0</v>
      </c>
      <c r="D10" s="38">
        <f>OC!P18</f>
        <v>0</v>
      </c>
      <c r="E10" s="39">
        <f>OC!D18</f>
        <v>0</v>
      </c>
      <c r="F10" s="40">
        <f>OC!E18</f>
        <v>0</v>
      </c>
      <c r="G10" s="41">
        <f t="shared" si="0"/>
        <v>0</v>
      </c>
      <c r="H10" s="39">
        <f>IF(_xlfn.XLOOKUP(A10,[1]MACHOTE!A:A,[1]MACHOTE!V:V,0,0)="S",1.16,IF(_xlfn.XLOOKUP(A10,[1]MACHOTE!A:A,[1]MACHOTE!Y:Y,0,0)="S",1.08,1))</f>
        <v>1</v>
      </c>
      <c r="I10" s="39">
        <f t="shared" si="1"/>
        <v>0</v>
      </c>
      <c r="J10" s="42">
        <f t="shared" si="2"/>
        <v>0</v>
      </c>
      <c r="K10" s="39">
        <f>OC!$B$6</f>
        <v>0</v>
      </c>
      <c r="L10" s="39">
        <f>OC!$B$7</f>
        <v>0</v>
      </c>
      <c r="M10" s="39">
        <f>OC!$B$2</f>
        <v>0</v>
      </c>
      <c r="N10" s="44">
        <f>OC!$B$3</f>
        <v>0</v>
      </c>
      <c r="O10" s="39">
        <f>OC!$B$5</f>
        <v>0</v>
      </c>
      <c r="P10" s="39">
        <f>OC!$B$8</f>
        <v>0</v>
      </c>
      <c r="Q10" s="39">
        <f>OC!$B$4</f>
        <v>0</v>
      </c>
      <c r="R10" s="43">
        <f>OC!J18</f>
        <v>0</v>
      </c>
      <c r="S10" s="43">
        <v>0</v>
      </c>
      <c r="T10" s="43">
        <f>OC!L18</f>
        <v>0</v>
      </c>
      <c r="U10" s="43">
        <f>OC!M18</f>
        <v>0</v>
      </c>
      <c r="V10" s="43">
        <f>OC!N18</f>
        <v>0</v>
      </c>
    </row>
    <row r="11" spans="1:22" x14ac:dyDescent="0.3">
      <c r="A11" s="38">
        <f>OC!A19</f>
        <v>0</v>
      </c>
      <c r="B11" s="38">
        <f>OC!B19</f>
        <v>0</v>
      </c>
      <c r="C11" s="38">
        <f>OC!C19</f>
        <v>0</v>
      </c>
      <c r="D11" s="38">
        <f>OC!P19</f>
        <v>0</v>
      </c>
      <c r="E11" s="39">
        <f>OC!D19</f>
        <v>0</v>
      </c>
      <c r="F11" s="40">
        <f>OC!E19</f>
        <v>0</v>
      </c>
      <c r="G11" s="41">
        <f t="shared" si="0"/>
        <v>0</v>
      </c>
      <c r="H11" s="39">
        <f>IF(_xlfn.XLOOKUP(A11,[1]MACHOTE!A:A,[1]MACHOTE!V:V,0,0)="S",1.16,IF(_xlfn.XLOOKUP(A11,[1]MACHOTE!A:A,[1]MACHOTE!Y:Y,0,0)="S",1.08,1))</f>
        <v>1</v>
      </c>
      <c r="I11" s="39">
        <f t="shared" si="1"/>
        <v>0</v>
      </c>
      <c r="J11" s="42">
        <f t="shared" si="2"/>
        <v>0</v>
      </c>
      <c r="K11" s="39">
        <f>OC!$B$6</f>
        <v>0</v>
      </c>
      <c r="L11" s="39">
        <f>OC!$B$7</f>
        <v>0</v>
      </c>
      <c r="M11" s="39">
        <f>OC!$B$2</f>
        <v>0</v>
      </c>
      <c r="N11" s="44">
        <f>OC!$B$3</f>
        <v>0</v>
      </c>
      <c r="O11" s="39">
        <f>OC!$B$5</f>
        <v>0</v>
      </c>
      <c r="P11" s="39">
        <f>OC!$B$8</f>
        <v>0</v>
      </c>
      <c r="Q11" s="39">
        <f>OC!$B$4</f>
        <v>0</v>
      </c>
      <c r="R11" s="43">
        <f>OC!J19</f>
        <v>0</v>
      </c>
      <c r="S11" s="43">
        <v>0</v>
      </c>
      <c r="T11" s="43">
        <f>OC!L19</f>
        <v>0</v>
      </c>
      <c r="U11" s="43">
        <f>OC!M19</f>
        <v>0</v>
      </c>
      <c r="V11" s="43">
        <f>OC!N19</f>
        <v>0</v>
      </c>
    </row>
    <row r="12" spans="1:22" x14ac:dyDescent="0.3">
      <c r="A12" s="38">
        <f>OC!A20</f>
        <v>0</v>
      </c>
      <c r="B12" s="38">
        <f>OC!B20</f>
        <v>0</v>
      </c>
      <c r="C12" s="38">
        <f>OC!C20</f>
        <v>0</v>
      </c>
      <c r="D12" s="38">
        <f>OC!P20</f>
        <v>0</v>
      </c>
      <c r="E12" s="39">
        <f>OC!D20</f>
        <v>0</v>
      </c>
      <c r="F12" s="40">
        <f>OC!E20</f>
        <v>0</v>
      </c>
      <c r="G12" s="41">
        <f t="shared" si="0"/>
        <v>0</v>
      </c>
      <c r="H12" s="39">
        <f>IF(_xlfn.XLOOKUP(A12,[1]MACHOTE!A:A,[1]MACHOTE!V:V,0,0)="S",1.16,IF(_xlfn.XLOOKUP(A12,[1]MACHOTE!A:A,[1]MACHOTE!Y:Y,0,0)="S",1.08,1))</f>
        <v>1</v>
      </c>
      <c r="I12" s="39">
        <f t="shared" si="1"/>
        <v>0</v>
      </c>
      <c r="J12" s="42">
        <f t="shared" si="2"/>
        <v>0</v>
      </c>
      <c r="K12" s="39">
        <f>OC!$B$6</f>
        <v>0</v>
      </c>
      <c r="L12" s="39">
        <f>OC!$B$7</f>
        <v>0</v>
      </c>
      <c r="M12" s="39">
        <f>OC!$B$2</f>
        <v>0</v>
      </c>
      <c r="N12" s="44">
        <f>OC!$B$3</f>
        <v>0</v>
      </c>
      <c r="O12" s="39">
        <f>OC!$B$5</f>
        <v>0</v>
      </c>
      <c r="P12" s="39">
        <f>OC!$B$8</f>
        <v>0</v>
      </c>
      <c r="Q12" s="39">
        <f>OC!$B$4</f>
        <v>0</v>
      </c>
      <c r="R12" s="43">
        <f>OC!J20</f>
        <v>0</v>
      </c>
      <c r="S12" s="43">
        <v>0</v>
      </c>
      <c r="T12" s="43">
        <f>OC!L20</f>
        <v>0</v>
      </c>
      <c r="U12" s="43">
        <f>OC!M20</f>
        <v>0</v>
      </c>
      <c r="V12" s="43">
        <f>OC!N20</f>
        <v>0</v>
      </c>
    </row>
    <row r="13" spans="1:22" x14ac:dyDescent="0.3">
      <c r="A13" s="38">
        <f>OC!A21</f>
        <v>0</v>
      </c>
      <c r="B13" s="38">
        <f>OC!B21</f>
        <v>0</v>
      </c>
      <c r="C13" s="38">
        <f>OC!C21</f>
        <v>0</v>
      </c>
      <c r="D13" s="38">
        <f>OC!P21</f>
        <v>0</v>
      </c>
      <c r="E13" s="39">
        <f>OC!D21</f>
        <v>0</v>
      </c>
      <c r="F13" s="40">
        <f>OC!E21</f>
        <v>0</v>
      </c>
      <c r="G13" s="41">
        <f t="shared" si="0"/>
        <v>0</v>
      </c>
      <c r="H13" s="39">
        <f>IF(_xlfn.XLOOKUP(A13,[1]MACHOTE!A:A,[1]MACHOTE!V:V,0,0)="S",1.16,IF(_xlfn.XLOOKUP(A13,[1]MACHOTE!A:A,[1]MACHOTE!Y:Y,0,0)="S",1.08,1))</f>
        <v>1</v>
      </c>
      <c r="I13" s="39">
        <f t="shared" si="1"/>
        <v>0</v>
      </c>
      <c r="J13" s="42">
        <f t="shared" si="2"/>
        <v>0</v>
      </c>
      <c r="K13" s="39">
        <f>OC!$B$6</f>
        <v>0</v>
      </c>
      <c r="L13" s="39">
        <f>OC!$B$7</f>
        <v>0</v>
      </c>
      <c r="M13" s="39">
        <f>OC!$B$2</f>
        <v>0</v>
      </c>
      <c r="N13" s="44">
        <f>OC!$B$3</f>
        <v>0</v>
      </c>
      <c r="O13" s="39">
        <f>OC!$B$5</f>
        <v>0</v>
      </c>
      <c r="P13" s="39">
        <f>OC!$B$8</f>
        <v>0</v>
      </c>
      <c r="Q13" s="39">
        <f>OC!$B$4</f>
        <v>0</v>
      </c>
      <c r="R13" s="43">
        <f>OC!J21</f>
        <v>0</v>
      </c>
      <c r="S13" s="43">
        <v>0</v>
      </c>
      <c r="T13" s="43">
        <f>OC!L21</f>
        <v>0</v>
      </c>
      <c r="U13" s="43">
        <f>OC!M21</f>
        <v>0</v>
      </c>
      <c r="V13" s="43">
        <f>OC!N21</f>
        <v>0</v>
      </c>
    </row>
    <row r="14" spans="1:22" x14ac:dyDescent="0.3">
      <c r="A14" s="38">
        <f>OC!A22</f>
        <v>0</v>
      </c>
      <c r="B14" s="38">
        <f>OC!B22</f>
        <v>0</v>
      </c>
      <c r="C14" s="38">
        <f>OC!C22</f>
        <v>0</v>
      </c>
      <c r="D14" s="38">
        <f>OC!P22</f>
        <v>0</v>
      </c>
      <c r="E14" s="39">
        <f>OC!D22</f>
        <v>0</v>
      </c>
      <c r="F14" s="40">
        <f>OC!E22</f>
        <v>0</v>
      </c>
      <c r="G14" s="41">
        <f t="shared" si="0"/>
        <v>0</v>
      </c>
      <c r="H14" s="39">
        <f>IF(_xlfn.XLOOKUP(A14,[1]MACHOTE!A:A,[1]MACHOTE!V:V,0,0)="S",1.16,IF(_xlfn.XLOOKUP(A14,[1]MACHOTE!A:A,[1]MACHOTE!Y:Y,0,0)="S",1.08,1))</f>
        <v>1</v>
      </c>
      <c r="I14" s="39">
        <f t="shared" si="1"/>
        <v>0</v>
      </c>
      <c r="J14" s="42">
        <f t="shared" si="2"/>
        <v>0</v>
      </c>
      <c r="K14" s="39">
        <f>OC!$B$6</f>
        <v>0</v>
      </c>
      <c r="L14" s="39">
        <f>OC!$B$7</f>
        <v>0</v>
      </c>
      <c r="M14" s="39">
        <f>OC!$B$2</f>
        <v>0</v>
      </c>
      <c r="N14" s="44">
        <f>OC!$B$3</f>
        <v>0</v>
      </c>
      <c r="O14" s="39">
        <f>OC!$B$5</f>
        <v>0</v>
      </c>
      <c r="P14" s="39">
        <f>OC!$B$8</f>
        <v>0</v>
      </c>
      <c r="Q14" s="39">
        <f>OC!$B$4</f>
        <v>0</v>
      </c>
      <c r="R14" s="43">
        <f>OC!J22</f>
        <v>0</v>
      </c>
      <c r="S14" s="43">
        <v>0</v>
      </c>
      <c r="T14" s="43">
        <f>OC!L22</f>
        <v>0</v>
      </c>
      <c r="U14" s="43">
        <f>OC!M22</f>
        <v>0</v>
      </c>
      <c r="V14" s="43">
        <f>OC!N22</f>
        <v>0</v>
      </c>
    </row>
    <row r="15" spans="1:22" x14ac:dyDescent="0.3">
      <c r="A15" s="38">
        <f>OC!A23</f>
        <v>0</v>
      </c>
      <c r="B15" s="38">
        <f>OC!B23</f>
        <v>0</v>
      </c>
      <c r="C15" s="38">
        <f>OC!C23</f>
        <v>0</v>
      </c>
      <c r="D15" s="38">
        <f>OC!P23</f>
        <v>0</v>
      </c>
      <c r="E15" s="39">
        <f>OC!D23</f>
        <v>0</v>
      </c>
      <c r="F15" s="40">
        <f>OC!E23</f>
        <v>0</v>
      </c>
      <c r="G15" s="41">
        <f t="shared" si="0"/>
        <v>0</v>
      </c>
      <c r="H15" s="39">
        <f>IF(_xlfn.XLOOKUP(A15,[1]MACHOTE!A:A,[1]MACHOTE!V:V,0,0)="S",1.16,IF(_xlfn.XLOOKUP(A15,[1]MACHOTE!A:A,[1]MACHOTE!Y:Y,0,0)="S",1.08,1))</f>
        <v>1</v>
      </c>
      <c r="I15" s="39">
        <f t="shared" si="1"/>
        <v>0</v>
      </c>
      <c r="J15" s="42">
        <f t="shared" si="2"/>
        <v>0</v>
      </c>
      <c r="K15" s="39">
        <f>OC!$B$6</f>
        <v>0</v>
      </c>
      <c r="L15" s="39">
        <f>OC!$B$7</f>
        <v>0</v>
      </c>
      <c r="M15" s="39">
        <f>OC!$B$2</f>
        <v>0</v>
      </c>
      <c r="N15" s="44">
        <f>OC!$B$3</f>
        <v>0</v>
      </c>
      <c r="O15" s="39">
        <f>OC!$B$5</f>
        <v>0</v>
      </c>
      <c r="P15" s="39">
        <f>OC!$B$8</f>
        <v>0</v>
      </c>
      <c r="Q15" s="39">
        <f>OC!$B$4</f>
        <v>0</v>
      </c>
      <c r="R15" s="43">
        <f>OC!J23</f>
        <v>0</v>
      </c>
      <c r="S15" s="43">
        <v>0</v>
      </c>
      <c r="T15" s="43">
        <f>OC!L23</f>
        <v>0</v>
      </c>
      <c r="U15" s="43">
        <f>OC!M23</f>
        <v>0</v>
      </c>
      <c r="V15" s="43">
        <f>OC!N23</f>
        <v>0</v>
      </c>
    </row>
    <row r="16" spans="1:22" s="31" customFormat="1" x14ac:dyDescent="0.3">
      <c r="A16" s="38">
        <f>OC!A24</f>
        <v>0</v>
      </c>
      <c r="B16" s="38">
        <f>OC!B24</f>
        <v>0</v>
      </c>
      <c r="C16" s="38">
        <f>OC!C24</f>
        <v>0</v>
      </c>
      <c r="D16" s="38">
        <f>OC!P24</f>
        <v>0</v>
      </c>
      <c r="E16" s="39">
        <f>OC!D24</f>
        <v>0</v>
      </c>
      <c r="F16" s="40">
        <f>OC!E24</f>
        <v>0</v>
      </c>
      <c r="G16" s="41">
        <f t="shared" ref="G16:G79" si="3">C16*F16</f>
        <v>0</v>
      </c>
      <c r="H16" s="39">
        <f>IF(_xlfn.XLOOKUP(A16,[1]MACHOTE!A:A,[1]MACHOTE!V:V,0,0)="S",1.16,IF(_xlfn.XLOOKUP(A16,[1]MACHOTE!A:A,[1]MACHOTE!Y:Y,0,0)="S",1.08,1))</f>
        <v>1</v>
      </c>
      <c r="I16" s="39">
        <f t="shared" ref="I16:I79" si="4">E16*C16</f>
        <v>0</v>
      </c>
      <c r="J16" s="42">
        <f t="shared" ref="J16:J79" si="5">G16-I16</f>
        <v>0</v>
      </c>
      <c r="K16" s="39">
        <f>OC!$B$6</f>
        <v>0</v>
      </c>
      <c r="L16" s="39">
        <f>OC!$B$7</f>
        <v>0</v>
      </c>
      <c r="M16" s="39">
        <f>OC!$B$2</f>
        <v>0</v>
      </c>
      <c r="N16" s="44">
        <f>OC!$B$3</f>
        <v>0</v>
      </c>
      <c r="O16" s="39">
        <f>OC!$B$5</f>
        <v>0</v>
      </c>
      <c r="P16" s="39">
        <f>OC!$B$8</f>
        <v>0</v>
      </c>
      <c r="Q16" s="39">
        <f>OC!$B$4</f>
        <v>0</v>
      </c>
      <c r="R16" s="43">
        <f>OC!J24</f>
        <v>0</v>
      </c>
      <c r="S16" s="43">
        <v>0</v>
      </c>
      <c r="T16" s="43">
        <f>OC!L24</f>
        <v>0</v>
      </c>
      <c r="U16" s="43">
        <f>OC!M24</f>
        <v>0</v>
      </c>
      <c r="V16" s="43">
        <f>OC!N24</f>
        <v>0</v>
      </c>
    </row>
    <row r="17" spans="1:22" s="31" customFormat="1" x14ac:dyDescent="0.3">
      <c r="A17" s="38">
        <f>OC!A25</f>
        <v>0</v>
      </c>
      <c r="B17" s="38">
        <f>OC!B25</f>
        <v>0</v>
      </c>
      <c r="C17" s="38">
        <f>OC!C25</f>
        <v>0</v>
      </c>
      <c r="D17" s="38">
        <f>OC!P25</f>
        <v>0</v>
      </c>
      <c r="E17" s="39">
        <f>OC!D25</f>
        <v>0</v>
      </c>
      <c r="F17" s="40">
        <f>OC!E25</f>
        <v>0</v>
      </c>
      <c r="G17" s="41">
        <f t="shared" si="3"/>
        <v>0</v>
      </c>
      <c r="H17" s="39">
        <f>IF(_xlfn.XLOOKUP(A17,[1]MACHOTE!A:A,[1]MACHOTE!V:V,0,0)="S",1.16,IF(_xlfn.XLOOKUP(A17,[1]MACHOTE!A:A,[1]MACHOTE!Y:Y,0,0)="S",1.08,1))</f>
        <v>1</v>
      </c>
      <c r="I17" s="39">
        <f t="shared" si="4"/>
        <v>0</v>
      </c>
      <c r="J17" s="42">
        <f t="shared" si="5"/>
        <v>0</v>
      </c>
      <c r="K17" s="39">
        <f>OC!$B$6</f>
        <v>0</v>
      </c>
      <c r="L17" s="39">
        <f>OC!$B$7</f>
        <v>0</v>
      </c>
      <c r="M17" s="39">
        <f>OC!$B$2</f>
        <v>0</v>
      </c>
      <c r="N17" s="44">
        <f>OC!$B$3</f>
        <v>0</v>
      </c>
      <c r="O17" s="39">
        <f>OC!$B$5</f>
        <v>0</v>
      </c>
      <c r="P17" s="39">
        <f>OC!$B$8</f>
        <v>0</v>
      </c>
      <c r="Q17" s="39">
        <f>OC!$B$4</f>
        <v>0</v>
      </c>
      <c r="R17" s="43">
        <f>OC!J25</f>
        <v>0</v>
      </c>
      <c r="S17" s="43">
        <v>0</v>
      </c>
      <c r="T17" s="43">
        <f>OC!L25</f>
        <v>0</v>
      </c>
      <c r="U17" s="43">
        <f>OC!M25</f>
        <v>0</v>
      </c>
      <c r="V17" s="43">
        <f>OC!N25</f>
        <v>0</v>
      </c>
    </row>
    <row r="18" spans="1:22" s="31" customFormat="1" x14ac:dyDescent="0.3">
      <c r="A18" s="38">
        <f>OC!A26</f>
        <v>0</v>
      </c>
      <c r="B18" s="38">
        <f>OC!B26</f>
        <v>0</v>
      </c>
      <c r="C18" s="38">
        <f>OC!C26</f>
        <v>0</v>
      </c>
      <c r="D18" s="38">
        <f>OC!P26</f>
        <v>0</v>
      </c>
      <c r="E18" s="39">
        <f>OC!D26</f>
        <v>0</v>
      </c>
      <c r="F18" s="40">
        <f>OC!E26</f>
        <v>0</v>
      </c>
      <c r="G18" s="41">
        <f t="shared" si="3"/>
        <v>0</v>
      </c>
      <c r="H18" s="39">
        <f>IF(_xlfn.XLOOKUP(A18,[1]MACHOTE!A:A,[1]MACHOTE!V:V,0,0)="S",1.16,IF(_xlfn.XLOOKUP(A18,[1]MACHOTE!A:A,[1]MACHOTE!Y:Y,0,0)="S",1.08,1))</f>
        <v>1</v>
      </c>
      <c r="I18" s="39">
        <f t="shared" si="4"/>
        <v>0</v>
      </c>
      <c r="J18" s="42">
        <f t="shared" si="5"/>
        <v>0</v>
      </c>
      <c r="K18" s="39">
        <f>OC!$B$6</f>
        <v>0</v>
      </c>
      <c r="L18" s="39">
        <f>OC!$B$7</f>
        <v>0</v>
      </c>
      <c r="M18" s="39">
        <f>OC!$B$2</f>
        <v>0</v>
      </c>
      <c r="N18" s="44">
        <f>OC!$B$3</f>
        <v>0</v>
      </c>
      <c r="O18" s="39">
        <f>OC!$B$5</f>
        <v>0</v>
      </c>
      <c r="P18" s="39">
        <f>OC!$B$8</f>
        <v>0</v>
      </c>
      <c r="Q18" s="39">
        <f>OC!$B$4</f>
        <v>0</v>
      </c>
      <c r="R18" s="43">
        <f>OC!J26</f>
        <v>0</v>
      </c>
      <c r="S18" s="43">
        <v>0</v>
      </c>
      <c r="T18" s="43">
        <f>OC!L26</f>
        <v>0</v>
      </c>
      <c r="U18" s="43">
        <f>OC!M26</f>
        <v>0</v>
      </c>
      <c r="V18" s="43">
        <f>OC!N26</f>
        <v>0</v>
      </c>
    </row>
    <row r="19" spans="1:22" s="31" customFormat="1" x14ac:dyDescent="0.3">
      <c r="A19" s="38">
        <f>OC!A27</f>
        <v>0</v>
      </c>
      <c r="B19" s="38">
        <f>OC!B27</f>
        <v>0</v>
      </c>
      <c r="C19" s="38">
        <f>OC!C27</f>
        <v>0</v>
      </c>
      <c r="D19" s="38">
        <f>OC!P27</f>
        <v>0</v>
      </c>
      <c r="E19" s="39">
        <f>OC!D27</f>
        <v>0</v>
      </c>
      <c r="F19" s="40">
        <f>OC!E27</f>
        <v>0</v>
      </c>
      <c r="G19" s="41">
        <f t="shared" si="3"/>
        <v>0</v>
      </c>
      <c r="H19" s="39">
        <f>IF(_xlfn.XLOOKUP(A19,[1]MACHOTE!A:A,[1]MACHOTE!V:V,0,0)="S",1.16,IF(_xlfn.XLOOKUP(A19,[1]MACHOTE!A:A,[1]MACHOTE!Y:Y,0,0)="S",1.08,1))</f>
        <v>1</v>
      </c>
      <c r="I19" s="39">
        <f t="shared" si="4"/>
        <v>0</v>
      </c>
      <c r="J19" s="42">
        <f t="shared" si="5"/>
        <v>0</v>
      </c>
      <c r="K19" s="39">
        <f>OC!$B$6</f>
        <v>0</v>
      </c>
      <c r="L19" s="39">
        <f>OC!$B$7</f>
        <v>0</v>
      </c>
      <c r="M19" s="39">
        <f>OC!$B$2</f>
        <v>0</v>
      </c>
      <c r="N19" s="44">
        <f>OC!$B$3</f>
        <v>0</v>
      </c>
      <c r="O19" s="39">
        <f>OC!$B$5</f>
        <v>0</v>
      </c>
      <c r="P19" s="39">
        <f>OC!$B$8</f>
        <v>0</v>
      </c>
      <c r="Q19" s="39">
        <f>OC!$B$4</f>
        <v>0</v>
      </c>
      <c r="R19" s="43">
        <f>OC!J27</f>
        <v>0</v>
      </c>
      <c r="S19" s="43">
        <v>0</v>
      </c>
      <c r="T19" s="43">
        <f>OC!L27</f>
        <v>0</v>
      </c>
      <c r="U19" s="43">
        <f>OC!M27</f>
        <v>0</v>
      </c>
      <c r="V19" s="43">
        <f>OC!N27</f>
        <v>0</v>
      </c>
    </row>
    <row r="20" spans="1:22" s="31" customFormat="1" x14ac:dyDescent="0.3">
      <c r="A20" s="38">
        <f>OC!A28</f>
        <v>0</v>
      </c>
      <c r="B20" s="38">
        <f>OC!B28</f>
        <v>0</v>
      </c>
      <c r="C20" s="38">
        <f>OC!C28</f>
        <v>0</v>
      </c>
      <c r="D20" s="38">
        <f>OC!P28</f>
        <v>0</v>
      </c>
      <c r="E20" s="39">
        <f>OC!D28</f>
        <v>0</v>
      </c>
      <c r="F20" s="40">
        <f>OC!E28</f>
        <v>0</v>
      </c>
      <c r="G20" s="41">
        <f t="shared" si="3"/>
        <v>0</v>
      </c>
      <c r="H20" s="39">
        <f>IF(_xlfn.XLOOKUP(A20,[1]MACHOTE!A:A,[1]MACHOTE!V:V,0,0)="S",1.16,IF(_xlfn.XLOOKUP(A20,[1]MACHOTE!A:A,[1]MACHOTE!Y:Y,0,0)="S",1.08,1))</f>
        <v>1</v>
      </c>
      <c r="I20" s="39">
        <f t="shared" si="4"/>
        <v>0</v>
      </c>
      <c r="J20" s="42">
        <f t="shared" si="5"/>
        <v>0</v>
      </c>
      <c r="K20" s="39">
        <f>OC!$B$6</f>
        <v>0</v>
      </c>
      <c r="L20" s="39">
        <f>OC!$B$7</f>
        <v>0</v>
      </c>
      <c r="M20" s="39">
        <f>OC!$B$2</f>
        <v>0</v>
      </c>
      <c r="N20" s="44">
        <f>OC!$B$3</f>
        <v>0</v>
      </c>
      <c r="O20" s="39">
        <f>OC!$B$5</f>
        <v>0</v>
      </c>
      <c r="P20" s="39">
        <f>OC!$B$8</f>
        <v>0</v>
      </c>
      <c r="Q20" s="39">
        <f>OC!$B$4</f>
        <v>0</v>
      </c>
      <c r="R20" s="43">
        <f>OC!J28</f>
        <v>0</v>
      </c>
      <c r="S20" s="43">
        <v>0</v>
      </c>
      <c r="T20" s="43">
        <f>OC!L28</f>
        <v>0</v>
      </c>
      <c r="U20" s="43">
        <f>OC!M28</f>
        <v>0</v>
      </c>
      <c r="V20" s="43">
        <f>OC!N28</f>
        <v>0</v>
      </c>
    </row>
    <row r="21" spans="1:22" s="31" customFormat="1" x14ac:dyDescent="0.3">
      <c r="A21" s="38">
        <f>OC!A29</f>
        <v>0</v>
      </c>
      <c r="B21" s="38">
        <f>OC!B29</f>
        <v>0</v>
      </c>
      <c r="C21" s="38">
        <f>OC!C29</f>
        <v>0</v>
      </c>
      <c r="D21" s="38">
        <f>OC!P29</f>
        <v>0</v>
      </c>
      <c r="E21" s="39">
        <f>OC!D29</f>
        <v>0</v>
      </c>
      <c r="F21" s="40">
        <f>OC!E29</f>
        <v>0</v>
      </c>
      <c r="G21" s="41">
        <f t="shared" si="3"/>
        <v>0</v>
      </c>
      <c r="H21" s="39">
        <f>IF(_xlfn.XLOOKUP(A21,[1]MACHOTE!A:A,[1]MACHOTE!V:V,0,0)="S",1.16,IF(_xlfn.XLOOKUP(A21,[1]MACHOTE!A:A,[1]MACHOTE!Y:Y,0,0)="S",1.08,1))</f>
        <v>1</v>
      </c>
      <c r="I21" s="39">
        <f t="shared" si="4"/>
        <v>0</v>
      </c>
      <c r="J21" s="42">
        <f t="shared" si="5"/>
        <v>0</v>
      </c>
      <c r="K21" s="39">
        <f>OC!$B$6</f>
        <v>0</v>
      </c>
      <c r="L21" s="39">
        <f>OC!$B$7</f>
        <v>0</v>
      </c>
      <c r="M21" s="39">
        <f>OC!$B$2</f>
        <v>0</v>
      </c>
      <c r="N21" s="44">
        <f>OC!$B$3</f>
        <v>0</v>
      </c>
      <c r="O21" s="39">
        <f>OC!$B$5</f>
        <v>0</v>
      </c>
      <c r="P21" s="39">
        <f>OC!$B$8</f>
        <v>0</v>
      </c>
      <c r="Q21" s="39">
        <f>OC!$B$4</f>
        <v>0</v>
      </c>
      <c r="R21" s="43">
        <f>OC!J29</f>
        <v>0</v>
      </c>
      <c r="S21" s="43">
        <v>0</v>
      </c>
      <c r="T21" s="43">
        <f>OC!L29</f>
        <v>0</v>
      </c>
      <c r="U21" s="43">
        <f>OC!M29</f>
        <v>0</v>
      </c>
      <c r="V21" s="43">
        <f>OC!N29</f>
        <v>0</v>
      </c>
    </row>
    <row r="22" spans="1:22" s="31" customFormat="1" x14ac:dyDescent="0.3">
      <c r="A22" s="38">
        <f>OC!A30</f>
        <v>0</v>
      </c>
      <c r="B22" s="38">
        <f>OC!B30</f>
        <v>0</v>
      </c>
      <c r="C22" s="38">
        <f>OC!C30</f>
        <v>0</v>
      </c>
      <c r="D22" s="38">
        <f>OC!P30</f>
        <v>0</v>
      </c>
      <c r="E22" s="39">
        <f>OC!D30</f>
        <v>0</v>
      </c>
      <c r="F22" s="40">
        <f>OC!E30</f>
        <v>0</v>
      </c>
      <c r="G22" s="41">
        <f t="shared" si="3"/>
        <v>0</v>
      </c>
      <c r="H22" s="39">
        <f>IF(_xlfn.XLOOKUP(A22,[1]MACHOTE!A:A,[1]MACHOTE!V:V,0,0)="S",1.16,IF(_xlfn.XLOOKUP(A22,[1]MACHOTE!A:A,[1]MACHOTE!Y:Y,0,0)="S",1.08,1))</f>
        <v>1</v>
      </c>
      <c r="I22" s="39">
        <f t="shared" si="4"/>
        <v>0</v>
      </c>
      <c r="J22" s="42">
        <f t="shared" si="5"/>
        <v>0</v>
      </c>
      <c r="K22" s="39">
        <f>OC!$B$6</f>
        <v>0</v>
      </c>
      <c r="L22" s="39">
        <f>OC!$B$7</f>
        <v>0</v>
      </c>
      <c r="M22" s="39">
        <f>OC!$B$2</f>
        <v>0</v>
      </c>
      <c r="N22" s="44">
        <f>OC!$B$3</f>
        <v>0</v>
      </c>
      <c r="O22" s="39">
        <f>OC!$B$5</f>
        <v>0</v>
      </c>
      <c r="P22" s="39">
        <f>OC!$B$8</f>
        <v>0</v>
      </c>
      <c r="Q22" s="39">
        <f>OC!$B$4</f>
        <v>0</v>
      </c>
      <c r="R22" s="43">
        <f>OC!J30</f>
        <v>0</v>
      </c>
      <c r="S22" s="43">
        <v>0</v>
      </c>
      <c r="T22" s="43">
        <f>OC!L30</f>
        <v>0</v>
      </c>
      <c r="U22" s="43">
        <f>OC!M30</f>
        <v>0</v>
      </c>
      <c r="V22" s="43">
        <f>OC!N30</f>
        <v>0</v>
      </c>
    </row>
    <row r="23" spans="1:22" s="31" customFormat="1" x14ac:dyDescent="0.3">
      <c r="A23" s="38">
        <f>OC!A31</f>
        <v>0</v>
      </c>
      <c r="B23" s="38">
        <f>OC!B31</f>
        <v>0</v>
      </c>
      <c r="C23" s="38">
        <f>OC!C31</f>
        <v>0</v>
      </c>
      <c r="D23" s="38">
        <f>OC!P31</f>
        <v>0</v>
      </c>
      <c r="E23" s="39">
        <f>OC!D31</f>
        <v>0</v>
      </c>
      <c r="F23" s="40">
        <f>OC!E31</f>
        <v>0</v>
      </c>
      <c r="G23" s="41">
        <f t="shared" si="3"/>
        <v>0</v>
      </c>
      <c r="H23" s="39">
        <f>IF(_xlfn.XLOOKUP(A23,[1]MACHOTE!A:A,[1]MACHOTE!V:V,0,0)="S",1.16,IF(_xlfn.XLOOKUP(A23,[1]MACHOTE!A:A,[1]MACHOTE!Y:Y,0,0)="S",1.08,1))</f>
        <v>1</v>
      </c>
      <c r="I23" s="39">
        <f t="shared" si="4"/>
        <v>0</v>
      </c>
      <c r="J23" s="42">
        <f t="shared" si="5"/>
        <v>0</v>
      </c>
      <c r="K23" s="39">
        <f>OC!$B$6</f>
        <v>0</v>
      </c>
      <c r="L23" s="39">
        <f>OC!$B$7</f>
        <v>0</v>
      </c>
      <c r="M23" s="39">
        <f>OC!$B$2</f>
        <v>0</v>
      </c>
      <c r="N23" s="44">
        <f>OC!$B$3</f>
        <v>0</v>
      </c>
      <c r="O23" s="39">
        <f>OC!$B$5</f>
        <v>0</v>
      </c>
      <c r="P23" s="39">
        <f>OC!$B$8</f>
        <v>0</v>
      </c>
      <c r="Q23" s="39">
        <f>OC!$B$4</f>
        <v>0</v>
      </c>
      <c r="R23" s="43">
        <f>OC!J31</f>
        <v>0</v>
      </c>
      <c r="S23" s="43">
        <v>0</v>
      </c>
      <c r="T23" s="43">
        <f>OC!L31</f>
        <v>0</v>
      </c>
      <c r="U23" s="43">
        <f>OC!M31</f>
        <v>0</v>
      </c>
      <c r="V23" s="43">
        <f>OC!N31</f>
        <v>0</v>
      </c>
    </row>
    <row r="24" spans="1:22" s="31" customFormat="1" x14ac:dyDescent="0.3">
      <c r="A24" s="38">
        <f>OC!A32</f>
        <v>0</v>
      </c>
      <c r="B24" s="38">
        <f>OC!B32</f>
        <v>0</v>
      </c>
      <c r="C24" s="38">
        <f>OC!C32</f>
        <v>0</v>
      </c>
      <c r="D24" s="38">
        <f>OC!P32</f>
        <v>0</v>
      </c>
      <c r="E24" s="39">
        <f>OC!D32</f>
        <v>0</v>
      </c>
      <c r="F24" s="40">
        <f>OC!E32</f>
        <v>0</v>
      </c>
      <c r="G24" s="41">
        <f t="shared" si="3"/>
        <v>0</v>
      </c>
      <c r="H24" s="39">
        <f>IF(_xlfn.XLOOKUP(A24,[1]MACHOTE!A:A,[1]MACHOTE!V:V,0,0)="S",1.16,IF(_xlfn.XLOOKUP(A24,[1]MACHOTE!A:A,[1]MACHOTE!Y:Y,0,0)="S",1.08,1))</f>
        <v>1</v>
      </c>
      <c r="I24" s="39">
        <f t="shared" si="4"/>
        <v>0</v>
      </c>
      <c r="J24" s="42">
        <f t="shared" si="5"/>
        <v>0</v>
      </c>
      <c r="K24" s="39">
        <f>OC!$B$6</f>
        <v>0</v>
      </c>
      <c r="L24" s="39">
        <f>OC!$B$7</f>
        <v>0</v>
      </c>
      <c r="M24" s="39">
        <f>OC!$B$2</f>
        <v>0</v>
      </c>
      <c r="N24" s="44">
        <f>OC!$B$3</f>
        <v>0</v>
      </c>
      <c r="O24" s="39">
        <f>OC!$B$5</f>
        <v>0</v>
      </c>
      <c r="P24" s="39">
        <f>OC!$B$8</f>
        <v>0</v>
      </c>
      <c r="Q24" s="39">
        <f>OC!$B$4</f>
        <v>0</v>
      </c>
      <c r="R24" s="43">
        <f>OC!J32</f>
        <v>0</v>
      </c>
      <c r="S24" s="43">
        <v>0</v>
      </c>
      <c r="T24" s="43">
        <f>OC!L32</f>
        <v>0</v>
      </c>
      <c r="U24" s="43">
        <f>OC!M32</f>
        <v>0</v>
      </c>
      <c r="V24" s="43">
        <f>OC!N32</f>
        <v>0</v>
      </c>
    </row>
    <row r="25" spans="1:22" s="31" customFormat="1" x14ac:dyDescent="0.3">
      <c r="A25" s="38">
        <f>OC!A33</f>
        <v>0</v>
      </c>
      <c r="B25" s="38">
        <f>OC!B33</f>
        <v>0</v>
      </c>
      <c r="C25" s="38">
        <f>OC!C33</f>
        <v>0</v>
      </c>
      <c r="D25" s="38">
        <f>OC!P33</f>
        <v>0</v>
      </c>
      <c r="E25" s="39">
        <f>OC!D33</f>
        <v>0</v>
      </c>
      <c r="F25" s="40">
        <f>OC!E33</f>
        <v>0</v>
      </c>
      <c r="G25" s="41">
        <f t="shared" si="3"/>
        <v>0</v>
      </c>
      <c r="H25" s="39">
        <f>IF(_xlfn.XLOOKUP(A25,[1]MACHOTE!A:A,[1]MACHOTE!V:V,0,0)="S",1.16,IF(_xlfn.XLOOKUP(A25,[1]MACHOTE!A:A,[1]MACHOTE!Y:Y,0,0)="S",1.08,1))</f>
        <v>1</v>
      </c>
      <c r="I25" s="39">
        <f t="shared" si="4"/>
        <v>0</v>
      </c>
      <c r="J25" s="42">
        <f t="shared" si="5"/>
        <v>0</v>
      </c>
      <c r="K25" s="39">
        <f>OC!$B$6</f>
        <v>0</v>
      </c>
      <c r="L25" s="39">
        <f>OC!$B$7</f>
        <v>0</v>
      </c>
      <c r="M25" s="39">
        <f>OC!$B$2</f>
        <v>0</v>
      </c>
      <c r="N25" s="44">
        <f>OC!$B$3</f>
        <v>0</v>
      </c>
      <c r="O25" s="39">
        <f>OC!$B$5</f>
        <v>0</v>
      </c>
      <c r="P25" s="39">
        <f>OC!$B$8</f>
        <v>0</v>
      </c>
      <c r="Q25" s="39">
        <f>OC!$B$4</f>
        <v>0</v>
      </c>
      <c r="R25" s="43">
        <f>OC!J33</f>
        <v>0</v>
      </c>
      <c r="S25" s="43">
        <v>0</v>
      </c>
      <c r="T25" s="43">
        <f>OC!L33</f>
        <v>0</v>
      </c>
      <c r="U25" s="43">
        <f>OC!M33</f>
        <v>0</v>
      </c>
      <c r="V25" s="43">
        <f>OC!N33</f>
        <v>0</v>
      </c>
    </row>
    <row r="26" spans="1:22" s="31" customFormat="1" x14ac:dyDescent="0.3">
      <c r="A26" s="38">
        <f>OC!A34</f>
        <v>0</v>
      </c>
      <c r="B26" s="38">
        <f>OC!B34</f>
        <v>0</v>
      </c>
      <c r="C26" s="38">
        <f>OC!C34</f>
        <v>0</v>
      </c>
      <c r="D26" s="38">
        <f>OC!P34</f>
        <v>0</v>
      </c>
      <c r="E26" s="39">
        <f>OC!D34</f>
        <v>0</v>
      </c>
      <c r="F26" s="40">
        <f>OC!E34</f>
        <v>0</v>
      </c>
      <c r="G26" s="41">
        <f t="shared" si="3"/>
        <v>0</v>
      </c>
      <c r="H26" s="39">
        <f>IF(_xlfn.XLOOKUP(A26,[1]MACHOTE!A:A,[1]MACHOTE!V:V,0,0)="S",1.16,IF(_xlfn.XLOOKUP(A26,[1]MACHOTE!A:A,[1]MACHOTE!Y:Y,0,0)="S",1.08,1))</f>
        <v>1</v>
      </c>
      <c r="I26" s="39">
        <f t="shared" si="4"/>
        <v>0</v>
      </c>
      <c r="J26" s="42">
        <f t="shared" si="5"/>
        <v>0</v>
      </c>
      <c r="K26" s="39">
        <f>OC!$B$6</f>
        <v>0</v>
      </c>
      <c r="L26" s="39">
        <f>OC!$B$7</f>
        <v>0</v>
      </c>
      <c r="M26" s="39">
        <f>OC!$B$2</f>
        <v>0</v>
      </c>
      <c r="N26" s="44">
        <f>OC!$B$3</f>
        <v>0</v>
      </c>
      <c r="O26" s="39">
        <f>OC!$B$5</f>
        <v>0</v>
      </c>
      <c r="P26" s="39">
        <f>OC!$B$8</f>
        <v>0</v>
      </c>
      <c r="Q26" s="39">
        <f>OC!$B$4</f>
        <v>0</v>
      </c>
      <c r="R26" s="43">
        <f>OC!J34</f>
        <v>0</v>
      </c>
      <c r="S26" s="43">
        <v>0</v>
      </c>
      <c r="T26" s="43">
        <f>OC!L34</f>
        <v>0</v>
      </c>
      <c r="U26" s="43">
        <f>OC!M34</f>
        <v>0</v>
      </c>
      <c r="V26" s="43">
        <f>OC!N34</f>
        <v>0</v>
      </c>
    </row>
    <row r="27" spans="1:22" s="31" customFormat="1" x14ac:dyDescent="0.3">
      <c r="A27" s="38">
        <f>OC!A35</f>
        <v>0</v>
      </c>
      <c r="B27" s="38">
        <f>OC!B35</f>
        <v>0</v>
      </c>
      <c r="C27" s="38">
        <f>OC!C35</f>
        <v>0</v>
      </c>
      <c r="D27" s="38">
        <f>OC!P35</f>
        <v>0</v>
      </c>
      <c r="E27" s="39">
        <f>OC!D35</f>
        <v>0</v>
      </c>
      <c r="F27" s="40">
        <f>OC!E35</f>
        <v>0</v>
      </c>
      <c r="G27" s="41">
        <f t="shared" si="3"/>
        <v>0</v>
      </c>
      <c r="H27" s="39">
        <f>IF(_xlfn.XLOOKUP(A27,[1]MACHOTE!A:A,[1]MACHOTE!V:V,0,0)="S",1.16,IF(_xlfn.XLOOKUP(A27,[1]MACHOTE!A:A,[1]MACHOTE!Y:Y,0,0)="S",1.08,1))</f>
        <v>1</v>
      </c>
      <c r="I27" s="39">
        <f t="shared" si="4"/>
        <v>0</v>
      </c>
      <c r="J27" s="42">
        <f t="shared" si="5"/>
        <v>0</v>
      </c>
      <c r="K27" s="39">
        <f>OC!$B$6</f>
        <v>0</v>
      </c>
      <c r="L27" s="39">
        <f>OC!$B$7</f>
        <v>0</v>
      </c>
      <c r="M27" s="39">
        <f>OC!$B$2</f>
        <v>0</v>
      </c>
      <c r="N27" s="44">
        <f>OC!$B$3</f>
        <v>0</v>
      </c>
      <c r="O27" s="39">
        <f>OC!$B$5</f>
        <v>0</v>
      </c>
      <c r="P27" s="39">
        <f>OC!$B$8</f>
        <v>0</v>
      </c>
      <c r="Q27" s="39">
        <f>OC!$B$4</f>
        <v>0</v>
      </c>
      <c r="R27" s="43">
        <f>OC!J35</f>
        <v>0</v>
      </c>
      <c r="S27" s="43">
        <v>0</v>
      </c>
      <c r="T27" s="43">
        <f>OC!L35</f>
        <v>0</v>
      </c>
      <c r="U27" s="43">
        <f>OC!M35</f>
        <v>0</v>
      </c>
      <c r="V27" s="43">
        <f>OC!N35</f>
        <v>0</v>
      </c>
    </row>
    <row r="28" spans="1:22" s="31" customFormat="1" x14ac:dyDescent="0.3">
      <c r="A28" s="38">
        <f>OC!A36</f>
        <v>0</v>
      </c>
      <c r="B28" s="38">
        <f>OC!B36</f>
        <v>0</v>
      </c>
      <c r="C28" s="38">
        <f>OC!C36</f>
        <v>0</v>
      </c>
      <c r="D28" s="38">
        <f>OC!P36</f>
        <v>0</v>
      </c>
      <c r="E28" s="39">
        <f>OC!D36</f>
        <v>0</v>
      </c>
      <c r="F28" s="40">
        <f>OC!E36</f>
        <v>0</v>
      </c>
      <c r="G28" s="41">
        <f t="shared" si="3"/>
        <v>0</v>
      </c>
      <c r="H28" s="39">
        <f>IF(_xlfn.XLOOKUP(A28,[1]MACHOTE!A:A,[1]MACHOTE!V:V,0,0)="S",1.16,IF(_xlfn.XLOOKUP(A28,[1]MACHOTE!A:A,[1]MACHOTE!Y:Y,0,0)="S",1.08,1))</f>
        <v>1</v>
      </c>
      <c r="I28" s="39">
        <f t="shared" si="4"/>
        <v>0</v>
      </c>
      <c r="J28" s="42">
        <f t="shared" si="5"/>
        <v>0</v>
      </c>
      <c r="K28" s="39">
        <f>OC!$B$6</f>
        <v>0</v>
      </c>
      <c r="L28" s="39">
        <f>OC!$B$7</f>
        <v>0</v>
      </c>
      <c r="M28" s="39">
        <f>OC!$B$2</f>
        <v>0</v>
      </c>
      <c r="N28" s="44">
        <f>OC!$B$3</f>
        <v>0</v>
      </c>
      <c r="O28" s="39">
        <f>OC!$B$5</f>
        <v>0</v>
      </c>
      <c r="P28" s="39">
        <f>OC!$B$8</f>
        <v>0</v>
      </c>
      <c r="Q28" s="39">
        <f>OC!$B$4</f>
        <v>0</v>
      </c>
      <c r="R28" s="43">
        <f>OC!J36</f>
        <v>0</v>
      </c>
      <c r="S28" s="43">
        <v>0</v>
      </c>
      <c r="T28" s="43">
        <f>OC!L36</f>
        <v>0</v>
      </c>
      <c r="U28" s="43">
        <f>OC!M36</f>
        <v>0</v>
      </c>
      <c r="V28" s="43">
        <f>OC!N36</f>
        <v>0</v>
      </c>
    </row>
    <row r="29" spans="1:22" s="31" customFormat="1" x14ac:dyDescent="0.3">
      <c r="A29" s="38">
        <f>OC!A37</f>
        <v>0</v>
      </c>
      <c r="B29" s="38">
        <f>OC!B37</f>
        <v>0</v>
      </c>
      <c r="C29" s="38">
        <f>OC!C37</f>
        <v>0</v>
      </c>
      <c r="D29" s="38">
        <f>OC!P37</f>
        <v>0</v>
      </c>
      <c r="E29" s="39">
        <f>OC!D37</f>
        <v>0</v>
      </c>
      <c r="F29" s="40">
        <f>OC!E37</f>
        <v>0</v>
      </c>
      <c r="G29" s="41">
        <f t="shared" si="3"/>
        <v>0</v>
      </c>
      <c r="H29" s="39">
        <f>IF(_xlfn.XLOOKUP(A29,[1]MACHOTE!A:A,[1]MACHOTE!V:V,0,0)="S",1.16,IF(_xlfn.XLOOKUP(A29,[1]MACHOTE!A:A,[1]MACHOTE!Y:Y,0,0)="S",1.08,1))</f>
        <v>1</v>
      </c>
      <c r="I29" s="39">
        <f t="shared" si="4"/>
        <v>0</v>
      </c>
      <c r="J29" s="42">
        <f t="shared" si="5"/>
        <v>0</v>
      </c>
      <c r="K29" s="39">
        <f>OC!$B$6</f>
        <v>0</v>
      </c>
      <c r="L29" s="39">
        <f>OC!$B$7</f>
        <v>0</v>
      </c>
      <c r="M29" s="39">
        <f>OC!$B$2</f>
        <v>0</v>
      </c>
      <c r="N29" s="44">
        <f>OC!$B$3</f>
        <v>0</v>
      </c>
      <c r="O29" s="39">
        <f>OC!$B$5</f>
        <v>0</v>
      </c>
      <c r="P29" s="39">
        <f>OC!$B$8</f>
        <v>0</v>
      </c>
      <c r="Q29" s="39">
        <f>OC!$B$4</f>
        <v>0</v>
      </c>
      <c r="R29" s="43">
        <f>OC!J37</f>
        <v>0</v>
      </c>
      <c r="S29" s="43">
        <v>0</v>
      </c>
      <c r="T29" s="43">
        <f>OC!L37</f>
        <v>0</v>
      </c>
      <c r="U29" s="43">
        <f>OC!M37</f>
        <v>0</v>
      </c>
      <c r="V29" s="43">
        <f>OC!N37</f>
        <v>0</v>
      </c>
    </row>
    <row r="30" spans="1:22" s="31" customFormat="1" x14ac:dyDescent="0.3">
      <c r="A30" s="38">
        <f>OC!A38</f>
        <v>0</v>
      </c>
      <c r="B30" s="38">
        <f>OC!B38</f>
        <v>0</v>
      </c>
      <c r="C30" s="38">
        <f>OC!C38</f>
        <v>0</v>
      </c>
      <c r="D30" s="38">
        <f>OC!P38</f>
        <v>0</v>
      </c>
      <c r="E30" s="39">
        <f>OC!D38</f>
        <v>0</v>
      </c>
      <c r="F30" s="40">
        <f>OC!E38</f>
        <v>0</v>
      </c>
      <c r="G30" s="41">
        <f t="shared" si="3"/>
        <v>0</v>
      </c>
      <c r="H30" s="39">
        <f>IF(_xlfn.XLOOKUP(A30,[1]MACHOTE!A:A,[1]MACHOTE!V:V,0,0)="S",1.16,IF(_xlfn.XLOOKUP(A30,[1]MACHOTE!A:A,[1]MACHOTE!Y:Y,0,0)="S",1.08,1))</f>
        <v>1</v>
      </c>
      <c r="I30" s="39">
        <f t="shared" si="4"/>
        <v>0</v>
      </c>
      <c r="J30" s="42">
        <f t="shared" si="5"/>
        <v>0</v>
      </c>
      <c r="K30" s="39">
        <f>OC!$B$6</f>
        <v>0</v>
      </c>
      <c r="L30" s="39">
        <f>OC!$B$7</f>
        <v>0</v>
      </c>
      <c r="M30" s="39">
        <f>OC!$B$2</f>
        <v>0</v>
      </c>
      <c r="N30" s="44">
        <f>OC!$B$3</f>
        <v>0</v>
      </c>
      <c r="O30" s="39">
        <f>OC!$B$5</f>
        <v>0</v>
      </c>
      <c r="P30" s="39">
        <f>OC!$B$8</f>
        <v>0</v>
      </c>
      <c r="Q30" s="39">
        <f>OC!$B$4</f>
        <v>0</v>
      </c>
      <c r="R30" s="43">
        <f>OC!J38</f>
        <v>0</v>
      </c>
      <c r="S30" s="43">
        <v>0</v>
      </c>
      <c r="T30" s="43">
        <f>OC!L38</f>
        <v>0</v>
      </c>
      <c r="U30" s="43">
        <f>OC!M38</f>
        <v>0</v>
      </c>
      <c r="V30" s="43">
        <f>OC!N38</f>
        <v>0</v>
      </c>
    </row>
    <row r="31" spans="1:22" s="31" customFormat="1" x14ac:dyDescent="0.3">
      <c r="A31" s="38">
        <f>OC!A39</f>
        <v>0</v>
      </c>
      <c r="B31" s="38">
        <f>OC!B39</f>
        <v>0</v>
      </c>
      <c r="C31" s="38">
        <f>OC!C39</f>
        <v>0</v>
      </c>
      <c r="D31" s="38">
        <f>OC!P39</f>
        <v>0</v>
      </c>
      <c r="E31" s="39">
        <f>OC!D39</f>
        <v>0</v>
      </c>
      <c r="F31" s="40">
        <f>OC!E39</f>
        <v>0</v>
      </c>
      <c r="G31" s="41">
        <f t="shared" si="3"/>
        <v>0</v>
      </c>
      <c r="H31" s="39">
        <f>IF(_xlfn.XLOOKUP(A31,[1]MACHOTE!A:A,[1]MACHOTE!V:V,0,0)="S",1.16,IF(_xlfn.XLOOKUP(A31,[1]MACHOTE!A:A,[1]MACHOTE!Y:Y,0,0)="S",1.08,1))</f>
        <v>1</v>
      </c>
      <c r="I31" s="39">
        <f t="shared" si="4"/>
        <v>0</v>
      </c>
      <c r="J31" s="42">
        <f t="shared" si="5"/>
        <v>0</v>
      </c>
      <c r="K31" s="39">
        <f>OC!$B$6</f>
        <v>0</v>
      </c>
      <c r="L31" s="39">
        <f>OC!$B$7</f>
        <v>0</v>
      </c>
      <c r="M31" s="39">
        <f>OC!$B$2</f>
        <v>0</v>
      </c>
      <c r="N31" s="44">
        <f>OC!$B$3</f>
        <v>0</v>
      </c>
      <c r="O31" s="39">
        <f>OC!$B$5</f>
        <v>0</v>
      </c>
      <c r="P31" s="39">
        <f>OC!$B$8</f>
        <v>0</v>
      </c>
      <c r="Q31" s="39">
        <f>OC!$B$4</f>
        <v>0</v>
      </c>
      <c r="R31" s="43">
        <f>OC!J39</f>
        <v>0</v>
      </c>
      <c r="S31" s="43">
        <v>0</v>
      </c>
      <c r="T31" s="43">
        <f>OC!L39</f>
        <v>0</v>
      </c>
      <c r="U31" s="43">
        <f>OC!M39</f>
        <v>0</v>
      </c>
      <c r="V31" s="43">
        <f>OC!N39</f>
        <v>0</v>
      </c>
    </row>
    <row r="32" spans="1:22" s="31" customFormat="1" x14ac:dyDescent="0.3">
      <c r="A32" s="38">
        <f>OC!A40</f>
        <v>0</v>
      </c>
      <c r="B32" s="38">
        <f>OC!B40</f>
        <v>0</v>
      </c>
      <c r="C32" s="38">
        <f>OC!C40</f>
        <v>0</v>
      </c>
      <c r="D32" s="38">
        <f>OC!P40</f>
        <v>0</v>
      </c>
      <c r="E32" s="39">
        <f>OC!D40</f>
        <v>0</v>
      </c>
      <c r="F32" s="40">
        <f>OC!E40</f>
        <v>0</v>
      </c>
      <c r="G32" s="41">
        <f t="shared" si="3"/>
        <v>0</v>
      </c>
      <c r="H32" s="39">
        <f>IF(_xlfn.XLOOKUP(A32,[1]MACHOTE!A:A,[1]MACHOTE!V:V,0,0)="S",1.16,IF(_xlfn.XLOOKUP(A32,[1]MACHOTE!A:A,[1]MACHOTE!Y:Y,0,0)="S",1.08,1))</f>
        <v>1</v>
      </c>
      <c r="I32" s="39">
        <f t="shared" si="4"/>
        <v>0</v>
      </c>
      <c r="J32" s="42">
        <f t="shared" si="5"/>
        <v>0</v>
      </c>
      <c r="K32" s="39">
        <f>OC!$B$6</f>
        <v>0</v>
      </c>
      <c r="L32" s="39">
        <f>OC!$B$7</f>
        <v>0</v>
      </c>
      <c r="M32" s="39">
        <f>OC!$B$2</f>
        <v>0</v>
      </c>
      <c r="N32" s="44">
        <f>OC!$B$3</f>
        <v>0</v>
      </c>
      <c r="O32" s="39">
        <f>OC!$B$5</f>
        <v>0</v>
      </c>
      <c r="P32" s="39">
        <f>OC!$B$8</f>
        <v>0</v>
      </c>
      <c r="Q32" s="39">
        <f>OC!$B$4</f>
        <v>0</v>
      </c>
      <c r="R32" s="43">
        <f>OC!J40</f>
        <v>0</v>
      </c>
      <c r="S32" s="43">
        <v>0</v>
      </c>
      <c r="T32" s="43">
        <f>OC!L40</f>
        <v>0</v>
      </c>
      <c r="U32" s="43">
        <f>OC!M40</f>
        <v>0</v>
      </c>
      <c r="V32" s="43">
        <f>OC!N40</f>
        <v>0</v>
      </c>
    </row>
    <row r="33" spans="1:22" s="31" customFormat="1" x14ac:dyDescent="0.3">
      <c r="A33" s="38">
        <f>OC!A41</f>
        <v>0</v>
      </c>
      <c r="B33" s="38">
        <f>OC!B41</f>
        <v>0</v>
      </c>
      <c r="C33" s="38">
        <f>OC!C41</f>
        <v>0</v>
      </c>
      <c r="D33" s="38">
        <f>OC!P41</f>
        <v>0</v>
      </c>
      <c r="E33" s="39">
        <f>OC!D41</f>
        <v>0</v>
      </c>
      <c r="F33" s="40">
        <f>OC!E41</f>
        <v>0</v>
      </c>
      <c r="G33" s="41">
        <f t="shared" si="3"/>
        <v>0</v>
      </c>
      <c r="H33" s="39">
        <f>IF(_xlfn.XLOOKUP(A33,[1]MACHOTE!A:A,[1]MACHOTE!V:V,0,0)="S",1.16,IF(_xlfn.XLOOKUP(A33,[1]MACHOTE!A:A,[1]MACHOTE!Y:Y,0,0)="S",1.08,1))</f>
        <v>1</v>
      </c>
      <c r="I33" s="39">
        <f t="shared" si="4"/>
        <v>0</v>
      </c>
      <c r="J33" s="42">
        <f t="shared" si="5"/>
        <v>0</v>
      </c>
      <c r="K33" s="39">
        <f>OC!$B$6</f>
        <v>0</v>
      </c>
      <c r="L33" s="39">
        <f>OC!$B$7</f>
        <v>0</v>
      </c>
      <c r="M33" s="39">
        <f>OC!$B$2</f>
        <v>0</v>
      </c>
      <c r="N33" s="44">
        <f>OC!$B$3</f>
        <v>0</v>
      </c>
      <c r="O33" s="39">
        <f>OC!$B$5</f>
        <v>0</v>
      </c>
      <c r="P33" s="39">
        <f>OC!$B$8</f>
        <v>0</v>
      </c>
      <c r="Q33" s="39">
        <f>OC!$B$4</f>
        <v>0</v>
      </c>
      <c r="R33" s="43">
        <f>OC!J41</f>
        <v>0</v>
      </c>
      <c r="S33" s="43">
        <v>0</v>
      </c>
      <c r="T33" s="43">
        <f>OC!L41</f>
        <v>0</v>
      </c>
      <c r="U33" s="43">
        <f>OC!M41</f>
        <v>0</v>
      </c>
      <c r="V33" s="43">
        <f>OC!N41</f>
        <v>0</v>
      </c>
    </row>
    <row r="34" spans="1:22" s="31" customFormat="1" x14ac:dyDescent="0.3">
      <c r="A34" s="38">
        <f>OC!A42</f>
        <v>0</v>
      </c>
      <c r="B34" s="38">
        <f>OC!B42</f>
        <v>0</v>
      </c>
      <c r="C34" s="38">
        <f>OC!C42</f>
        <v>0</v>
      </c>
      <c r="D34" s="38">
        <f>OC!P42</f>
        <v>0</v>
      </c>
      <c r="E34" s="39">
        <f>OC!D42</f>
        <v>0</v>
      </c>
      <c r="F34" s="40">
        <f>OC!E42</f>
        <v>0</v>
      </c>
      <c r="G34" s="41">
        <f t="shared" si="3"/>
        <v>0</v>
      </c>
      <c r="H34" s="39">
        <f>IF(_xlfn.XLOOKUP(A34,[1]MACHOTE!A:A,[1]MACHOTE!V:V,0,0)="S",1.16,IF(_xlfn.XLOOKUP(A34,[1]MACHOTE!A:A,[1]MACHOTE!Y:Y,0,0)="S",1.08,1))</f>
        <v>1</v>
      </c>
      <c r="I34" s="39">
        <f t="shared" si="4"/>
        <v>0</v>
      </c>
      <c r="J34" s="42">
        <f t="shared" si="5"/>
        <v>0</v>
      </c>
      <c r="K34" s="39">
        <f>OC!$B$6</f>
        <v>0</v>
      </c>
      <c r="L34" s="39">
        <f>OC!$B$7</f>
        <v>0</v>
      </c>
      <c r="M34" s="39">
        <f>OC!$B$2</f>
        <v>0</v>
      </c>
      <c r="N34" s="44">
        <f>OC!$B$3</f>
        <v>0</v>
      </c>
      <c r="O34" s="39">
        <f>OC!$B$5</f>
        <v>0</v>
      </c>
      <c r="P34" s="39">
        <f>OC!$B$8</f>
        <v>0</v>
      </c>
      <c r="Q34" s="39">
        <f>OC!$B$4</f>
        <v>0</v>
      </c>
      <c r="R34" s="43">
        <f>OC!J42</f>
        <v>0</v>
      </c>
      <c r="S34" s="43">
        <v>0</v>
      </c>
      <c r="T34" s="43">
        <f>OC!L42</f>
        <v>0</v>
      </c>
      <c r="U34" s="43">
        <f>OC!M42</f>
        <v>0</v>
      </c>
      <c r="V34" s="43">
        <f>OC!N42</f>
        <v>0</v>
      </c>
    </row>
    <row r="35" spans="1:22" s="31" customFormat="1" x14ac:dyDescent="0.3">
      <c r="A35" s="38">
        <f>OC!A43</f>
        <v>0</v>
      </c>
      <c r="B35" s="38">
        <f>OC!B43</f>
        <v>0</v>
      </c>
      <c r="C35" s="38">
        <f>OC!C43</f>
        <v>0</v>
      </c>
      <c r="D35" s="38">
        <f>OC!P43</f>
        <v>0</v>
      </c>
      <c r="E35" s="39">
        <f>OC!D43</f>
        <v>0</v>
      </c>
      <c r="F35" s="40">
        <f>OC!E43</f>
        <v>0</v>
      </c>
      <c r="G35" s="41">
        <f t="shared" si="3"/>
        <v>0</v>
      </c>
      <c r="H35" s="39">
        <f>IF(_xlfn.XLOOKUP(A35,[1]MACHOTE!A:A,[1]MACHOTE!V:V,0,0)="S",1.16,IF(_xlfn.XLOOKUP(A35,[1]MACHOTE!A:A,[1]MACHOTE!Y:Y,0,0)="S",1.08,1))</f>
        <v>1</v>
      </c>
      <c r="I35" s="39">
        <f t="shared" si="4"/>
        <v>0</v>
      </c>
      <c r="J35" s="42">
        <f t="shared" si="5"/>
        <v>0</v>
      </c>
      <c r="K35" s="39">
        <f>OC!$B$6</f>
        <v>0</v>
      </c>
      <c r="L35" s="39">
        <f>OC!$B$7</f>
        <v>0</v>
      </c>
      <c r="M35" s="39">
        <f>OC!$B$2</f>
        <v>0</v>
      </c>
      <c r="N35" s="44">
        <f>OC!$B$3</f>
        <v>0</v>
      </c>
      <c r="O35" s="39">
        <f>OC!$B$5</f>
        <v>0</v>
      </c>
      <c r="P35" s="39">
        <f>OC!$B$8</f>
        <v>0</v>
      </c>
      <c r="Q35" s="39">
        <f>OC!$B$4</f>
        <v>0</v>
      </c>
      <c r="R35" s="43">
        <f>OC!J43</f>
        <v>0</v>
      </c>
      <c r="S35" s="43">
        <v>0</v>
      </c>
      <c r="T35" s="43">
        <f>OC!L43</f>
        <v>0</v>
      </c>
      <c r="U35" s="43">
        <f>OC!M43</f>
        <v>0</v>
      </c>
      <c r="V35" s="43">
        <f>OC!N43</f>
        <v>0</v>
      </c>
    </row>
    <row r="36" spans="1:22" s="31" customFormat="1" x14ac:dyDescent="0.3">
      <c r="A36" s="38">
        <f>OC!A44</f>
        <v>0</v>
      </c>
      <c r="B36" s="38">
        <f>OC!B44</f>
        <v>0</v>
      </c>
      <c r="C36" s="38">
        <f>OC!C44</f>
        <v>0</v>
      </c>
      <c r="D36" s="38">
        <f>OC!P44</f>
        <v>0</v>
      </c>
      <c r="E36" s="39">
        <f>OC!D44</f>
        <v>0</v>
      </c>
      <c r="F36" s="40">
        <f>OC!E44</f>
        <v>0</v>
      </c>
      <c r="G36" s="41">
        <f t="shared" si="3"/>
        <v>0</v>
      </c>
      <c r="H36" s="39">
        <f>IF(_xlfn.XLOOKUP(A36,[1]MACHOTE!A:A,[1]MACHOTE!V:V,0,0)="S",1.16,IF(_xlfn.XLOOKUP(A36,[1]MACHOTE!A:A,[1]MACHOTE!Y:Y,0,0)="S",1.08,1))</f>
        <v>1</v>
      </c>
      <c r="I36" s="39">
        <f t="shared" si="4"/>
        <v>0</v>
      </c>
      <c r="J36" s="42">
        <f t="shared" si="5"/>
        <v>0</v>
      </c>
      <c r="K36" s="39">
        <f>OC!$B$6</f>
        <v>0</v>
      </c>
      <c r="L36" s="39">
        <f>OC!$B$7</f>
        <v>0</v>
      </c>
      <c r="M36" s="39">
        <f>OC!$B$2</f>
        <v>0</v>
      </c>
      <c r="N36" s="44">
        <f>OC!$B$3</f>
        <v>0</v>
      </c>
      <c r="O36" s="39">
        <f>OC!$B$5</f>
        <v>0</v>
      </c>
      <c r="P36" s="39">
        <f>OC!$B$8</f>
        <v>0</v>
      </c>
      <c r="Q36" s="39">
        <f>OC!$B$4</f>
        <v>0</v>
      </c>
      <c r="R36" s="43">
        <f>OC!J44</f>
        <v>0</v>
      </c>
      <c r="S36" s="43">
        <v>0</v>
      </c>
      <c r="T36" s="43">
        <f>OC!L44</f>
        <v>0</v>
      </c>
      <c r="U36" s="43">
        <f>OC!M44</f>
        <v>0</v>
      </c>
      <c r="V36" s="43">
        <f>OC!N44</f>
        <v>0</v>
      </c>
    </row>
    <row r="37" spans="1:22" s="31" customFormat="1" x14ac:dyDescent="0.3">
      <c r="A37" s="38">
        <f>OC!A45</f>
        <v>0</v>
      </c>
      <c r="B37" s="38">
        <f>OC!B45</f>
        <v>0</v>
      </c>
      <c r="C37" s="38">
        <f>OC!C45</f>
        <v>0</v>
      </c>
      <c r="D37" s="38">
        <f>OC!P45</f>
        <v>0</v>
      </c>
      <c r="E37" s="39">
        <f>OC!D45</f>
        <v>0</v>
      </c>
      <c r="F37" s="40">
        <f>OC!E45</f>
        <v>0</v>
      </c>
      <c r="G37" s="41">
        <f t="shared" si="3"/>
        <v>0</v>
      </c>
      <c r="H37" s="39">
        <f>IF(_xlfn.XLOOKUP(A37,[1]MACHOTE!A:A,[1]MACHOTE!V:V,0,0)="S",1.16,IF(_xlfn.XLOOKUP(A37,[1]MACHOTE!A:A,[1]MACHOTE!Y:Y,0,0)="S",1.08,1))</f>
        <v>1</v>
      </c>
      <c r="I37" s="39">
        <f t="shared" si="4"/>
        <v>0</v>
      </c>
      <c r="J37" s="42">
        <f t="shared" si="5"/>
        <v>0</v>
      </c>
      <c r="K37" s="39">
        <f>OC!$B$6</f>
        <v>0</v>
      </c>
      <c r="L37" s="39">
        <f>OC!$B$7</f>
        <v>0</v>
      </c>
      <c r="M37" s="39">
        <f>OC!$B$2</f>
        <v>0</v>
      </c>
      <c r="N37" s="44">
        <f>OC!$B$3</f>
        <v>0</v>
      </c>
      <c r="O37" s="39">
        <f>OC!$B$5</f>
        <v>0</v>
      </c>
      <c r="P37" s="39">
        <f>OC!$B$8</f>
        <v>0</v>
      </c>
      <c r="Q37" s="39">
        <f>OC!$B$4</f>
        <v>0</v>
      </c>
      <c r="R37" s="43">
        <f>OC!J45</f>
        <v>0</v>
      </c>
      <c r="S37" s="43">
        <v>0</v>
      </c>
      <c r="T37" s="43">
        <f>OC!L45</f>
        <v>0</v>
      </c>
      <c r="U37" s="43">
        <f>OC!M45</f>
        <v>0</v>
      </c>
      <c r="V37" s="43">
        <f>OC!N45</f>
        <v>0</v>
      </c>
    </row>
    <row r="38" spans="1:22" s="31" customFormat="1" x14ac:dyDescent="0.3">
      <c r="A38" s="38">
        <f>OC!A46</f>
        <v>0</v>
      </c>
      <c r="B38" s="38">
        <f>OC!B46</f>
        <v>0</v>
      </c>
      <c r="C38" s="38">
        <f>OC!C46</f>
        <v>0</v>
      </c>
      <c r="D38" s="38">
        <f>OC!P46</f>
        <v>0</v>
      </c>
      <c r="E38" s="39">
        <f>OC!D46</f>
        <v>0</v>
      </c>
      <c r="F38" s="40">
        <f>OC!E46</f>
        <v>0</v>
      </c>
      <c r="G38" s="41">
        <f t="shared" si="3"/>
        <v>0</v>
      </c>
      <c r="H38" s="39">
        <f>IF(_xlfn.XLOOKUP(A38,[1]MACHOTE!A:A,[1]MACHOTE!V:V,0,0)="S",1.16,IF(_xlfn.XLOOKUP(A38,[1]MACHOTE!A:A,[1]MACHOTE!Y:Y,0,0)="S",1.08,1))</f>
        <v>1</v>
      </c>
      <c r="I38" s="39">
        <f t="shared" si="4"/>
        <v>0</v>
      </c>
      <c r="J38" s="42">
        <f t="shared" si="5"/>
        <v>0</v>
      </c>
      <c r="K38" s="39">
        <f>OC!$B$6</f>
        <v>0</v>
      </c>
      <c r="L38" s="39">
        <f>OC!$B$7</f>
        <v>0</v>
      </c>
      <c r="M38" s="39">
        <f>OC!$B$2</f>
        <v>0</v>
      </c>
      <c r="N38" s="44">
        <f>OC!$B$3</f>
        <v>0</v>
      </c>
      <c r="O38" s="39">
        <f>OC!$B$5</f>
        <v>0</v>
      </c>
      <c r="P38" s="39">
        <f>OC!$B$8</f>
        <v>0</v>
      </c>
      <c r="Q38" s="39">
        <f>OC!$B$4</f>
        <v>0</v>
      </c>
      <c r="R38" s="43">
        <f>OC!J46</f>
        <v>0</v>
      </c>
      <c r="S38" s="43">
        <v>0</v>
      </c>
      <c r="T38" s="43">
        <f>OC!L46</f>
        <v>0</v>
      </c>
      <c r="U38" s="43">
        <f>OC!M46</f>
        <v>0</v>
      </c>
      <c r="V38" s="43">
        <f>OC!N46</f>
        <v>0</v>
      </c>
    </row>
    <row r="39" spans="1:22" s="31" customFormat="1" x14ac:dyDescent="0.3">
      <c r="A39" s="38">
        <f>OC!A47</f>
        <v>0</v>
      </c>
      <c r="B39" s="38">
        <f>OC!B47</f>
        <v>0</v>
      </c>
      <c r="C39" s="38">
        <f>OC!C47</f>
        <v>0</v>
      </c>
      <c r="D39" s="38">
        <f>OC!P47</f>
        <v>0</v>
      </c>
      <c r="E39" s="39">
        <f>OC!D47</f>
        <v>0</v>
      </c>
      <c r="F39" s="40">
        <f>OC!E47</f>
        <v>0</v>
      </c>
      <c r="G39" s="41">
        <f t="shared" si="3"/>
        <v>0</v>
      </c>
      <c r="H39" s="39">
        <f>IF(_xlfn.XLOOKUP(A39,[1]MACHOTE!A:A,[1]MACHOTE!V:V,0,0)="S",1.16,IF(_xlfn.XLOOKUP(A39,[1]MACHOTE!A:A,[1]MACHOTE!Y:Y,0,0)="S",1.08,1))</f>
        <v>1</v>
      </c>
      <c r="I39" s="39">
        <f t="shared" si="4"/>
        <v>0</v>
      </c>
      <c r="J39" s="42">
        <f t="shared" si="5"/>
        <v>0</v>
      </c>
      <c r="K39" s="39">
        <f>OC!$B$6</f>
        <v>0</v>
      </c>
      <c r="L39" s="39">
        <f>OC!$B$7</f>
        <v>0</v>
      </c>
      <c r="M39" s="39">
        <f>OC!$B$2</f>
        <v>0</v>
      </c>
      <c r="N39" s="44">
        <f>OC!$B$3</f>
        <v>0</v>
      </c>
      <c r="O39" s="39">
        <f>OC!$B$5</f>
        <v>0</v>
      </c>
      <c r="P39" s="39">
        <f>OC!$B$8</f>
        <v>0</v>
      </c>
      <c r="Q39" s="39">
        <f>OC!$B$4</f>
        <v>0</v>
      </c>
      <c r="R39" s="43">
        <f>OC!J47</f>
        <v>0</v>
      </c>
      <c r="S39" s="43">
        <v>0</v>
      </c>
      <c r="T39" s="43">
        <f>OC!L47</f>
        <v>0</v>
      </c>
      <c r="U39" s="43">
        <f>OC!M47</f>
        <v>0</v>
      </c>
      <c r="V39" s="43">
        <f>OC!N47</f>
        <v>0</v>
      </c>
    </row>
    <row r="40" spans="1:22" s="31" customFormat="1" x14ac:dyDescent="0.3">
      <c r="A40" s="38">
        <f>OC!A48</f>
        <v>0</v>
      </c>
      <c r="B40" s="38">
        <f>OC!B48</f>
        <v>0</v>
      </c>
      <c r="C40" s="38">
        <f>OC!C48</f>
        <v>0</v>
      </c>
      <c r="D40" s="38">
        <f>OC!P48</f>
        <v>0</v>
      </c>
      <c r="E40" s="39">
        <f>OC!D48</f>
        <v>0</v>
      </c>
      <c r="F40" s="40">
        <f>OC!E48</f>
        <v>0</v>
      </c>
      <c r="G40" s="41">
        <f t="shared" si="3"/>
        <v>0</v>
      </c>
      <c r="H40" s="39">
        <f>IF(_xlfn.XLOOKUP(A40,[1]MACHOTE!A:A,[1]MACHOTE!V:V,0,0)="S",1.16,IF(_xlfn.XLOOKUP(A40,[1]MACHOTE!A:A,[1]MACHOTE!Y:Y,0,0)="S",1.08,1))</f>
        <v>1</v>
      </c>
      <c r="I40" s="39">
        <f t="shared" si="4"/>
        <v>0</v>
      </c>
      <c r="J40" s="42">
        <f t="shared" si="5"/>
        <v>0</v>
      </c>
      <c r="K40" s="39">
        <f>OC!$B$6</f>
        <v>0</v>
      </c>
      <c r="L40" s="39">
        <f>OC!$B$7</f>
        <v>0</v>
      </c>
      <c r="M40" s="39">
        <f>OC!$B$2</f>
        <v>0</v>
      </c>
      <c r="N40" s="44">
        <f>OC!$B$3</f>
        <v>0</v>
      </c>
      <c r="O40" s="39">
        <f>OC!$B$5</f>
        <v>0</v>
      </c>
      <c r="P40" s="39">
        <f>OC!$B$8</f>
        <v>0</v>
      </c>
      <c r="Q40" s="39">
        <f>OC!$B$4</f>
        <v>0</v>
      </c>
      <c r="R40" s="43">
        <f>OC!J48</f>
        <v>0</v>
      </c>
      <c r="S40" s="43">
        <v>0</v>
      </c>
      <c r="T40" s="43">
        <f>OC!L48</f>
        <v>0</v>
      </c>
      <c r="U40" s="43">
        <f>OC!M48</f>
        <v>0</v>
      </c>
      <c r="V40" s="43">
        <f>OC!N48</f>
        <v>0</v>
      </c>
    </row>
    <row r="41" spans="1:22" s="31" customFormat="1" x14ac:dyDescent="0.3">
      <c r="A41" s="38">
        <f>OC!A49</f>
        <v>0</v>
      </c>
      <c r="B41" s="38">
        <f>OC!B49</f>
        <v>0</v>
      </c>
      <c r="C41" s="38">
        <f>OC!C49</f>
        <v>0</v>
      </c>
      <c r="D41" s="38">
        <f>OC!P49</f>
        <v>0</v>
      </c>
      <c r="E41" s="39">
        <f>OC!D49</f>
        <v>0</v>
      </c>
      <c r="F41" s="40">
        <f>OC!E49</f>
        <v>0</v>
      </c>
      <c r="G41" s="41">
        <f t="shared" si="3"/>
        <v>0</v>
      </c>
      <c r="H41" s="39">
        <f>IF(_xlfn.XLOOKUP(A41,[1]MACHOTE!A:A,[1]MACHOTE!V:V,0,0)="S",1.16,IF(_xlfn.XLOOKUP(A41,[1]MACHOTE!A:A,[1]MACHOTE!Y:Y,0,0)="S",1.08,1))</f>
        <v>1</v>
      </c>
      <c r="I41" s="39">
        <f t="shared" si="4"/>
        <v>0</v>
      </c>
      <c r="J41" s="42">
        <f t="shared" si="5"/>
        <v>0</v>
      </c>
      <c r="K41" s="39">
        <f>OC!$B$6</f>
        <v>0</v>
      </c>
      <c r="L41" s="39">
        <f>OC!$B$7</f>
        <v>0</v>
      </c>
      <c r="M41" s="39">
        <f>OC!$B$2</f>
        <v>0</v>
      </c>
      <c r="N41" s="44">
        <f>OC!$B$3</f>
        <v>0</v>
      </c>
      <c r="O41" s="39">
        <f>OC!$B$5</f>
        <v>0</v>
      </c>
      <c r="P41" s="39">
        <f>OC!$B$8</f>
        <v>0</v>
      </c>
      <c r="Q41" s="39">
        <f>OC!$B$4</f>
        <v>0</v>
      </c>
      <c r="R41" s="43">
        <f>OC!J49</f>
        <v>0</v>
      </c>
      <c r="S41" s="43">
        <v>0</v>
      </c>
      <c r="T41" s="43">
        <f>OC!L49</f>
        <v>0</v>
      </c>
      <c r="U41" s="43">
        <f>OC!M49</f>
        <v>0</v>
      </c>
      <c r="V41" s="43">
        <f>OC!N49</f>
        <v>0</v>
      </c>
    </row>
    <row r="42" spans="1:22" s="31" customFormat="1" x14ac:dyDescent="0.3">
      <c r="A42" s="38">
        <f>OC!A50</f>
        <v>0</v>
      </c>
      <c r="B42" s="38">
        <f>OC!B50</f>
        <v>0</v>
      </c>
      <c r="C42" s="38">
        <f>OC!C50</f>
        <v>0</v>
      </c>
      <c r="D42" s="38">
        <f>OC!P50</f>
        <v>0</v>
      </c>
      <c r="E42" s="39">
        <f>OC!D50</f>
        <v>0</v>
      </c>
      <c r="F42" s="40">
        <f>OC!E50</f>
        <v>0</v>
      </c>
      <c r="G42" s="41">
        <f t="shared" si="3"/>
        <v>0</v>
      </c>
      <c r="H42" s="39">
        <f>IF(_xlfn.XLOOKUP(A42,[1]MACHOTE!A:A,[1]MACHOTE!V:V,0,0)="S",1.16,IF(_xlfn.XLOOKUP(A42,[1]MACHOTE!A:A,[1]MACHOTE!Y:Y,0,0)="S",1.08,1))</f>
        <v>1</v>
      </c>
      <c r="I42" s="39">
        <f t="shared" si="4"/>
        <v>0</v>
      </c>
      <c r="J42" s="42">
        <f t="shared" si="5"/>
        <v>0</v>
      </c>
      <c r="K42" s="39">
        <f>OC!$B$6</f>
        <v>0</v>
      </c>
      <c r="L42" s="39">
        <f>OC!$B$7</f>
        <v>0</v>
      </c>
      <c r="M42" s="39">
        <f>OC!$B$2</f>
        <v>0</v>
      </c>
      <c r="N42" s="44">
        <f>OC!$B$3</f>
        <v>0</v>
      </c>
      <c r="O42" s="39">
        <f>OC!$B$5</f>
        <v>0</v>
      </c>
      <c r="P42" s="39">
        <f>OC!$B$8</f>
        <v>0</v>
      </c>
      <c r="Q42" s="39">
        <f>OC!$B$4</f>
        <v>0</v>
      </c>
      <c r="R42" s="43">
        <f>OC!J50</f>
        <v>0</v>
      </c>
      <c r="S42" s="43">
        <v>0</v>
      </c>
      <c r="T42" s="43">
        <f>OC!L50</f>
        <v>0</v>
      </c>
      <c r="U42" s="43">
        <f>OC!M50</f>
        <v>0</v>
      </c>
      <c r="V42" s="43">
        <f>OC!N50</f>
        <v>0</v>
      </c>
    </row>
    <row r="43" spans="1:22" s="31" customFormat="1" x14ac:dyDescent="0.3">
      <c r="A43" s="38">
        <f>OC!A51</f>
        <v>0</v>
      </c>
      <c r="B43" s="38">
        <f>OC!B51</f>
        <v>0</v>
      </c>
      <c r="C43" s="38">
        <f>OC!C51</f>
        <v>0</v>
      </c>
      <c r="D43" s="38">
        <f>OC!P51</f>
        <v>0</v>
      </c>
      <c r="E43" s="39">
        <f>OC!D51</f>
        <v>0</v>
      </c>
      <c r="F43" s="40">
        <f>OC!E51</f>
        <v>0</v>
      </c>
      <c r="G43" s="41">
        <f t="shared" si="3"/>
        <v>0</v>
      </c>
      <c r="H43" s="39">
        <f>IF(_xlfn.XLOOKUP(A43,[1]MACHOTE!A:A,[1]MACHOTE!V:V,0,0)="S",1.16,IF(_xlfn.XLOOKUP(A43,[1]MACHOTE!A:A,[1]MACHOTE!Y:Y,0,0)="S",1.08,1))</f>
        <v>1</v>
      </c>
      <c r="I43" s="39">
        <f t="shared" si="4"/>
        <v>0</v>
      </c>
      <c r="J43" s="42">
        <f t="shared" si="5"/>
        <v>0</v>
      </c>
      <c r="K43" s="39">
        <f>OC!$B$6</f>
        <v>0</v>
      </c>
      <c r="L43" s="39">
        <f>OC!$B$7</f>
        <v>0</v>
      </c>
      <c r="M43" s="39">
        <f>OC!$B$2</f>
        <v>0</v>
      </c>
      <c r="N43" s="44">
        <f>OC!$B$3</f>
        <v>0</v>
      </c>
      <c r="O43" s="39">
        <f>OC!$B$5</f>
        <v>0</v>
      </c>
      <c r="P43" s="39">
        <f>OC!$B$8</f>
        <v>0</v>
      </c>
      <c r="Q43" s="39">
        <f>OC!$B$4</f>
        <v>0</v>
      </c>
      <c r="R43" s="43">
        <f>OC!J51</f>
        <v>0</v>
      </c>
      <c r="S43" s="43">
        <v>0</v>
      </c>
      <c r="T43" s="43">
        <f>OC!L51</f>
        <v>0</v>
      </c>
      <c r="U43" s="43">
        <f>OC!M51</f>
        <v>0</v>
      </c>
      <c r="V43" s="43">
        <f>OC!N51</f>
        <v>0</v>
      </c>
    </row>
    <row r="44" spans="1:22" s="31" customFormat="1" x14ac:dyDescent="0.3">
      <c r="A44" s="38">
        <f>OC!A52</f>
        <v>0</v>
      </c>
      <c r="B44" s="38">
        <f>OC!B52</f>
        <v>0</v>
      </c>
      <c r="C44" s="38">
        <f>OC!C52</f>
        <v>0</v>
      </c>
      <c r="D44" s="38">
        <f>OC!P52</f>
        <v>0</v>
      </c>
      <c r="E44" s="39">
        <f>OC!D52</f>
        <v>0</v>
      </c>
      <c r="F44" s="40">
        <f>OC!E52</f>
        <v>0</v>
      </c>
      <c r="G44" s="41">
        <f t="shared" si="3"/>
        <v>0</v>
      </c>
      <c r="H44" s="39">
        <f>IF(_xlfn.XLOOKUP(A44,[1]MACHOTE!A:A,[1]MACHOTE!V:V,0,0)="S",1.16,IF(_xlfn.XLOOKUP(A44,[1]MACHOTE!A:A,[1]MACHOTE!Y:Y,0,0)="S",1.08,1))</f>
        <v>1</v>
      </c>
      <c r="I44" s="39">
        <f t="shared" si="4"/>
        <v>0</v>
      </c>
      <c r="J44" s="42">
        <f t="shared" si="5"/>
        <v>0</v>
      </c>
      <c r="K44" s="39">
        <f>OC!$B$6</f>
        <v>0</v>
      </c>
      <c r="L44" s="39">
        <f>OC!$B$7</f>
        <v>0</v>
      </c>
      <c r="M44" s="39">
        <f>OC!$B$2</f>
        <v>0</v>
      </c>
      <c r="N44" s="44">
        <f>OC!$B$3</f>
        <v>0</v>
      </c>
      <c r="O44" s="39">
        <f>OC!$B$5</f>
        <v>0</v>
      </c>
      <c r="P44" s="39">
        <f>OC!$B$8</f>
        <v>0</v>
      </c>
      <c r="Q44" s="39">
        <f>OC!$B$4</f>
        <v>0</v>
      </c>
      <c r="R44" s="43">
        <f>OC!J52</f>
        <v>0</v>
      </c>
      <c r="S44" s="43">
        <v>0</v>
      </c>
      <c r="T44" s="43">
        <f>OC!L52</f>
        <v>0</v>
      </c>
      <c r="U44" s="43">
        <f>OC!M52</f>
        <v>0</v>
      </c>
      <c r="V44" s="43">
        <f>OC!N52</f>
        <v>0</v>
      </c>
    </row>
    <row r="45" spans="1:22" s="31" customFormat="1" x14ac:dyDescent="0.3">
      <c r="A45" s="38">
        <f>OC!A53</f>
        <v>0</v>
      </c>
      <c r="B45" s="38">
        <f>OC!B53</f>
        <v>0</v>
      </c>
      <c r="C45" s="38">
        <f>OC!C53</f>
        <v>0</v>
      </c>
      <c r="D45" s="38">
        <f>OC!P53</f>
        <v>0</v>
      </c>
      <c r="E45" s="39">
        <f>OC!D53</f>
        <v>0</v>
      </c>
      <c r="F45" s="40">
        <f>OC!E53</f>
        <v>0</v>
      </c>
      <c r="G45" s="41">
        <f t="shared" si="3"/>
        <v>0</v>
      </c>
      <c r="H45" s="39">
        <f>IF(_xlfn.XLOOKUP(A45,[1]MACHOTE!A:A,[1]MACHOTE!V:V,0,0)="S",1.16,IF(_xlfn.XLOOKUP(A45,[1]MACHOTE!A:A,[1]MACHOTE!Y:Y,0,0)="S",1.08,1))</f>
        <v>1</v>
      </c>
      <c r="I45" s="39">
        <f t="shared" si="4"/>
        <v>0</v>
      </c>
      <c r="J45" s="42">
        <f t="shared" si="5"/>
        <v>0</v>
      </c>
      <c r="K45" s="39">
        <f>OC!$B$6</f>
        <v>0</v>
      </c>
      <c r="L45" s="39">
        <f>OC!$B$7</f>
        <v>0</v>
      </c>
      <c r="M45" s="39">
        <f>OC!$B$2</f>
        <v>0</v>
      </c>
      <c r="N45" s="44">
        <f>OC!$B$3</f>
        <v>0</v>
      </c>
      <c r="O45" s="39">
        <f>OC!$B$5</f>
        <v>0</v>
      </c>
      <c r="P45" s="39">
        <f>OC!$B$8</f>
        <v>0</v>
      </c>
      <c r="Q45" s="39">
        <f>OC!$B$4</f>
        <v>0</v>
      </c>
      <c r="R45" s="43">
        <f>OC!J53</f>
        <v>0</v>
      </c>
      <c r="S45" s="43">
        <v>0</v>
      </c>
      <c r="T45" s="43">
        <f>OC!L53</f>
        <v>0</v>
      </c>
      <c r="U45" s="43">
        <f>OC!M53</f>
        <v>0</v>
      </c>
      <c r="V45" s="43">
        <f>OC!N53</f>
        <v>0</v>
      </c>
    </row>
    <row r="46" spans="1:22" s="31" customFormat="1" x14ac:dyDescent="0.3">
      <c r="A46" s="38">
        <f>OC!A54</f>
        <v>0</v>
      </c>
      <c r="B46" s="38">
        <f>OC!B54</f>
        <v>0</v>
      </c>
      <c r="C46" s="38">
        <f>OC!C54</f>
        <v>0</v>
      </c>
      <c r="D46" s="38">
        <f>OC!P54</f>
        <v>0</v>
      </c>
      <c r="E46" s="39">
        <f>OC!D54</f>
        <v>0</v>
      </c>
      <c r="F46" s="40">
        <f>OC!E54</f>
        <v>0</v>
      </c>
      <c r="G46" s="41">
        <f t="shared" si="3"/>
        <v>0</v>
      </c>
      <c r="H46" s="39">
        <f>IF(_xlfn.XLOOKUP(A46,[1]MACHOTE!A:A,[1]MACHOTE!V:V,0,0)="S",1.16,IF(_xlfn.XLOOKUP(A46,[1]MACHOTE!A:A,[1]MACHOTE!Y:Y,0,0)="S",1.08,1))</f>
        <v>1</v>
      </c>
      <c r="I46" s="39">
        <f t="shared" si="4"/>
        <v>0</v>
      </c>
      <c r="J46" s="42">
        <f t="shared" si="5"/>
        <v>0</v>
      </c>
      <c r="K46" s="39">
        <f>OC!$B$6</f>
        <v>0</v>
      </c>
      <c r="L46" s="39">
        <f>OC!$B$7</f>
        <v>0</v>
      </c>
      <c r="M46" s="39">
        <f>OC!$B$2</f>
        <v>0</v>
      </c>
      <c r="N46" s="44">
        <f>OC!$B$3</f>
        <v>0</v>
      </c>
      <c r="O46" s="39">
        <f>OC!$B$5</f>
        <v>0</v>
      </c>
      <c r="P46" s="39">
        <f>OC!$B$8</f>
        <v>0</v>
      </c>
      <c r="Q46" s="39">
        <f>OC!$B$4</f>
        <v>0</v>
      </c>
      <c r="R46" s="43">
        <f>OC!J54</f>
        <v>0</v>
      </c>
      <c r="S46" s="43">
        <v>0</v>
      </c>
      <c r="T46" s="43">
        <f>OC!L54</f>
        <v>0</v>
      </c>
      <c r="U46" s="43">
        <f>OC!M54</f>
        <v>0</v>
      </c>
      <c r="V46" s="43">
        <f>OC!N54</f>
        <v>0</v>
      </c>
    </row>
    <row r="47" spans="1:22" s="31" customFormat="1" x14ac:dyDescent="0.3">
      <c r="A47" s="38">
        <f>OC!A55</f>
        <v>0</v>
      </c>
      <c r="B47" s="38">
        <f>OC!B55</f>
        <v>0</v>
      </c>
      <c r="C47" s="38">
        <f>OC!C55</f>
        <v>0</v>
      </c>
      <c r="D47" s="38">
        <f>OC!P55</f>
        <v>0</v>
      </c>
      <c r="E47" s="39">
        <f>OC!D55</f>
        <v>0</v>
      </c>
      <c r="F47" s="40">
        <f>OC!E55</f>
        <v>0</v>
      </c>
      <c r="G47" s="41">
        <f t="shared" si="3"/>
        <v>0</v>
      </c>
      <c r="H47" s="39">
        <f>IF(_xlfn.XLOOKUP(A47,[1]MACHOTE!A:A,[1]MACHOTE!V:V,0,0)="S",1.16,IF(_xlfn.XLOOKUP(A47,[1]MACHOTE!A:A,[1]MACHOTE!Y:Y,0,0)="S",1.08,1))</f>
        <v>1</v>
      </c>
      <c r="I47" s="39">
        <f t="shared" si="4"/>
        <v>0</v>
      </c>
      <c r="J47" s="42">
        <f t="shared" si="5"/>
        <v>0</v>
      </c>
      <c r="K47" s="39">
        <f>OC!$B$6</f>
        <v>0</v>
      </c>
      <c r="L47" s="39">
        <f>OC!$B$7</f>
        <v>0</v>
      </c>
      <c r="M47" s="39">
        <f>OC!$B$2</f>
        <v>0</v>
      </c>
      <c r="N47" s="44">
        <f>OC!$B$3</f>
        <v>0</v>
      </c>
      <c r="O47" s="39">
        <f>OC!$B$5</f>
        <v>0</v>
      </c>
      <c r="P47" s="39">
        <f>OC!$B$8</f>
        <v>0</v>
      </c>
      <c r="Q47" s="39">
        <f>OC!$B$4</f>
        <v>0</v>
      </c>
      <c r="R47" s="43">
        <f>OC!J55</f>
        <v>0</v>
      </c>
      <c r="S47" s="43">
        <v>0</v>
      </c>
      <c r="T47" s="43">
        <f>OC!L55</f>
        <v>0</v>
      </c>
      <c r="U47" s="43">
        <f>OC!M55</f>
        <v>0</v>
      </c>
      <c r="V47" s="43">
        <f>OC!N55</f>
        <v>0</v>
      </c>
    </row>
    <row r="48" spans="1:22" s="31" customFormat="1" x14ac:dyDescent="0.3">
      <c r="A48" s="38">
        <f>OC!A56</f>
        <v>0</v>
      </c>
      <c r="B48" s="38">
        <f>OC!B56</f>
        <v>0</v>
      </c>
      <c r="C48" s="38">
        <f>OC!C56</f>
        <v>0</v>
      </c>
      <c r="D48" s="38">
        <f>OC!P56</f>
        <v>0</v>
      </c>
      <c r="E48" s="39">
        <f>OC!D56</f>
        <v>0</v>
      </c>
      <c r="F48" s="40">
        <f>OC!E56</f>
        <v>0</v>
      </c>
      <c r="G48" s="41">
        <f t="shared" si="3"/>
        <v>0</v>
      </c>
      <c r="H48" s="39">
        <f>IF(_xlfn.XLOOKUP(A48,[1]MACHOTE!A:A,[1]MACHOTE!V:V,0,0)="S",1.16,IF(_xlfn.XLOOKUP(A48,[1]MACHOTE!A:A,[1]MACHOTE!Y:Y,0,0)="S",1.08,1))</f>
        <v>1</v>
      </c>
      <c r="I48" s="39">
        <f t="shared" si="4"/>
        <v>0</v>
      </c>
      <c r="J48" s="42">
        <f t="shared" si="5"/>
        <v>0</v>
      </c>
      <c r="K48" s="39">
        <f>OC!$B$6</f>
        <v>0</v>
      </c>
      <c r="L48" s="39">
        <f>OC!$B$7</f>
        <v>0</v>
      </c>
      <c r="M48" s="39">
        <f>OC!$B$2</f>
        <v>0</v>
      </c>
      <c r="N48" s="44">
        <f>OC!$B$3</f>
        <v>0</v>
      </c>
      <c r="O48" s="39">
        <f>OC!$B$5</f>
        <v>0</v>
      </c>
      <c r="P48" s="39">
        <f>OC!$B$8</f>
        <v>0</v>
      </c>
      <c r="Q48" s="39">
        <f>OC!$B$4</f>
        <v>0</v>
      </c>
      <c r="R48" s="43">
        <f>OC!J56</f>
        <v>0</v>
      </c>
      <c r="S48" s="43">
        <v>0</v>
      </c>
      <c r="T48" s="43">
        <f>OC!L56</f>
        <v>0</v>
      </c>
      <c r="U48" s="43">
        <f>OC!M56</f>
        <v>0</v>
      </c>
      <c r="V48" s="43">
        <f>OC!N56</f>
        <v>0</v>
      </c>
    </row>
    <row r="49" spans="1:22" s="31" customFormat="1" x14ac:dyDescent="0.3">
      <c r="A49" s="38">
        <f>OC!A57</f>
        <v>0</v>
      </c>
      <c r="B49" s="38">
        <f>OC!B57</f>
        <v>0</v>
      </c>
      <c r="C49" s="38">
        <f>OC!C57</f>
        <v>0</v>
      </c>
      <c r="D49" s="38">
        <f>OC!P57</f>
        <v>0</v>
      </c>
      <c r="E49" s="39">
        <f>OC!D57</f>
        <v>0</v>
      </c>
      <c r="F49" s="40">
        <f>OC!E57</f>
        <v>0</v>
      </c>
      <c r="G49" s="41">
        <f t="shared" si="3"/>
        <v>0</v>
      </c>
      <c r="H49" s="39">
        <f>IF(_xlfn.XLOOKUP(A49,[1]MACHOTE!A:A,[1]MACHOTE!V:V,0,0)="S",1.16,IF(_xlfn.XLOOKUP(A49,[1]MACHOTE!A:A,[1]MACHOTE!Y:Y,0,0)="S",1.08,1))</f>
        <v>1</v>
      </c>
      <c r="I49" s="39">
        <f t="shared" si="4"/>
        <v>0</v>
      </c>
      <c r="J49" s="42">
        <f t="shared" si="5"/>
        <v>0</v>
      </c>
      <c r="K49" s="39">
        <f>OC!$B$6</f>
        <v>0</v>
      </c>
      <c r="L49" s="39">
        <f>OC!$B$7</f>
        <v>0</v>
      </c>
      <c r="M49" s="39">
        <f>OC!$B$2</f>
        <v>0</v>
      </c>
      <c r="N49" s="44">
        <f>OC!$B$3</f>
        <v>0</v>
      </c>
      <c r="O49" s="39">
        <f>OC!$B$5</f>
        <v>0</v>
      </c>
      <c r="P49" s="39">
        <f>OC!$B$8</f>
        <v>0</v>
      </c>
      <c r="Q49" s="39">
        <f>OC!$B$4</f>
        <v>0</v>
      </c>
      <c r="R49" s="43">
        <f>OC!J57</f>
        <v>0</v>
      </c>
      <c r="S49" s="43">
        <v>0</v>
      </c>
      <c r="T49" s="43">
        <f>OC!L57</f>
        <v>0</v>
      </c>
      <c r="U49" s="43">
        <f>OC!M57</f>
        <v>0</v>
      </c>
      <c r="V49" s="43">
        <f>OC!N57</f>
        <v>0</v>
      </c>
    </row>
    <row r="50" spans="1:22" s="31" customFormat="1" x14ac:dyDescent="0.3">
      <c r="A50" s="38">
        <f>OC!A58</f>
        <v>0</v>
      </c>
      <c r="B50" s="38">
        <f>OC!B58</f>
        <v>0</v>
      </c>
      <c r="C50" s="38">
        <f>OC!C58</f>
        <v>0</v>
      </c>
      <c r="D50" s="38">
        <f>OC!P58</f>
        <v>0</v>
      </c>
      <c r="E50" s="39">
        <f>OC!D58</f>
        <v>0</v>
      </c>
      <c r="F50" s="40">
        <f>OC!E58</f>
        <v>0</v>
      </c>
      <c r="G50" s="41">
        <f t="shared" si="3"/>
        <v>0</v>
      </c>
      <c r="H50" s="39">
        <f>IF(_xlfn.XLOOKUP(A50,[1]MACHOTE!A:A,[1]MACHOTE!V:V,0,0)="S",1.16,IF(_xlfn.XLOOKUP(A50,[1]MACHOTE!A:A,[1]MACHOTE!Y:Y,0,0)="S",1.08,1))</f>
        <v>1</v>
      </c>
      <c r="I50" s="39">
        <f t="shared" si="4"/>
        <v>0</v>
      </c>
      <c r="J50" s="42">
        <f t="shared" si="5"/>
        <v>0</v>
      </c>
      <c r="K50" s="39">
        <f>OC!$B$6</f>
        <v>0</v>
      </c>
      <c r="L50" s="39">
        <f>OC!$B$7</f>
        <v>0</v>
      </c>
      <c r="M50" s="39">
        <f>OC!$B$2</f>
        <v>0</v>
      </c>
      <c r="N50" s="44">
        <f>OC!$B$3</f>
        <v>0</v>
      </c>
      <c r="O50" s="39">
        <f>OC!$B$5</f>
        <v>0</v>
      </c>
      <c r="P50" s="39">
        <f>OC!$B$8</f>
        <v>0</v>
      </c>
      <c r="Q50" s="39">
        <f>OC!$B$4</f>
        <v>0</v>
      </c>
      <c r="R50" s="43">
        <f>OC!J58</f>
        <v>0</v>
      </c>
      <c r="S50" s="43">
        <v>0</v>
      </c>
      <c r="T50" s="43">
        <f>OC!L58</f>
        <v>0</v>
      </c>
      <c r="U50" s="43">
        <f>OC!M58</f>
        <v>0</v>
      </c>
      <c r="V50" s="43">
        <f>OC!N58</f>
        <v>0</v>
      </c>
    </row>
    <row r="51" spans="1:22" s="31" customFormat="1" x14ac:dyDescent="0.3">
      <c r="A51" s="38">
        <f>OC!A59</f>
        <v>0</v>
      </c>
      <c r="B51" s="38">
        <f>OC!B59</f>
        <v>0</v>
      </c>
      <c r="C51" s="38">
        <f>OC!C59</f>
        <v>0</v>
      </c>
      <c r="D51" s="38">
        <f>OC!P59</f>
        <v>0</v>
      </c>
      <c r="E51" s="39">
        <f>OC!D59</f>
        <v>0</v>
      </c>
      <c r="F51" s="40">
        <f>OC!E59</f>
        <v>0</v>
      </c>
      <c r="G51" s="41">
        <f t="shared" si="3"/>
        <v>0</v>
      </c>
      <c r="H51" s="39">
        <f>IF(_xlfn.XLOOKUP(A51,[1]MACHOTE!A:A,[1]MACHOTE!V:V,0,0)="S",1.16,IF(_xlfn.XLOOKUP(A51,[1]MACHOTE!A:A,[1]MACHOTE!Y:Y,0,0)="S",1.08,1))</f>
        <v>1</v>
      </c>
      <c r="I51" s="39">
        <f t="shared" si="4"/>
        <v>0</v>
      </c>
      <c r="J51" s="42">
        <f t="shared" si="5"/>
        <v>0</v>
      </c>
      <c r="K51" s="39">
        <f>OC!$B$6</f>
        <v>0</v>
      </c>
      <c r="L51" s="39">
        <f>OC!$B$7</f>
        <v>0</v>
      </c>
      <c r="M51" s="39">
        <f>OC!$B$2</f>
        <v>0</v>
      </c>
      <c r="N51" s="44">
        <f>OC!$B$3</f>
        <v>0</v>
      </c>
      <c r="O51" s="39">
        <f>OC!$B$5</f>
        <v>0</v>
      </c>
      <c r="P51" s="39">
        <f>OC!$B$8</f>
        <v>0</v>
      </c>
      <c r="Q51" s="39">
        <f>OC!$B$4</f>
        <v>0</v>
      </c>
      <c r="R51" s="43">
        <f>OC!J59</f>
        <v>0</v>
      </c>
      <c r="S51" s="43">
        <v>0</v>
      </c>
      <c r="T51" s="43">
        <f>OC!L59</f>
        <v>0</v>
      </c>
      <c r="U51" s="43">
        <f>OC!M59</f>
        <v>0</v>
      </c>
      <c r="V51" s="43">
        <f>OC!N59</f>
        <v>0</v>
      </c>
    </row>
    <row r="52" spans="1:22" s="31" customFormat="1" x14ac:dyDescent="0.3">
      <c r="A52" s="38">
        <f>OC!A60</f>
        <v>0</v>
      </c>
      <c r="B52" s="38">
        <f>OC!B60</f>
        <v>0</v>
      </c>
      <c r="C52" s="38">
        <f>OC!C60</f>
        <v>0</v>
      </c>
      <c r="D52" s="38">
        <f>OC!P60</f>
        <v>0</v>
      </c>
      <c r="E52" s="39">
        <f>OC!D60</f>
        <v>0</v>
      </c>
      <c r="F52" s="40">
        <f>OC!E60</f>
        <v>0</v>
      </c>
      <c r="G52" s="41">
        <f t="shared" si="3"/>
        <v>0</v>
      </c>
      <c r="H52" s="39">
        <f>IF(_xlfn.XLOOKUP(A52,[1]MACHOTE!A:A,[1]MACHOTE!V:V,0,0)="S",1.16,IF(_xlfn.XLOOKUP(A52,[1]MACHOTE!A:A,[1]MACHOTE!Y:Y,0,0)="S",1.08,1))</f>
        <v>1</v>
      </c>
      <c r="I52" s="39">
        <f t="shared" si="4"/>
        <v>0</v>
      </c>
      <c r="J52" s="42">
        <f t="shared" si="5"/>
        <v>0</v>
      </c>
      <c r="K52" s="39">
        <f>OC!$B$6</f>
        <v>0</v>
      </c>
      <c r="L52" s="39">
        <f>OC!$B$7</f>
        <v>0</v>
      </c>
      <c r="M52" s="39">
        <f>OC!$B$2</f>
        <v>0</v>
      </c>
      <c r="N52" s="44">
        <f>OC!$B$3</f>
        <v>0</v>
      </c>
      <c r="O52" s="39">
        <f>OC!$B$5</f>
        <v>0</v>
      </c>
      <c r="P52" s="39">
        <f>OC!$B$8</f>
        <v>0</v>
      </c>
      <c r="Q52" s="39">
        <f>OC!$B$4</f>
        <v>0</v>
      </c>
      <c r="R52" s="43">
        <f>OC!J60</f>
        <v>0</v>
      </c>
      <c r="S52" s="43">
        <v>0</v>
      </c>
      <c r="T52" s="43">
        <f>OC!L60</f>
        <v>0</v>
      </c>
      <c r="U52" s="43">
        <f>OC!M60</f>
        <v>0</v>
      </c>
      <c r="V52" s="43">
        <f>OC!N60</f>
        <v>0</v>
      </c>
    </row>
    <row r="53" spans="1:22" s="31" customFormat="1" x14ac:dyDescent="0.3">
      <c r="A53" s="38">
        <f>OC!A61</f>
        <v>0</v>
      </c>
      <c r="B53" s="38">
        <f>OC!B61</f>
        <v>0</v>
      </c>
      <c r="C53" s="38">
        <f>OC!C61</f>
        <v>0</v>
      </c>
      <c r="D53" s="38">
        <f>OC!P61</f>
        <v>0</v>
      </c>
      <c r="E53" s="39">
        <f>OC!D61</f>
        <v>0</v>
      </c>
      <c r="F53" s="40">
        <f>OC!E61</f>
        <v>0</v>
      </c>
      <c r="G53" s="41">
        <f t="shared" si="3"/>
        <v>0</v>
      </c>
      <c r="H53" s="39">
        <f>IF(_xlfn.XLOOKUP(A53,[1]MACHOTE!A:A,[1]MACHOTE!V:V,0,0)="S",1.16,IF(_xlfn.XLOOKUP(A53,[1]MACHOTE!A:A,[1]MACHOTE!Y:Y,0,0)="S",1.08,1))</f>
        <v>1</v>
      </c>
      <c r="I53" s="39">
        <f t="shared" si="4"/>
        <v>0</v>
      </c>
      <c r="J53" s="42">
        <f t="shared" si="5"/>
        <v>0</v>
      </c>
      <c r="K53" s="39">
        <f>OC!$B$6</f>
        <v>0</v>
      </c>
      <c r="L53" s="39">
        <f>OC!$B$7</f>
        <v>0</v>
      </c>
      <c r="M53" s="39">
        <f>OC!$B$2</f>
        <v>0</v>
      </c>
      <c r="N53" s="44">
        <f>OC!$B$3</f>
        <v>0</v>
      </c>
      <c r="O53" s="39">
        <f>OC!$B$5</f>
        <v>0</v>
      </c>
      <c r="P53" s="39">
        <f>OC!$B$8</f>
        <v>0</v>
      </c>
      <c r="Q53" s="39">
        <f>OC!$B$4</f>
        <v>0</v>
      </c>
      <c r="R53" s="43">
        <f>OC!J61</f>
        <v>0</v>
      </c>
      <c r="S53" s="43">
        <v>0</v>
      </c>
      <c r="T53" s="43">
        <f>OC!L61</f>
        <v>0</v>
      </c>
      <c r="U53" s="43">
        <f>OC!M61</f>
        <v>0</v>
      </c>
      <c r="V53" s="43">
        <f>OC!N61</f>
        <v>0</v>
      </c>
    </row>
    <row r="54" spans="1:22" s="31" customFormat="1" x14ac:dyDescent="0.3">
      <c r="A54" s="38">
        <f>OC!A62</f>
        <v>0</v>
      </c>
      <c r="B54" s="38">
        <f>OC!B62</f>
        <v>0</v>
      </c>
      <c r="C54" s="38">
        <f>OC!C62</f>
        <v>0</v>
      </c>
      <c r="D54" s="38">
        <f>OC!P62</f>
        <v>0</v>
      </c>
      <c r="E54" s="39">
        <f>OC!D62</f>
        <v>0</v>
      </c>
      <c r="F54" s="40">
        <f>OC!E62</f>
        <v>0</v>
      </c>
      <c r="G54" s="41">
        <f t="shared" si="3"/>
        <v>0</v>
      </c>
      <c r="H54" s="39">
        <f>IF(_xlfn.XLOOKUP(A54,[1]MACHOTE!A:A,[1]MACHOTE!V:V,0,0)="S",1.16,IF(_xlfn.XLOOKUP(A54,[1]MACHOTE!A:A,[1]MACHOTE!Y:Y,0,0)="S",1.08,1))</f>
        <v>1</v>
      </c>
      <c r="I54" s="39">
        <f t="shared" si="4"/>
        <v>0</v>
      </c>
      <c r="J54" s="42">
        <f t="shared" si="5"/>
        <v>0</v>
      </c>
      <c r="K54" s="39">
        <f>OC!$B$6</f>
        <v>0</v>
      </c>
      <c r="L54" s="39">
        <f>OC!$B$7</f>
        <v>0</v>
      </c>
      <c r="M54" s="39">
        <f>OC!$B$2</f>
        <v>0</v>
      </c>
      <c r="N54" s="44">
        <f>OC!$B$3</f>
        <v>0</v>
      </c>
      <c r="O54" s="39">
        <f>OC!$B$5</f>
        <v>0</v>
      </c>
      <c r="P54" s="39">
        <f>OC!$B$8</f>
        <v>0</v>
      </c>
      <c r="Q54" s="39">
        <f>OC!$B$4</f>
        <v>0</v>
      </c>
      <c r="R54" s="43">
        <f>OC!J62</f>
        <v>0</v>
      </c>
      <c r="S54" s="43">
        <v>0</v>
      </c>
      <c r="T54" s="43">
        <f>OC!L62</f>
        <v>0</v>
      </c>
      <c r="U54" s="43">
        <f>OC!M62</f>
        <v>0</v>
      </c>
      <c r="V54" s="43">
        <f>OC!N62</f>
        <v>0</v>
      </c>
    </row>
    <row r="55" spans="1:22" s="31" customFormat="1" x14ac:dyDescent="0.3">
      <c r="A55" s="38">
        <f>OC!A63</f>
        <v>0</v>
      </c>
      <c r="B55" s="38">
        <f>OC!B63</f>
        <v>0</v>
      </c>
      <c r="C55" s="38">
        <f>OC!C63</f>
        <v>0</v>
      </c>
      <c r="D55" s="38">
        <f>OC!P63</f>
        <v>0</v>
      </c>
      <c r="E55" s="39">
        <f>OC!D63</f>
        <v>0</v>
      </c>
      <c r="F55" s="40">
        <f>OC!E63</f>
        <v>0</v>
      </c>
      <c r="G55" s="41">
        <f t="shared" si="3"/>
        <v>0</v>
      </c>
      <c r="H55" s="39">
        <f>IF(_xlfn.XLOOKUP(A55,[1]MACHOTE!A:A,[1]MACHOTE!V:V,0,0)="S",1.16,IF(_xlfn.XLOOKUP(A55,[1]MACHOTE!A:A,[1]MACHOTE!Y:Y,0,0)="S",1.08,1))</f>
        <v>1</v>
      </c>
      <c r="I55" s="39">
        <f t="shared" si="4"/>
        <v>0</v>
      </c>
      <c r="J55" s="42">
        <f t="shared" si="5"/>
        <v>0</v>
      </c>
      <c r="K55" s="39">
        <f>OC!$B$6</f>
        <v>0</v>
      </c>
      <c r="L55" s="39">
        <f>OC!$B$7</f>
        <v>0</v>
      </c>
      <c r="M55" s="39">
        <f>OC!$B$2</f>
        <v>0</v>
      </c>
      <c r="N55" s="44">
        <f>OC!$B$3</f>
        <v>0</v>
      </c>
      <c r="O55" s="39">
        <f>OC!$B$5</f>
        <v>0</v>
      </c>
      <c r="P55" s="39">
        <f>OC!$B$8</f>
        <v>0</v>
      </c>
      <c r="Q55" s="39">
        <f>OC!$B$4</f>
        <v>0</v>
      </c>
      <c r="R55" s="43">
        <f>OC!J63</f>
        <v>0</v>
      </c>
      <c r="S55" s="43">
        <v>0</v>
      </c>
      <c r="T55" s="43">
        <f>OC!L63</f>
        <v>0</v>
      </c>
      <c r="U55" s="43">
        <f>OC!M63</f>
        <v>0</v>
      </c>
      <c r="V55" s="43">
        <f>OC!N63</f>
        <v>0</v>
      </c>
    </row>
    <row r="56" spans="1:22" s="31" customFormat="1" x14ac:dyDescent="0.3">
      <c r="A56" s="38">
        <f>OC!A64</f>
        <v>0</v>
      </c>
      <c r="B56" s="38">
        <f>OC!B64</f>
        <v>0</v>
      </c>
      <c r="C56" s="38">
        <f>OC!C64</f>
        <v>0</v>
      </c>
      <c r="D56" s="38">
        <f>OC!P64</f>
        <v>0</v>
      </c>
      <c r="E56" s="39">
        <f>OC!D64</f>
        <v>0</v>
      </c>
      <c r="F56" s="40">
        <f>OC!E64</f>
        <v>0</v>
      </c>
      <c r="G56" s="41">
        <f t="shared" si="3"/>
        <v>0</v>
      </c>
      <c r="H56" s="39">
        <f>IF(_xlfn.XLOOKUP(A56,[1]MACHOTE!A:A,[1]MACHOTE!V:V,0,0)="S",1.16,IF(_xlfn.XLOOKUP(A56,[1]MACHOTE!A:A,[1]MACHOTE!Y:Y,0,0)="S",1.08,1))</f>
        <v>1</v>
      </c>
      <c r="I56" s="39">
        <f t="shared" si="4"/>
        <v>0</v>
      </c>
      <c r="J56" s="42">
        <f t="shared" si="5"/>
        <v>0</v>
      </c>
      <c r="K56" s="39">
        <f>OC!$B$6</f>
        <v>0</v>
      </c>
      <c r="L56" s="39">
        <f>OC!$B$7</f>
        <v>0</v>
      </c>
      <c r="M56" s="39">
        <f>OC!$B$2</f>
        <v>0</v>
      </c>
      <c r="N56" s="44">
        <f>OC!$B$3</f>
        <v>0</v>
      </c>
      <c r="O56" s="39">
        <f>OC!$B$5</f>
        <v>0</v>
      </c>
      <c r="P56" s="39">
        <f>OC!$B$8</f>
        <v>0</v>
      </c>
      <c r="Q56" s="39">
        <f>OC!$B$4</f>
        <v>0</v>
      </c>
      <c r="R56" s="43">
        <f>OC!J64</f>
        <v>0</v>
      </c>
      <c r="S56" s="43">
        <v>0</v>
      </c>
      <c r="T56" s="43">
        <f>OC!L64</f>
        <v>0</v>
      </c>
      <c r="U56" s="43">
        <f>OC!M64</f>
        <v>0</v>
      </c>
      <c r="V56" s="43">
        <f>OC!N64</f>
        <v>0</v>
      </c>
    </row>
    <row r="57" spans="1:22" s="31" customFormat="1" x14ac:dyDescent="0.3">
      <c r="A57" s="38">
        <f>OC!A65</f>
        <v>0</v>
      </c>
      <c r="B57" s="38">
        <f>OC!B65</f>
        <v>0</v>
      </c>
      <c r="C57" s="38">
        <f>OC!C65</f>
        <v>0</v>
      </c>
      <c r="D57" s="38">
        <f>OC!P65</f>
        <v>0</v>
      </c>
      <c r="E57" s="39">
        <f>OC!D65</f>
        <v>0</v>
      </c>
      <c r="F57" s="40">
        <f>OC!E65</f>
        <v>0</v>
      </c>
      <c r="G57" s="41">
        <f t="shared" si="3"/>
        <v>0</v>
      </c>
      <c r="H57" s="39">
        <f>IF(_xlfn.XLOOKUP(A57,[1]MACHOTE!A:A,[1]MACHOTE!V:V,0,0)="S",1.16,IF(_xlfn.XLOOKUP(A57,[1]MACHOTE!A:A,[1]MACHOTE!Y:Y,0,0)="S",1.08,1))</f>
        <v>1</v>
      </c>
      <c r="I57" s="39">
        <f t="shared" si="4"/>
        <v>0</v>
      </c>
      <c r="J57" s="42">
        <f t="shared" si="5"/>
        <v>0</v>
      </c>
      <c r="K57" s="39">
        <f>OC!$B$6</f>
        <v>0</v>
      </c>
      <c r="L57" s="39">
        <f>OC!$B$7</f>
        <v>0</v>
      </c>
      <c r="M57" s="39">
        <f>OC!$B$2</f>
        <v>0</v>
      </c>
      <c r="N57" s="44">
        <f>OC!$B$3</f>
        <v>0</v>
      </c>
      <c r="O57" s="39">
        <f>OC!$B$5</f>
        <v>0</v>
      </c>
      <c r="P57" s="39">
        <f>OC!$B$8</f>
        <v>0</v>
      </c>
      <c r="Q57" s="39">
        <f>OC!$B$4</f>
        <v>0</v>
      </c>
      <c r="R57" s="43">
        <f>OC!J65</f>
        <v>0</v>
      </c>
      <c r="S57" s="43">
        <v>0</v>
      </c>
      <c r="T57" s="43">
        <f>OC!L65</f>
        <v>0</v>
      </c>
      <c r="U57" s="43">
        <f>OC!M65</f>
        <v>0</v>
      </c>
      <c r="V57" s="43">
        <f>OC!N65</f>
        <v>0</v>
      </c>
    </row>
    <row r="58" spans="1:22" s="31" customFormat="1" x14ac:dyDescent="0.3">
      <c r="A58" s="38">
        <f>OC!A66</f>
        <v>0</v>
      </c>
      <c r="B58" s="38">
        <f>OC!B66</f>
        <v>0</v>
      </c>
      <c r="C58" s="38">
        <f>OC!C66</f>
        <v>0</v>
      </c>
      <c r="D58" s="38">
        <f>OC!P66</f>
        <v>0</v>
      </c>
      <c r="E58" s="39">
        <f>OC!D66</f>
        <v>0</v>
      </c>
      <c r="F58" s="40">
        <f>OC!E66</f>
        <v>0</v>
      </c>
      <c r="G58" s="41">
        <f t="shared" si="3"/>
        <v>0</v>
      </c>
      <c r="H58" s="39">
        <f>IF(_xlfn.XLOOKUP(A58,[1]MACHOTE!A:A,[1]MACHOTE!V:V,0,0)="S",1.16,IF(_xlfn.XLOOKUP(A58,[1]MACHOTE!A:A,[1]MACHOTE!Y:Y,0,0)="S",1.08,1))</f>
        <v>1</v>
      </c>
      <c r="I58" s="39">
        <f t="shared" si="4"/>
        <v>0</v>
      </c>
      <c r="J58" s="42">
        <f t="shared" si="5"/>
        <v>0</v>
      </c>
      <c r="K58" s="39">
        <f>OC!$B$6</f>
        <v>0</v>
      </c>
      <c r="L58" s="39">
        <f>OC!$B$7</f>
        <v>0</v>
      </c>
      <c r="M58" s="39">
        <f>OC!$B$2</f>
        <v>0</v>
      </c>
      <c r="N58" s="44">
        <f>OC!$B$3</f>
        <v>0</v>
      </c>
      <c r="O58" s="39">
        <f>OC!$B$5</f>
        <v>0</v>
      </c>
      <c r="P58" s="39">
        <f>OC!$B$8</f>
        <v>0</v>
      </c>
      <c r="Q58" s="39">
        <f>OC!$B$4</f>
        <v>0</v>
      </c>
      <c r="R58" s="43">
        <f>OC!J66</f>
        <v>0</v>
      </c>
      <c r="S58" s="43">
        <v>0</v>
      </c>
      <c r="T58" s="43">
        <f>OC!L66</f>
        <v>0</v>
      </c>
      <c r="U58" s="43">
        <f>OC!M66</f>
        <v>0</v>
      </c>
      <c r="V58" s="43">
        <f>OC!N66</f>
        <v>0</v>
      </c>
    </row>
    <row r="59" spans="1:22" s="31" customFormat="1" x14ac:dyDescent="0.3">
      <c r="A59" s="38">
        <f>OC!A67</f>
        <v>0</v>
      </c>
      <c r="B59" s="38">
        <f>OC!B67</f>
        <v>0</v>
      </c>
      <c r="C59" s="38">
        <f>OC!C67</f>
        <v>0</v>
      </c>
      <c r="D59" s="38">
        <f>OC!P67</f>
        <v>0</v>
      </c>
      <c r="E59" s="39">
        <f>OC!D67</f>
        <v>0</v>
      </c>
      <c r="F59" s="40">
        <f>OC!E67</f>
        <v>0</v>
      </c>
      <c r="G59" s="41">
        <f t="shared" si="3"/>
        <v>0</v>
      </c>
      <c r="H59" s="39">
        <f>IF(_xlfn.XLOOKUP(A59,[1]MACHOTE!A:A,[1]MACHOTE!V:V,0,0)="S",1.16,IF(_xlfn.XLOOKUP(A59,[1]MACHOTE!A:A,[1]MACHOTE!Y:Y,0,0)="S",1.08,1))</f>
        <v>1</v>
      </c>
      <c r="I59" s="39">
        <f t="shared" si="4"/>
        <v>0</v>
      </c>
      <c r="J59" s="42">
        <f t="shared" si="5"/>
        <v>0</v>
      </c>
      <c r="K59" s="39">
        <f>OC!$B$6</f>
        <v>0</v>
      </c>
      <c r="L59" s="39">
        <f>OC!$B$7</f>
        <v>0</v>
      </c>
      <c r="M59" s="39">
        <f>OC!$B$2</f>
        <v>0</v>
      </c>
      <c r="N59" s="44">
        <f>OC!$B$3</f>
        <v>0</v>
      </c>
      <c r="O59" s="39">
        <f>OC!$B$5</f>
        <v>0</v>
      </c>
      <c r="P59" s="39">
        <f>OC!$B$8</f>
        <v>0</v>
      </c>
      <c r="Q59" s="39">
        <f>OC!$B$4</f>
        <v>0</v>
      </c>
      <c r="R59" s="43">
        <f>OC!J67</f>
        <v>0</v>
      </c>
      <c r="S59" s="43">
        <v>0</v>
      </c>
      <c r="T59" s="43">
        <f>OC!L67</f>
        <v>0</v>
      </c>
      <c r="U59" s="43">
        <f>OC!M67</f>
        <v>0</v>
      </c>
      <c r="V59" s="43">
        <f>OC!N67</f>
        <v>0</v>
      </c>
    </row>
    <row r="60" spans="1:22" s="31" customFormat="1" x14ac:dyDescent="0.3">
      <c r="A60" s="38">
        <f>OC!A68</f>
        <v>0</v>
      </c>
      <c r="B60" s="38">
        <f>OC!B68</f>
        <v>0</v>
      </c>
      <c r="C60" s="38">
        <f>OC!C68</f>
        <v>0</v>
      </c>
      <c r="D60" s="38">
        <f>OC!P68</f>
        <v>0</v>
      </c>
      <c r="E60" s="39">
        <f>OC!D68</f>
        <v>0</v>
      </c>
      <c r="F60" s="40">
        <f>OC!E68</f>
        <v>0</v>
      </c>
      <c r="G60" s="41">
        <f t="shared" si="3"/>
        <v>0</v>
      </c>
      <c r="H60" s="39">
        <f>IF(_xlfn.XLOOKUP(A60,[1]MACHOTE!A:A,[1]MACHOTE!V:V,0,0)="S",1.16,IF(_xlfn.XLOOKUP(A60,[1]MACHOTE!A:A,[1]MACHOTE!Y:Y,0,0)="S",1.08,1))</f>
        <v>1</v>
      </c>
      <c r="I60" s="39">
        <f t="shared" si="4"/>
        <v>0</v>
      </c>
      <c r="J60" s="42">
        <f t="shared" si="5"/>
        <v>0</v>
      </c>
      <c r="K60" s="39">
        <f>OC!$B$6</f>
        <v>0</v>
      </c>
      <c r="L60" s="39">
        <f>OC!$B$7</f>
        <v>0</v>
      </c>
      <c r="M60" s="39">
        <f>OC!$B$2</f>
        <v>0</v>
      </c>
      <c r="N60" s="44">
        <f>OC!$B$3</f>
        <v>0</v>
      </c>
      <c r="O60" s="39">
        <f>OC!$B$5</f>
        <v>0</v>
      </c>
      <c r="P60" s="39">
        <f>OC!$B$8</f>
        <v>0</v>
      </c>
      <c r="Q60" s="39">
        <f>OC!$B$4</f>
        <v>0</v>
      </c>
      <c r="R60" s="43">
        <f>OC!J68</f>
        <v>0</v>
      </c>
      <c r="S60" s="43">
        <v>0</v>
      </c>
      <c r="T60" s="43">
        <f>OC!L68</f>
        <v>0</v>
      </c>
      <c r="U60" s="43">
        <f>OC!M68</f>
        <v>0</v>
      </c>
      <c r="V60" s="43">
        <f>OC!N68</f>
        <v>0</v>
      </c>
    </row>
    <row r="61" spans="1:22" s="31" customFormat="1" x14ac:dyDescent="0.3">
      <c r="A61" s="38">
        <f>OC!A69</f>
        <v>0</v>
      </c>
      <c r="B61" s="38">
        <f>OC!B69</f>
        <v>0</v>
      </c>
      <c r="C61" s="38">
        <f>OC!C69</f>
        <v>0</v>
      </c>
      <c r="D61" s="38">
        <f>OC!P69</f>
        <v>0</v>
      </c>
      <c r="E61" s="39">
        <f>OC!D69</f>
        <v>0</v>
      </c>
      <c r="F61" s="40">
        <f>OC!E69</f>
        <v>0</v>
      </c>
      <c r="G61" s="41">
        <f t="shared" si="3"/>
        <v>0</v>
      </c>
      <c r="H61" s="39">
        <f>IF(_xlfn.XLOOKUP(A61,[1]MACHOTE!A:A,[1]MACHOTE!V:V,0,0)="S",1.16,IF(_xlfn.XLOOKUP(A61,[1]MACHOTE!A:A,[1]MACHOTE!Y:Y,0,0)="S",1.08,1))</f>
        <v>1</v>
      </c>
      <c r="I61" s="39">
        <f t="shared" si="4"/>
        <v>0</v>
      </c>
      <c r="J61" s="42">
        <f t="shared" si="5"/>
        <v>0</v>
      </c>
      <c r="K61" s="39">
        <f>OC!$B$6</f>
        <v>0</v>
      </c>
      <c r="L61" s="39">
        <f>OC!$B$7</f>
        <v>0</v>
      </c>
      <c r="M61" s="39">
        <f>OC!$B$2</f>
        <v>0</v>
      </c>
      <c r="N61" s="44">
        <f>OC!$B$3</f>
        <v>0</v>
      </c>
      <c r="O61" s="39">
        <f>OC!$B$5</f>
        <v>0</v>
      </c>
      <c r="P61" s="39">
        <f>OC!$B$8</f>
        <v>0</v>
      </c>
      <c r="Q61" s="39">
        <f>OC!$B$4</f>
        <v>0</v>
      </c>
      <c r="R61" s="43">
        <f>OC!J69</f>
        <v>0</v>
      </c>
      <c r="S61" s="43">
        <v>0</v>
      </c>
      <c r="T61" s="43">
        <f>OC!L69</f>
        <v>0</v>
      </c>
      <c r="U61" s="43">
        <f>OC!M69</f>
        <v>0</v>
      </c>
      <c r="V61" s="43">
        <f>OC!N69</f>
        <v>0</v>
      </c>
    </row>
    <row r="62" spans="1:22" s="31" customFormat="1" x14ac:dyDescent="0.3">
      <c r="A62" s="38">
        <f>OC!A70</f>
        <v>0</v>
      </c>
      <c r="B62" s="38">
        <f>OC!B70</f>
        <v>0</v>
      </c>
      <c r="C62" s="38">
        <f>OC!C70</f>
        <v>0</v>
      </c>
      <c r="D62" s="38">
        <f>OC!P70</f>
        <v>0</v>
      </c>
      <c r="E62" s="39">
        <f>OC!D70</f>
        <v>0</v>
      </c>
      <c r="F62" s="40">
        <f>OC!E70</f>
        <v>0</v>
      </c>
      <c r="G62" s="41">
        <f t="shared" si="3"/>
        <v>0</v>
      </c>
      <c r="H62" s="39">
        <f>IF(_xlfn.XLOOKUP(A62,[1]MACHOTE!A:A,[1]MACHOTE!V:V,0,0)="S",1.16,IF(_xlfn.XLOOKUP(A62,[1]MACHOTE!A:A,[1]MACHOTE!Y:Y,0,0)="S",1.08,1))</f>
        <v>1</v>
      </c>
      <c r="I62" s="39">
        <f t="shared" si="4"/>
        <v>0</v>
      </c>
      <c r="J62" s="42">
        <f t="shared" si="5"/>
        <v>0</v>
      </c>
      <c r="K62" s="39">
        <f>OC!$B$6</f>
        <v>0</v>
      </c>
      <c r="L62" s="39">
        <f>OC!$B$7</f>
        <v>0</v>
      </c>
      <c r="M62" s="39">
        <f>OC!$B$2</f>
        <v>0</v>
      </c>
      <c r="N62" s="44">
        <f>OC!$B$3</f>
        <v>0</v>
      </c>
      <c r="O62" s="39">
        <f>OC!$B$5</f>
        <v>0</v>
      </c>
      <c r="P62" s="39">
        <f>OC!$B$8</f>
        <v>0</v>
      </c>
      <c r="Q62" s="39">
        <f>OC!$B$4</f>
        <v>0</v>
      </c>
      <c r="R62" s="43">
        <f>OC!J70</f>
        <v>0</v>
      </c>
      <c r="S62" s="43">
        <v>0</v>
      </c>
      <c r="T62" s="43">
        <f>OC!L70</f>
        <v>0</v>
      </c>
      <c r="U62" s="43">
        <f>OC!M70</f>
        <v>0</v>
      </c>
      <c r="V62" s="43">
        <f>OC!N70</f>
        <v>0</v>
      </c>
    </row>
    <row r="63" spans="1:22" s="31" customFormat="1" x14ac:dyDescent="0.3">
      <c r="A63" s="38">
        <f>OC!A71</f>
        <v>0</v>
      </c>
      <c r="B63" s="38">
        <f>OC!B71</f>
        <v>0</v>
      </c>
      <c r="C63" s="38">
        <f>OC!C71</f>
        <v>0</v>
      </c>
      <c r="D63" s="38">
        <f>OC!P71</f>
        <v>0</v>
      </c>
      <c r="E63" s="39">
        <f>OC!D71</f>
        <v>0</v>
      </c>
      <c r="F63" s="40">
        <f>OC!E71</f>
        <v>0</v>
      </c>
      <c r="G63" s="41">
        <f t="shared" si="3"/>
        <v>0</v>
      </c>
      <c r="H63" s="39">
        <f>IF(_xlfn.XLOOKUP(A63,[1]MACHOTE!A:A,[1]MACHOTE!V:V,0,0)="S",1.16,IF(_xlfn.XLOOKUP(A63,[1]MACHOTE!A:A,[1]MACHOTE!Y:Y,0,0)="S",1.08,1))</f>
        <v>1</v>
      </c>
      <c r="I63" s="39">
        <f t="shared" si="4"/>
        <v>0</v>
      </c>
      <c r="J63" s="42">
        <f t="shared" si="5"/>
        <v>0</v>
      </c>
      <c r="K63" s="39">
        <f>OC!$B$6</f>
        <v>0</v>
      </c>
      <c r="L63" s="39">
        <f>OC!$B$7</f>
        <v>0</v>
      </c>
      <c r="M63" s="39">
        <f>OC!$B$2</f>
        <v>0</v>
      </c>
      <c r="N63" s="44">
        <f>OC!$B$3</f>
        <v>0</v>
      </c>
      <c r="O63" s="39">
        <f>OC!$B$5</f>
        <v>0</v>
      </c>
      <c r="P63" s="39">
        <f>OC!$B$8</f>
        <v>0</v>
      </c>
      <c r="Q63" s="39">
        <f>OC!$B$4</f>
        <v>0</v>
      </c>
      <c r="R63" s="43">
        <f>OC!J71</f>
        <v>0</v>
      </c>
      <c r="S63" s="43">
        <v>0</v>
      </c>
      <c r="T63" s="43">
        <f>OC!L71</f>
        <v>0</v>
      </c>
      <c r="U63" s="43">
        <f>OC!M71</f>
        <v>0</v>
      </c>
      <c r="V63" s="43">
        <f>OC!N71</f>
        <v>0</v>
      </c>
    </row>
    <row r="64" spans="1:22" s="31" customFormat="1" x14ac:dyDescent="0.3">
      <c r="A64" s="38">
        <f>OC!A72</f>
        <v>0</v>
      </c>
      <c r="B64" s="38">
        <f>OC!B72</f>
        <v>0</v>
      </c>
      <c r="C64" s="38">
        <f>OC!C72</f>
        <v>0</v>
      </c>
      <c r="D64" s="38">
        <f>OC!P72</f>
        <v>0</v>
      </c>
      <c r="E64" s="39">
        <f>OC!D72</f>
        <v>0</v>
      </c>
      <c r="F64" s="40">
        <f>OC!E72</f>
        <v>0</v>
      </c>
      <c r="G64" s="41">
        <f t="shared" si="3"/>
        <v>0</v>
      </c>
      <c r="H64" s="39">
        <f>IF(_xlfn.XLOOKUP(A64,[1]MACHOTE!A:A,[1]MACHOTE!V:V,0,0)="S",1.16,IF(_xlfn.XLOOKUP(A64,[1]MACHOTE!A:A,[1]MACHOTE!Y:Y,0,0)="S",1.08,1))</f>
        <v>1</v>
      </c>
      <c r="I64" s="39">
        <f t="shared" si="4"/>
        <v>0</v>
      </c>
      <c r="J64" s="42">
        <f t="shared" si="5"/>
        <v>0</v>
      </c>
      <c r="K64" s="39">
        <f>OC!$B$6</f>
        <v>0</v>
      </c>
      <c r="L64" s="39">
        <f>OC!$B$7</f>
        <v>0</v>
      </c>
      <c r="M64" s="39">
        <f>OC!$B$2</f>
        <v>0</v>
      </c>
      <c r="N64" s="44">
        <f>OC!$B$3</f>
        <v>0</v>
      </c>
      <c r="O64" s="39">
        <f>OC!$B$5</f>
        <v>0</v>
      </c>
      <c r="P64" s="39">
        <f>OC!$B$8</f>
        <v>0</v>
      </c>
      <c r="Q64" s="39">
        <f>OC!$B$4</f>
        <v>0</v>
      </c>
      <c r="R64" s="43">
        <f>OC!J72</f>
        <v>0</v>
      </c>
      <c r="S64" s="43">
        <v>0</v>
      </c>
      <c r="T64" s="43">
        <f>OC!L72</f>
        <v>0</v>
      </c>
      <c r="U64" s="43">
        <f>OC!M72</f>
        <v>0</v>
      </c>
      <c r="V64" s="43">
        <f>OC!N72</f>
        <v>0</v>
      </c>
    </row>
    <row r="65" spans="1:22" s="31" customFormat="1" x14ac:dyDescent="0.3">
      <c r="A65" s="38">
        <f>OC!A73</f>
        <v>0</v>
      </c>
      <c r="B65" s="38">
        <f>OC!B73</f>
        <v>0</v>
      </c>
      <c r="C65" s="38">
        <f>OC!C73</f>
        <v>0</v>
      </c>
      <c r="D65" s="38">
        <f>OC!P73</f>
        <v>0</v>
      </c>
      <c r="E65" s="39">
        <f>OC!D73</f>
        <v>0</v>
      </c>
      <c r="F65" s="40">
        <f>OC!E73</f>
        <v>0</v>
      </c>
      <c r="G65" s="41">
        <f t="shared" si="3"/>
        <v>0</v>
      </c>
      <c r="H65" s="39">
        <f>IF(_xlfn.XLOOKUP(A65,[1]MACHOTE!A:A,[1]MACHOTE!V:V,0,0)="S",1.16,IF(_xlfn.XLOOKUP(A65,[1]MACHOTE!A:A,[1]MACHOTE!Y:Y,0,0)="S",1.08,1))</f>
        <v>1</v>
      </c>
      <c r="I65" s="39">
        <f t="shared" si="4"/>
        <v>0</v>
      </c>
      <c r="J65" s="42">
        <f t="shared" si="5"/>
        <v>0</v>
      </c>
      <c r="K65" s="39">
        <f>OC!$B$6</f>
        <v>0</v>
      </c>
      <c r="L65" s="39">
        <f>OC!$B$7</f>
        <v>0</v>
      </c>
      <c r="M65" s="39">
        <f>OC!$B$2</f>
        <v>0</v>
      </c>
      <c r="N65" s="44">
        <f>OC!$B$3</f>
        <v>0</v>
      </c>
      <c r="O65" s="39">
        <f>OC!$B$5</f>
        <v>0</v>
      </c>
      <c r="P65" s="39">
        <f>OC!$B$8</f>
        <v>0</v>
      </c>
      <c r="Q65" s="39">
        <f>OC!$B$4</f>
        <v>0</v>
      </c>
      <c r="R65" s="43">
        <f>OC!J73</f>
        <v>0</v>
      </c>
      <c r="S65" s="43">
        <v>0</v>
      </c>
      <c r="T65" s="43">
        <f>OC!L73</f>
        <v>0</v>
      </c>
      <c r="U65" s="43">
        <f>OC!M73</f>
        <v>0</v>
      </c>
      <c r="V65" s="43">
        <f>OC!N73</f>
        <v>0</v>
      </c>
    </row>
    <row r="66" spans="1:22" s="31" customFormat="1" x14ac:dyDescent="0.3">
      <c r="A66" s="38">
        <f>OC!A74</f>
        <v>0</v>
      </c>
      <c r="B66" s="38">
        <f>OC!B74</f>
        <v>0</v>
      </c>
      <c r="C66" s="38">
        <f>OC!C74</f>
        <v>0</v>
      </c>
      <c r="D66" s="38">
        <f>OC!P74</f>
        <v>0</v>
      </c>
      <c r="E66" s="39">
        <f>OC!D74</f>
        <v>0</v>
      </c>
      <c r="F66" s="40">
        <f>OC!E74</f>
        <v>0</v>
      </c>
      <c r="G66" s="41">
        <f t="shared" si="3"/>
        <v>0</v>
      </c>
      <c r="H66" s="39">
        <f>IF(_xlfn.XLOOKUP(A66,[1]MACHOTE!A:A,[1]MACHOTE!V:V,0,0)="S",1.16,IF(_xlfn.XLOOKUP(A66,[1]MACHOTE!A:A,[1]MACHOTE!Y:Y,0,0)="S",1.08,1))</f>
        <v>1</v>
      </c>
      <c r="I66" s="39">
        <f t="shared" si="4"/>
        <v>0</v>
      </c>
      <c r="J66" s="42">
        <f t="shared" si="5"/>
        <v>0</v>
      </c>
      <c r="K66" s="39">
        <f>OC!$B$6</f>
        <v>0</v>
      </c>
      <c r="L66" s="39">
        <f>OC!$B$7</f>
        <v>0</v>
      </c>
      <c r="M66" s="39">
        <f>OC!$B$2</f>
        <v>0</v>
      </c>
      <c r="N66" s="44">
        <f>OC!$B$3</f>
        <v>0</v>
      </c>
      <c r="O66" s="39">
        <f>OC!$B$5</f>
        <v>0</v>
      </c>
      <c r="P66" s="39">
        <f>OC!$B$8</f>
        <v>0</v>
      </c>
      <c r="Q66" s="39">
        <f>OC!$B$4</f>
        <v>0</v>
      </c>
      <c r="R66" s="43">
        <f>OC!J74</f>
        <v>0</v>
      </c>
      <c r="S66" s="43">
        <v>0</v>
      </c>
      <c r="T66" s="43">
        <f>OC!L74</f>
        <v>0</v>
      </c>
      <c r="U66" s="43">
        <f>OC!M74</f>
        <v>0</v>
      </c>
      <c r="V66" s="43">
        <f>OC!N74</f>
        <v>0</v>
      </c>
    </row>
    <row r="67" spans="1:22" s="31" customFormat="1" x14ac:dyDescent="0.3">
      <c r="A67" s="38">
        <f>OC!A75</f>
        <v>0</v>
      </c>
      <c r="B67" s="38">
        <f>OC!B75</f>
        <v>0</v>
      </c>
      <c r="C67" s="38">
        <f>OC!C75</f>
        <v>0</v>
      </c>
      <c r="D67" s="38">
        <f>OC!P75</f>
        <v>0</v>
      </c>
      <c r="E67" s="39">
        <f>OC!D75</f>
        <v>0</v>
      </c>
      <c r="F67" s="40">
        <f>OC!E75</f>
        <v>0</v>
      </c>
      <c r="G67" s="41">
        <f t="shared" si="3"/>
        <v>0</v>
      </c>
      <c r="H67" s="39">
        <f>IF(_xlfn.XLOOKUP(A67,[1]MACHOTE!A:A,[1]MACHOTE!V:V,0,0)="S",1.16,IF(_xlfn.XLOOKUP(A67,[1]MACHOTE!A:A,[1]MACHOTE!Y:Y,0,0)="S",1.08,1))</f>
        <v>1</v>
      </c>
      <c r="I67" s="39">
        <f t="shared" si="4"/>
        <v>0</v>
      </c>
      <c r="J67" s="42">
        <f t="shared" si="5"/>
        <v>0</v>
      </c>
      <c r="K67" s="39">
        <f>OC!$B$6</f>
        <v>0</v>
      </c>
      <c r="L67" s="39">
        <f>OC!$B$7</f>
        <v>0</v>
      </c>
      <c r="M67" s="39">
        <f>OC!$B$2</f>
        <v>0</v>
      </c>
      <c r="N67" s="44">
        <f>OC!$B$3</f>
        <v>0</v>
      </c>
      <c r="O67" s="39">
        <f>OC!$B$5</f>
        <v>0</v>
      </c>
      <c r="P67" s="39">
        <f>OC!$B$8</f>
        <v>0</v>
      </c>
      <c r="Q67" s="39">
        <f>OC!$B$4</f>
        <v>0</v>
      </c>
      <c r="R67" s="43">
        <f>OC!J75</f>
        <v>0</v>
      </c>
      <c r="S67" s="43">
        <v>0</v>
      </c>
      <c r="T67" s="43">
        <f>OC!L75</f>
        <v>0</v>
      </c>
      <c r="U67" s="43">
        <f>OC!M75</f>
        <v>0</v>
      </c>
      <c r="V67" s="43">
        <f>OC!N75</f>
        <v>0</v>
      </c>
    </row>
    <row r="68" spans="1:22" s="31" customFormat="1" x14ac:dyDescent="0.3">
      <c r="A68" s="38">
        <f>OC!A76</f>
        <v>0</v>
      </c>
      <c r="B68" s="38">
        <f>OC!B76</f>
        <v>0</v>
      </c>
      <c r="C68" s="38">
        <f>OC!C76</f>
        <v>0</v>
      </c>
      <c r="D68" s="38">
        <f>OC!P76</f>
        <v>0</v>
      </c>
      <c r="E68" s="39">
        <f>OC!D76</f>
        <v>0</v>
      </c>
      <c r="F68" s="40">
        <f>OC!E76</f>
        <v>0</v>
      </c>
      <c r="G68" s="41">
        <f t="shared" si="3"/>
        <v>0</v>
      </c>
      <c r="H68" s="39">
        <f>IF(_xlfn.XLOOKUP(A68,[1]MACHOTE!A:A,[1]MACHOTE!V:V,0,0)="S",1.16,IF(_xlfn.XLOOKUP(A68,[1]MACHOTE!A:A,[1]MACHOTE!Y:Y,0,0)="S",1.08,1))</f>
        <v>1</v>
      </c>
      <c r="I68" s="39">
        <f t="shared" si="4"/>
        <v>0</v>
      </c>
      <c r="J68" s="42">
        <f t="shared" si="5"/>
        <v>0</v>
      </c>
      <c r="K68" s="39">
        <f>OC!$B$6</f>
        <v>0</v>
      </c>
      <c r="L68" s="39">
        <f>OC!$B$7</f>
        <v>0</v>
      </c>
      <c r="M68" s="39">
        <f>OC!$B$2</f>
        <v>0</v>
      </c>
      <c r="N68" s="44">
        <f>OC!$B$3</f>
        <v>0</v>
      </c>
      <c r="O68" s="39">
        <f>OC!$B$5</f>
        <v>0</v>
      </c>
      <c r="P68" s="39">
        <f>OC!$B$8</f>
        <v>0</v>
      </c>
      <c r="Q68" s="39">
        <f>OC!$B$4</f>
        <v>0</v>
      </c>
      <c r="R68" s="43">
        <f>OC!J76</f>
        <v>0</v>
      </c>
      <c r="S68" s="43">
        <v>0</v>
      </c>
      <c r="T68" s="43">
        <f>OC!L76</f>
        <v>0</v>
      </c>
      <c r="U68" s="43">
        <f>OC!M76</f>
        <v>0</v>
      </c>
      <c r="V68" s="43">
        <f>OC!N76</f>
        <v>0</v>
      </c>
    </row>
    <row r="69" spans="1:22" s="31" customFormat="1" x14ac:dyDescent="0.3">
      <c r="A69" s="38">
        <f>OC!A77</f>
        <v>0</v>
      </c>
      <c r="B69" s="38">
        <f>OC!B77</f>
        <v>0</v>
      </c>
      <c r="C69" s="38">
        <f>OC!C77</f>
        <v>0</v>
      </c>
      <c r="D69" s="38">
        <f>OC!P77</f>
        <v>0</v>
      </c>
      <c r="E69" s="39">
        <f>OC!D77</f>
        <v>0</v>
      </c>
      <c r="F69" s="40">
        <f>OC!E77</f>
        <v>0</v>
      </c>
      <c r="G69" s="41">
        <f t="shared" si="3"/>
        <v>0</v>
      </c>
      <c r="H69" s="39">
        <f>IF(_xlfn.XLOOKUP(A69,[1]MACHOTE!A:A,[1]MACHOTE!V:V,0,0)="S",1.16,IF(_xlfn.XLOOKUP(A69,[1]MACHOTE!A:A,[1]MACHOTE!Y:Y,0,0)="S",1.08,1))</f>
        <v>1</v>
      </c>
      <c r="I69" s="39">
        <f t="shared" si="4"/>
        <v>0</v>
      </c>
      <c r="J69" s="42">
        <f t="shared" si="5"/>
        <v>0</v>
      </c>
      <c r="K69" s="39">
        <f>OC!$B$6</f>
        <v>0</v>
      </c>
      <c r="L69" s="39">
        <f>OC!$B$7</f>
        <v>0</v>
      </c>
      <c r="M69" s="39">
        <f>OC!$B$2</f>
        <v>0</v>
      </c>
      <c r="N69" s="44">
        <f>OC!$B$3</f>
        <v>0</v>
      </c>
      <c r="O69" s="39">
        <f>OC!$B$5</f>
        <v>0</v>
      </c>
      <c r="P69" s="39">
        <f>OC!$B$8</f>
        <v>0</v>
      </c>
      <c r="Q69" s="39">
        <f>OC!$B$4</f>
        <v>0</v>
      </c>
      <c r="R69" s="43">
        <f>OC!J77</f>
        <v>0</v>
      </c>
      <c r="S69" s="43">
        <v>0</v>
      </c>
      <c r="T69" s="43">
        <f>OC!L77</f>
        <v>0</v>
      </c>
      <c r="U69" s="43">
        <f>OC!M77</f>
        <v>0</v>
      </c>
      <c r="V69" s="43">
        <f>OC!N77</f>
        <v>0</v>
      </c>
    </row>
    <row r="70" spans="1:22" s="31" customFormat="1" x14ac:dyDescent="0.3">
      <c r="A70" s="38">
        <f>OC!A78</f>
        <v>0</v>
      </c>
      <c r="B70" s="38">
        <f>OC!B78</f>
        <v>0</v>
      </c>
      <c r="C70" s="38">
        <f>OC!C78</f>
        <v>0</v>
      </c>
      <c r="D70" s="38">
        <f>OC!P78</f>
        <v>0</v>
      </c>
      <c r="E70" s="39">
        <f>OC!D78</f>
        <v>0</v>
      </c>
      <c r="F70" s="40">
        <f>OC!E78</f>
        <v>0</v>
      </c>
      <c r="G70" s="41">
        <f t="shared" si="3"/>
        <v>0</v>
      </c>
      <c r="H70" s="39">
        <f>IF(_xlfn.XLOOKUP(A70,[1]MACHOTE!A:A,[1]MACHOTE!V:V,0,0)="S",1.16,IF(_xlfn.XLOOKUP(A70,[1]MACHOTE!A:A,[1]MACHOTE!Y:Y,0,0)="S",1.08,1))</f>
        <v>1</v>
      </c>
      <c r="I70" s="39">
        <f t="shared" si="4"/>
        <v>0</v>
      </c>
      <c r="J70" s="42">
        <f t="shared" si="5"/>
        <v>0</v>
      </c>
      <c r="K70" s="39">
        <f>OC!$B$6</f>
        <v>0</v>
      </c>
      <c r="L70" s="39">
        <f>OC!$B$7</f>
        <v>0</v>
      </c>
      <c r="M70" s="39">
        <f>OC!$B$2</f>
        <v>0</v>
      </c>
      <c r="N70" s="44">
        <f>OC!$B$3</f>
        <v>0</v>
      </c>
      <c r="O70" s="39">
        <f>OC!$B$5</f>
        <v>0</v>
      </c>
      <c r="P70" s="39">
        <f>OC!$B$8</f>
        <v>0</v>
      </c>
      <c r="Q70" s="39">
        <f>OC!$B$4</f>
        <v>0</v>
      </c>
      <c r="R70" s="43">
        <f>OC!J78</f>
        <v>0</v>
      </c>
      <c r="S70" s="43">
        <v>0</v>
      </c>
      <c r="T70" s="43">
        <f>OC!L78</f>
        <v>0</v>
      </c>
      <c r="U70" s="43">
        <f>OC!M78</f>
        <v>0</v>
      </c>
      <c r="V70" s="43">
        <f>OC!N78</f>
        <v>0</v>
      </c>
    </row>
    <row r="71" spans="1:22" s="31" customFormat="1" x14ac:dyDescent="0.3">
      <c r="A71" s="38">
        <f>OC!A79</f>
        <v>0</v>
      </c>
      <c r="B71" s="38">
        <f>OC!B79</f>
        <v>0</v>
      </c>
      <c r="C71" s="38">
        <f>OC!C79</f>
        <v>0</v>
      </c>
      <c r="D71" s="38">
        <f>OC!P79</f>
        <v>0</v>
      </c>
      <c r="E71" s="39">
        <f>OC!D79</f>
        <v>0</v>
      </c>
      <c r="F71" s="40">
        <f>OC!E79</f>
        <v>0</v>
      </c>
      <c r="G71" s="41">
        <f t="shared" si="3"/>
        <v>0</v>
      </c>
      <c r="H71" s="39">
        <f>IF(_xlfn.XLOOKUP(A71,[1]MACHOTE!A:A,[1]MACHOTE!V:V,0,0)="S",1.16,IF(_xlfn.XLOOKUP(A71,[1]MACHOTE!A:A,[1]MACHOTE!Y:Y,0,0)="S",1.08,1))</f>
        <v>1</v>
      </c>
      <c r="I71" s="39">
        <f t="shared" si="4"/>
        <v>0</v>
      </c>
      <c r="J71" s="42">
        <f t="shared" si="5"/>
        <v>0</v>
      </c>
      <c r="K71" s="39">
        <f>OC!$B$6</f>
        <v>0</v>
      </c>
      <c r="L71" s="39">
        <f>OC!$B$7</f>
        <v>0</v>
      </c>
      <c r="M71" s="39">
        <f>OC!$B$2</f>
        <v>0</v>
      </c>
      <c r="N71" s="44">
        <f>OC!$B$3</f>
        <v>0</v>
      </c>
      <c r="O71" s="39">
        <f>OC!$B$5</f>
        <v>0</v>
      </c>
      <c r="P71" s="39">
        <f>OC!$B$8</f>
        <v>0</v>
      </c>
      <c r="Q71" s="39">
        <f>OC!$B$4</f>
        <v>0</v>
      </c>
      <c r="R71" s="43">
        <f>OC!J79</f>
        <v>0</v>
      </c>
      <c r="S71" s="43">
        <v>0</v>
      </c>
      <c r="T71" s="43">
        <f>OC!L79</f>
        <v>0</v>
      </c>
      <c r="U71" s="43">
        <f>OC!M79</f>
        <v>0</v>
      </c>
      <c r="V71" s="43">
        <f>OC!N79</f>
        <v>0</v>
      </c>
    </row>
    <row r="72" spans="1:22" s="31" customFormat="1" x14ac:dyDescent="0.3">
      <c r="A72" s="38">
        <f>OC!A80</f>
        <v>0</v>
      </c>
      <c r="B72" s="38">
        <f>OC!B80</f>
        <v>0</v>
      </c>
      <c r="C72" s="38">
        <f>OC!C80</f>
        <v>0</v>
      </c>
      <c r="D72" s="38">
        <f>OC!P80</f>
        <v>0</v>
      </c>
      <c r="E72" s="39">
        <f>OC!D80</f>
        <v>0</v>
      </c>
      <c r="F72" s="40">
        <f>OC!E80</f>
        <v>0</v>
      </c>
      <c r="G72" s="41">
        <f t="shared" si="3"/>
        <v>0</v>
      </c>
      <c r="H72" s="39">
        <f>IF(_xlfn.XLOOKUP(A72,[1]MACHOTE!A:A,[1]MACHOTE!V:V,0,0)="S",1.16,IF(_xlfn.XLOOKUP(A72,[1]MACHOTE!A:A,[1]MACHOTE!Y:Y,0,0)="S",1.08,1))</f>
        <v>1</v>
      </c>
      <c r="I72" s="39">
        <f t="shared" si="4"/>
        <v>0</v>
      </c>
      <c r="J72" s="42">
        <f t="shared" si="5"/>
        <v>0</v>
      </c>
      <c r="K72" s="39">
        <f>OC!$B$6</f>
        <v>0</v>
      </c>
      <c r="L72" s="39">
        <f>OC!$B$7</f>
        <v>0</v>
      </c>
      <c r="M72" s="39">
        <f>OC!$B$2</f>
        <v>0</v>
      </c>
      <c r="N72" s="44">
        <f>OC!$B$3</f>
        <v>0</v>
      </c>
      <c r="O72" s="39">
        <f>OC!$B$5</f>
        <v>0</v>
      </c>
      <c r="P72" s="39">
        <f>OC!$B$8</f>
        <v>0</v>
      </c>
      <c r="Q72" s="39">
        <f>OC!$B$4</f>
        <v>0</v>
      </c>
      <c r="R72" s="43">
        <f>OC!J80</f>
        <v>0</v>
      </c>
      <c r="S72" s="43">
        <v>0</v>
      </c>
      <c r="T72" s="43">
        <f>OC!L80</f>
        <v>0</v>
      </c>
      <c r="U72" s="43">
        <f>OC!M80</f>
        <v>0</v>
      </c>
      <c r="V72" s="43">
        <f>OC!N80</f>
        <v>0</v>
      </c>
    </row>
    <row r="73" spans="1:22" s="31" customFormat="1" x14ac:dyDescent="0.3">
      <c r="A73" s="38">
        <f>OC!A81</f>
        <v>0</v>
      </c>
      <c r="B73" s="38">
        <f>OC!B81</f>
        <v>0</v>
      </c>
      <c r="C73" s="38">
        <f>OC!C81</f>
        <v>0</v>
      </c>
      <c r="D73" s="38">
        <f>OC!P81</f>
        <v>0</v>
      </c>
      <c r="E73" s="39">
        <f>OC!D81</f>
        <v>0</v>
      </c>
      <c r="F73" s="40">
        <f>OC!E81</f>
        <v>0</v>
      </c>
      <c r="G73" s="41">
        <f t="shared" si="3"/>
        <v>0</v>
      </c>
      <c r="H73" s="39">
        <f>IF(_xlfn.XLOOKUP(A73,[1]MACHOTE!A:A,[1]MACHOTE!V:V,0,0)="S",1.16,IF(_xlfn.XLOOKUP(A73,[1]MACHOTE!A:A,[1]MACHOTE!Y:Y,0,0)="S",1.08,1))</f>
        <v>1</v>
      </c>
      <c r="I73" s="39">
        <f t="shared" si="4"/>
        <v>0</v>
      </c>
      <c r="J73" s="42">
        <f t="shared" si="5"/>
        <v>0</v>
      </c>
      <c r="K73" s="39">
        <f>OC!$B$6</f>
        <v>0</v>
      </c>
      <c r="L73" s="39">
        <f>OC!$B$7</f>
        <v>0</v>
      </c>
      <c r="M73" s="39">
        <f>OC!$B$2</f>
        <v>0</v>
      </c>
      <c r="N73" s="44">
        <f>OC!$B$3</f>
        <v>0</v>
      </c>
      <c r="O73" s="39">
        <f>OC!$B$5</f>
        <v>0</v>
      </c>
      <c r="P73" s="39">
        <f>OC!$B$8</f>
        <v>0</v>
      </c>
      <c r="Q73" s="39">
        <f>OC!$B$4</f>
        <v>0</v>
      </c>
      <c r="R73" s="43">
        <f>OC!J81</f>
        <v>0</v>
      </c>
      <c r="S73" s="43">
        <v>0</v>
      </c>
      <c r="T73" s="43">
        <f>OC!L81</f>
        <v>0</v>
      </c>
      <c r="U73" s="43">
        <f>OC!M81</f>
        <v>0</v>
      </c>
      <c r="V73" s="43">
        <f>OC!N81</f>
        <v>0</v>
      </c>
    </row>
    <row r="74" spans="1:22" s="31" customFormat="1" x14ac:dyDescent="0.3">
      <c r="A74" s="38">
        <f>OC!A82</f>
        <v>0</v>
      </c>
      <c r="B74" s="38">
        <f>OC!B82</f>
        <v>0</v>
      </c>
      <c r="C74" s="38">
        <f>OC!C82</f>
        <v>0</v>
      </c>
      <c r="D74" s="38">
        <f>OC!P82</f>
        <v>0</v>
      </c>
      <c r="E74" s="39">
        <f>OC!D82</f>
        <v>0</v>
      </c>
      <c r="F74" s="40">
        <f>OC!E82</f>
        <v>0</v>
      </c>
      <c r="G74" s="41">
        <f t="shared" si="3"/>
        <v>0</v>
      </c>
      <c r="H74" s="39">
        <f>IF(_xlfn.XLOOKUP(A74,[1]MACHOTE!A:A,[1]MACHOTE!V:V,0,0)="S",1.16,IF(_xlfn.XLOOKUP(A74,[1]MACHOTE!A:A,[1]MACHOTE!Y:Y,0,0)="S",1.08,1))</f>
        <v>1</v>
      </c>
      <c r="I74" s="39">
        <f t="shared" si="4"/>
        <v>0</v>
      </c>
      <c r="J74" s="42">
        <f t="shared" si="5"/>
        <v>0</v>
      </c>
      <c r="K74" s="39">
        <f>OC!$B$6</f>
        <v>0</v>
      </c>
      <c r="L74" s="39">
        <f>OC!$B$7</f>
        <v>0</v>
      </c>
      <c r="M74" s="39">
        <f>OC!$B$2</f>
        <v>0</v>
      </c>
      <c r="N74" s="44">
        <f>OC!$B$3</f>
        <v>0</v>
      </c>
      <c r="O74" s="39">
        <f>OC!$B$5</f>
        <v>0</v>
      </c>
      <c r="P74" s="39">
        <f>OC!$B$8</f>
        <v>0</v>
      </c>
      <c r="Q74" s="39">
        <f>OC!$B$4</f>
        <v>0</v>
      </c>
      <c r="R74" s="43">
        <f>OC!J82</f>
        <v>0</v>
      </c>
      <c r="S74" s="43">
        <v>0</v>
      </c>
      <c r="T74" s="43">
        <f>OC!L82</f>
        <v>0</v>
      </c>
      <c r="U74" s="43">
        <f>OC!M82</f>
        <v>0</v>
      </c>
      <c r="V74" s="43">
        <f>OC!N82</f>
        <v>0</v>
      </c>
    </row>
    <row r="75" spans="1:22" s="31" customFormat="1" x14ac:dyDescent="0.3">
      <c r="A75" s="38">
        <f>OC!A83</f>
        <v>0</v>
      </c>
      <c r="B75" s="38">
        <f>OC!B83</f>
        <v>0</v>
      </c>
      <c r="C75" s="38">
        <f>OC!C83</f>
        <v>0</v>
      </c>
      <c r="D75" s="38">
        <f>OC!P83</f>
        <v>0</v>
      </c>
      <c r="E75" s="39">
        <f>OC!D83</f>
        <v>0</v>
      </c>
      <c r="F75" s="40">
        <f>OC!E83</f>
        <v>0</v>
      </c>
      <c r="G75" s="41">
        <f t="shared" si="3"/>
        <v>0</v>
      </c>
      <c r="H75" s="39">
        <f>IF(_xlfn.XLOOKUP(A75,[1]MACHOTE!A:A,[1]MACHOTE!V:V,0,0)="S",1.16,IF(_xlfn.XLOOKUP(A75,[1]MACHOTE!A:A,[1]MACHOTE!Y:Y,0,0)="S",1.08,1))</f>
        <v>1</v>
      </c>
      <c r="I75" s="39">
        <f t="shared" si="4"/>
        <v>0</v>
      </c>
      <c r="J75" s="42">
        <f t="shared" si="5"/>
        <v>0</v>
      </c>
      <c r="K75" s="39">
        <f>OC!$B$6</f>
        <v>0</v>
      </c>
      <c r="L75" s="39">
        <f>OC!$B$7</f>
        <v>0</v>
      </c>
      <c r="M75" s="39">
        <f>OC!$B$2</f>
        <v>0</v>
      </c>
      <c r="N75" s="44">
        <f>OC!$B$3</f>
        <v>0</v>
      </c>
      <c r="O75" s="39">
        <f>OC!$B$5</f>
        <v>0</v>
      </c>
      <c r="P75" s="39">
        <f>OC!$B$8</f>
        <v>0</v>
      </c>
      <c r="Q75" s="39">
        <f>OC!$B$4</f>
        <v>0</v>
      </c>
      <c r="R75" s="43">
        <f>OC!J83</f>
        <v>0</v>
      </c>
      <c r="S75" s="43">
        <v>0</v>
      </c>
      <c r="T75" s="43">
        <f>OC!L83</f>
        <v>0</v>
      </c>
      <c r="U75" s="43">
        <f>OC!M83</f>
        <v>0</v>
      </c>
      <c r="V75" s="43">
        <f>OC!N83</f>
        <v>0</v>
      </c>
    </row>
    <row r="76" spans="1:22" s="31" customFormat="1" x14ac:dyDescent="0.3">
      <c r="A76" s="38">
        <f>OC!A84</f>
        <v>0</v>
      </c>
      <c r="B76" s="38">
        <f>OC!B84</f>
        <v>0</v>
      </c>
      <c r="C76" s="38">
        <f>OC!C84</f>
        <v>0</v>
      </c>
      <c r="D76" s="38">
        <f>OC!P84</f>
        <v>0</v>
      </c>
      <c r="E76" s="39">
        <f>OC!D84</f>
        <v>0</v>
      </c>
      <c r="F76" s="40">
        <f>OC!E84</f>
        <v>0</v>
      </c>
      <c r="G76" s="41">
        <f t="shared" si="3"/>
        <v>0</v>
      </c>
      <c r="H76" s="39">
        <f>IF(_xlfn.XLOOKUP(A76,[1]MACHOTE!A:A,[1]MACHOTE!V:V,0,0)="S",1.16,IF(_xlfn.XLOOKUP(A76,[1]MACHOTE!A:A,[1]MACHOTE!Y:Y,0,0)="S",1.08,1))</f>
        <v>1</v>
      </c>
      <c r="I76" s="39">
        <f t="shared" si="4"/>
        <v>0</v>
      </c>
      <c r="J76" s="42">
        <f t="shared" si="5"/>
        <v>0</v>
      </c>
      <c r="K76" s="39">
        <f>OC!$B$6</f>
        <v>0</v>
      </c>
      <c r="L76" s="39">
        <f>OC!$B$7</f>
        <v>0</v>
      </c>
      <c r="M76" s="39">
        <f>OC!$B$2</f>
        <v>0</v>
      </c>
      <c r="N76" s="44">
        <f>OC!$B$3</f>
        <v>0</v>
      </c>
      <c r="O76" s="39">
        <f>OC!$B$5</f>
        <v>0</v>
      </c>
      <c r="P76" s="39">
        <f>OC!$B$8</f>
        <v>0</v>
      </c>
      <c r="Q76" s="39">
        <f>OC!$B$4</f>
        <v>0</v>
      </c>
      <c r="R76" s="43">
        <f>OC!J84</f>
        <v>0</v>
      </c>
      <c r="S76" s="43">
        <v>0</v>
      </c>
      <c r="T76" s="43">
        <f>OC!L84</f>
        <v>0</v>
      </c>
      <c r="U76" s="43">
        <f>OC!M84</f>
        <v>0</v>
      </c>
      <c r="V76" s="43">
        <f>OC!N84</f>
        <v>0</v>
      </c>
    </row>
    <row r="77" spans="1:22" s="31" customFormat="1" x14ac:dyDescent="0.3">
      <c r="A77" s="38">
        <f>OC!A85</f>
        <v>0</v>
      </c>
      <c r="B77" s="38">
        <f>OC!B85</f>
        <v>0</v>
      </c>
      <c r="C77" s="38">
        <f>OC!C85</f>
        <v>0</v>
      </c>
      <c r="D77" s="38">
        <f>OC!P85</f>
        <v>0</v>
      </c>
      <c r="E77" s="39">
        <f>OC!D85</f>
        <v>0</v>
      </c>
      <c r="F77" s="40">
        <f>OC!E85</f>
        <v>0</v>
      </c>
      <c r="G77" s="41">
        <f t="shared" si="3"/>
        <v>0</v>
      </c>
      <c r="H77" s="39">
        <f>IF(_xlfn.XLOOKUP(A77,[1]MACHOTE!A:A,[1]MACHOTE!V:V,0,0)="S",1.16,IF(_xlfn.XLOOKUP(A77,[1]MACHOTE!A:A,[1]MACHOTE!Y:Y,0,0)="S",1.08,1))</f>
        <v>1</v>
      </c>
      <c r="I77" s="39">
        <f t="shared" si="4"/>
        <v>0</v>
      </c>
      <c r="J77" s="42">
        <f t="shared" si="5"/>
        <v>0</v>
      </c>
      <c r="K77" s="39">
        <f>OC!$B$6</f>
        <v>0</v>
      </c>
      <c r="L77" s="39">
        <f>OC!$B$7</f>
        <v>0</v>
      </c>
      <c r="M77" s="39">
        <f>OC!$B$2</f>
        <v>0</v>
      </c>
      <c r="N77" s="44">
        <f>OC!$B$3</f>
        <v>0</v>
      </c>
      <c r="O77" s="39">
        <f>OC!$B$5</f>
        <v>0</v>
      </c>
      <c r="P77" s="39">
        <f>OC!$B$8</f>
        <v>0</v>
      </c>
      <c r="Q77" s="39">
        <f>OC!$B$4</f>
        <v>0</v>
      </c>
      <c r="R77" s="43">
        <f>OC!J85</f>
        <v>0</v>
      </c>
      <c r="S77" s="43">
        <v>0</v>
      </c>
      <c r="T77" s="43">
        <f>OC!L85</f>
        <v>0</v>
      </c>
      <c r="U77" s="43">
        <f>OC!M85</f>
        <v>0</v>
      </c>
      <c r="V77" s="43">
        <f>OC!N85</f>
        <v>0</v>
      </c>
    </row>
    <row r="78" spans="1:22" s="31" customFormat="1" x14ac:dyDescent="0.3">
      <c r="A78" s="38">
        <f>OC!A86</f>
        <v>0</v>
      </c>
      <c r="B78" s="38">
        <f>OC!B86</f>
        <v>0</v>
      </c>
      <c r="C78" s="38">
        <f>OC!C86</f>
        <v>0</v>
      </c>
      <c r="D78" s="38">
        <f>OC!P86</f>
        <v>0</v>
      </c>
      <c r="E78" s="39">
        <f>OC!D86</f>
        <v>0</v>
      </c>
      <c r="F78" s="40">
        <f>OC!E86</f>
        <v>0</v>
      </c>
      <c r="G78" s="41">
        <f t="shared" si="3"/>
        <v>0</v>
      </c>
      <c r="H78" s="39">
        <f>IF(_xlfn.XLOOKUP(A78,[1]MACHOTE!A:A,[1]MACHOTE!V:V,0,0)="S",1.16,IF(_xlfn.XLOOKUP(A78,[1]MACHOTE!A:A,[1]MACHOTE!Y:Y,0,0)="S",1.08,1))</f>
        <v>1</v>
      </c>
      <c r="I78" s="39">
        <f t="shared" si="4"/>
        <v>0</v>
      </c>
      <c r="J78" s="42">
        <f t="shared" si="5"/>
        <v>0</v>
      </c>
      <c r="K78" s="39">
        <f>OC!$B$6</f>
        <v>0</v>
      </c>
      <c r="L78" s="39">
        <f>OC!$B$7</f>
        <v>0</v>
      </c>
      <c r="M78" s="39">
        <f>OC!$B$2</f>
        <v>0</v>
      </c>
      <c r="N78" s="44">
        <f>OC!$B$3</f>
        <v>0</v>
      </c>
      <c r="O78" s="39">
        <f>OC!$B$5</f>
        <v>0</v>
      </c>
      <c r="P78" s="39">
        <f>OC!$B$8</f>
        <v>0</v>
      </c>
      <c r="Q78" s="39">
        <f>OC!$B$4</f>
        <v>0</v>
      </c>
      <c r="R78" s="43">
        <f>OC!J86</f>
        <v>0</v>
      </c>
      <c r="S78" s="43">
        <v>0</v>
      </c>
      <c r="T78" s="43">
        <f>OC!L86</f>
        <v>0</v>
      </c>
      <c r="U78" s="43">
        <f>OC!M86</f>
        <v>0</v>
      </c>
      <c r="V78" s="43">
        <f>OC!N86</f>
        <v>0</v>
      </c>
    </row>
    <row r="79" spans="1:22" s="31" customFormat="1" x14ac:dyDescent="0.3">
      <c r="A79" s="38">
        <f>OC!A87</f>
        <v>0</v>
      </c>
      <c r="B79" s="38">
        <f>OC!B87</f>
        <v>0</v>
      </c>
      <c r="C79" s="38">
        <f>OC!C87</f>
        <v>0</v>
      </c>
      <c r="D79" s="38">
        <f>OC!P87</f>
        <v>0</v>
      </c>
      <c r="E79" s="39">
        <f>OC!D87</f>
        <v>0</v>
      </c>
      <c r="F79" s="40">
        <f>OC!E87</f>
        <v>0</v>
      </c>
      <c r="G79" s="41">
        <f t="shared" si="3"/>
        <v>0</v>
      </c>
      <c r="H79" s="39">
        <f>IF(_xlfn.XLOOKUP(A79,[1]MACHOTE!A:A,[1]MACHOTE!V:V,0,0)="S",1.16,IF(_xlfn.XLOOKUP(A79,[1]MACHOTE!A:A,[1]MACHOTE!Y:Y,0,0)="S",1.08,1))</f>
        <v>1</v>
      </c>
      <c r="I79" s="39">
        <f t="shared" si="4"/>
        <v>0</v>
      </c>
      <c r="J79" s="42">
        <f t="shared" si="5"/>
        <v>0</v>
      </c>
      <c r="K79" s="39">
        <f>OC!$B$6</f>
        <v>0</v>
      </c>
      <c r="L79" s="39">
        <f>OC!$B$7</f>
        <v>0</v>
      </c>
      <c r="M79" s="39">
        <f>OC!$B$2</f>
        <v>0</v>
      </c>
      <c r="N79" s="44">
        <f>OC!$B$3</f>
        <v>0</v>
      </c>
      <c r="O79" s="39">
        <f>OC!$B$5</f>
        <v>0</v>
      </c>
      <c r="P79" s="39">
        <f>OC!$B$8</f>
        <v>0</v>
      </c>
      <c r="Q79" s="39">
        <f>OC!$B$4</f>
        <v>0</v>
      </c>
      <c r="R79" s="43">
        <f>OC!J87</f>
        <v>0</v>
      </c>
      <c r="S79" s="43">
        <v>0</v>
      </c>
      <c r="T79" s="43">
        <f>OC!L87</f>
        <v>0</v>
      </c>
      <c r="U79" s="43">
        <f>OC!M87</f>
        <v>0</v>
      </c>
      <c r="V79" s="43">
        <f>OC!N87</f>
        <v>0</v>
      </c>
    </row>
    <row r="80" spans="1:22" s="31" customFormat="1" x14ac:dyDescent="0.3">
      <c r="A80" s="38">
        <f>OC!A88</f>
        <v>0</v>
      </c>
      <c r="B80" s="38">
        <f>OC!B88</f>
        <v>0</v>
      </c>
      <c r="C80" s="38">
        <f>OC!C88</f>
        <v>0</v>
      </c>
      <c r="D80" s="38">
        <f>OC!P88</f>
        <v>0</v>
      </c>
      <c r="E80" s="39">
        <f>OC!D88</f>
        <v>0</v>
      </c>
      <c r="F80" s="40">
        <f>OC!E88</f>
        <v>0</v>
      </c>
      <c r="G80" s="41">
        <f t="shared" ref="G80:G143" si="6">C80*F80</f>
        <v>0</v>
      </c>
      <c r="H80" s="39">
        <f>IF(_xlfn.XLOOKUP(A80,[1]MACHOTE!A:A,[1]MACHOTE!V:V,0,0)="S",1.16,IF(_xlfn.XLOOKUP(A80,[1]MACHOTE!A:A,[1]MACHOTE!Y:Y,0,0)="S",1.08,1))</f>
        <v>1</v>
      </c>
      <c r="I80" s="39">
        <f t="shared" ref="I80:I143" si="7">E80*C80</f>
        <v>0</v>
      </c>
      <c r="J80" s="42">
        <f t="shared" ref="J80:J143" si="8">G80-I80</f>
        <v>0</v>
      </c>
      <c r="K80" s="39">
        <f>OC!$B$6</f>
        <v>0</v>
      </c>
      <c r="L80" s="39">
        <f>OC!$B$7</f>
        <v>0</v>
      </c>
      <c r="M80" s="39">
        <f>OC!$B$2</f>
        <v>0</v>
      </c>
      <c r="N80" s="44">
        <f>OC!$B$3</f>
        <v>0</v>
      </c>
      <c r="O80" s="39">
        <f>OC!$B$5</f>
        <v>0</v>
      </c>
      <c r="P80" s="39">
        <f>OC!$B$8</f>
        <v>0</v>
      </c>
      <c r="Q80" s="39">
        <f>OC!$B$4</f>
        <v>0</v>
      </c>
      <c r="R80" s="43">
        <f>OC!J88</f>
        <v>0</v>
      </c>
      <c r="S80" s="43">
        <v>0</v>
      </c>
      <c r="T80" s="43">
        <f>OC!L88</f>
        <v>0</v>
      </c>
      <c r="U80" s="43">
        <f>OC!M88</f>
        <v>0</v>
      </c>
      <c r="V80" s="43">
        <f>OC!N88</f>
        <v>0</v>
      </c>
    </row>
    <row r="81" spans="1:22" s="31" customFormat="1" x14ac:dyDescent="0.3">
      <c r="A81" s="38">
        <f>OC!A89</f>
        <v>0</v>
      </c>
      <c r="B81" s="38">
        <f>OC!B89</f>
        <v>0</v>
      </c>
      <c r="C81" s="38">
        <f>OC!C89</f>
        <v>0</v>
      </c>
      <c r="D81" s="38">
        <f>OC!P89</f>
        <v>0</v>
      </c>
      <c r="E81" s="39">
        <f>OC!D89</f>
        <v>0</v>
      </c>
      <c r="F81" s="40">
        <f>OC!E89</f>
        <v>0</v>
      </c>
      <c r="G81" s="41">
        <f t="shared" si="6"/>
        <v>0</v>
      </c>
      <c r="H81" s="39">
        <f>IF(_xlfn.XLOOKUP(A81,[1]MACHOTE!A:A,[1]MACHOTE!V:V,0,0)="S",1.16,IF(_xlfn.XLOOKUP(A81,[1]MACHOTE!A:A,[1]MACHOTE!Y:Y,0,0)="S",1.08,1))</f>
        <v>1</v>
      </c>
      <c r="I81" s="39">
        <f t="shared" si="7"/>
        <v>0</v>
      </c>
      <c r="J81" s="42">
        <f t="shared" si="8"/>
        <v>0</v>
      </c>
      <c r="K81" s="39">
        <f>OC!$B$6</f>
        <v>0</v>
      </c>
      <c r="L81" s="39">
        <f>OC!$B$7</f>
        <v>0</v>
      </c>
      <c r="M81" s="39">
        <f>OC!$B$2</f>
        <v>0</v>
      </c>
      <c r="N81" s="44">
        <f>OC!$B$3</f>
        <v>0</v>
      </c>
      <c r="O81" s="39">
        <f>OC!$B$5</f>
        <v>0</v>
      </c>
      <c r="P81" s="39">
        <f>OC!$B$8</f>
        <v>0</v>
      </c>
      <c r="Q81" s="39">
        <f>OC!$B$4</f>
        <v>0</v>
      </c>
      <c r="R81" s="43">
        <f>OC!J89</f>
        <v>0</v>
      </c>
      <c r="S81" s="43">
        <v>0</v>
      </c>
      <c r="T81" s="43">
        <f>OC!L89</f>
        <v>0</v>
      </c>
      <c r="U81" s="43">
        <f>OC!M89</f>
        <v>0</v>
      </c>
      <c r="V81" s="43">
        <f>OC!N89</f>
        <v>0</v>
      </c>
    </row>
    <row r="82" spans="1:22" s="31" customFormat="1" x14ac:dyDescent="0.3">
      <c r="A82" s="38">
        <f>OC!A90</f>
        <v>0</v>
      </c>
      <c r="B82" s="38">
        <f>OC!B90</f>
        <v>0</v>
      </c>
      <c r="C82" s="38">
        <f>OC!C90</f>
        <v>0</v>
      </c>
      <c r="D82" s="38">
        <f>OC!P90</f>
        <v>0</v>
      </c>
      <c r="E82" s="39">
        <f>OC!D90</f>
        <v>0</v>
      </c>
      <c r="F82" s="40">
        <f>OC!E90</f>
        <v>0</v>
      </c>
      <c r="G82" s="41">
        <f t="shared" si="6"/>
        <v>0</v>
      </c>
      <c r="H82" s="39">
        <f>IF(_xlfn.XLOOKUP(A82,[1]MACHOTE!A:A,[1]MACHOTE!V:V,0,0)="S",1.16,IF(_xlfn.XLOOKUP(A82,[1]MACHOTE!A:A,[1]MACHOTE!Y:Y,0,0)="S",1.08,1))</f>
        <v>1</v>
      </c>
      <c r="I82" s="39">
        <f t="shared" si="7"/>
        <v>0</v>
      </c>
      <c r="J82" s="42">
        <f t="shared" si="8"/>
        <v>0</v>
      </c>
      <c r="K82" s="39">
        <f>OC!$B$6</f>
        <v>0</v>
      </c>
      <c r="L82" s="39">
        <f>OC!$B$7</f>
        <v>0</v>
      </c>
      <c r="M82" s="39">
        <f>OC!$B$2</f>
        <v>0</v>
      </c>
      <c r="N82" s="44">
        <f>OC!$B$3</f>
        <v>0</v>
      </c>
      <c r="O82" s="39">
        <f>OC!$B$5</f>
        <v>0</v>
      </c>
      <c r="P82" s="39">
        <f>OC!$B$8</f>
        <v>0</v>
      </c>
      <c r="Q82" s="39">
        <f>OC!$B$4</f>
        <v>0</v>
      </c>
      <c r="R82" s="43">
        <f>OC!J90</f>
        <v>0</v>
      </c>
      <c r="S82" s="43">
        <v>0</v>
      </c>
      <c r="T82" s="43">
        <f>OC!L90</f>
        <v>0</v>
      </c>
      <c r="U82" s="43">
        <f>OC!M90</f>
        <v>0</v>
      </c>
      <c r="V82" s="43">
        <f>OC!N90</f>
        <v>0</v>
      </c>
    </row>
    <row r="83" spans="1:22" s="31" customFormat="1" x14ac:dyDescent="0.3">
      <c r="A83" s="38">
        <f>OC!A91</f>
        <v>0</v>
      </c>
      <c r="B83" s="38">
        <f>OC!B91</f>
        <v>0</v>
      </c>
      <c r="C83" s="38">
        <f>OC!C91</f>
        <v>0</v>
      </c>
      <c r="D83" s="38">
        <f>OC!P91</f>
        <v>0</v>
      </c>
      <c r="E83" s="39">
        <f>OC!D91</f>
        <v>0</v>
      </c>
      <c r="F83" s="40">
        <f>OC!E91</f>
        <v>0</v>
      </c>
      <c r="G83" s="41">
        <f t="shared" si="6"/>
        <v>0</v>
      </c>
      <c r="H83" s="39">
        <f>IF(_xlfn.XLOOKUP(A83,[1]MACHOTE!A:A,[1]MACHOTE!V:V,0,0)="S",1.16,IF(_xlfn.XLOOKUP(A83,[1]MACHOTE!A:A,[1]MACHOTE!Y:Y,0,0)="S",1.08,1))</f>
        <v>1</v>
      </c>
      <c r="I83" s="39">
        <f t="shared" si="7"/>
        <v>0</v>
      </c>
      <c r="J83" s="42">
        <f t="shared" si="8"/>
        <v>0</v>
      </c>
      <c r="K83" s="39">
        <f>OC!$B$6</f>
        <v>0</v>
      </c>
      <c r="L83" s="39">
        <f>OC!$B$7</f>
        <v>0</v>
      </c>
      <c r="M83" s="39">
        <f>OC!$B$2</f>
        <v>0</v>
      </c>
      <c r="N83" s="44">
        <f>OC!$B$3</f>
        <v>0</v>
      </c>
      <c r="O83" s="39">
        <f>OC!$B$5</f>
        <v>0</v>
      </c>
      <c r="P83" s="39">
        <f>OC!$B$8</f>
        <v>0</v>
      </c>
      <c r="Q83" s="39">
        <f>OC!$B$4</f>
        <v>0</v>
      </c>
      <c r="R83" s="43">
        <f>OC!J91</f>
        <v>0</v>
      </c>
      <c r="S83" s="43">
        <v>0</v>
      </c>
      <c r="T83" s="43">
        <f>OC!L91</f>
        <v>0</v>
      </c>
      <c r="U83" s="43">
        <f>OC!M91</f>
        <v>0</v>
      </c>
      <c r="V83" s="43">
        <f>OC!N91</f>
        <v>0</v>
      </c>
    </row>
    <row r="84" spans="1:22" s="31" customFormat="1" x14ac:dyDescent="0.3">
      <c r="A84" s="38">
        <f>OC!A92</f>
        <v>0</v>
      </c>
      <c r="B84" s="38">
        <f>OC!B92</f>
        <v>0</v>
      </c>
      <c r="C84" s="38">
        <f>OC!C92</f>
        <v>0</v>
      </c>
      <c r="D84" s="38">
        <f>OC!P92</f>
        <v>0</v>
      </c>
      <c r="E84" s="39">
        <f>OC!D92</f>
        <v>0</v>
      </c>
      <c r="F84" s="40">
        <f>OC!E92</f>
        <v>0</v>
      </c>
      <c r="G84" s="41">
        <f t="shared" si="6"/>
        <v>0</v>
      </c>
      <c r="H84" s="39">
        <f>IF(_xlfn.XLOOKUP(A84,[1]MACHOTE!A:A,[1]MACHOTE!V:V,0,0)="S",1.16,IF(_xlfn.XLOOKUP(A84,[1]MACHOTE!A:A,[1]MACHOTE!Y:Y,0,0)="S",1.08,1))</f>
        <v>1</v>
      </c>
      <c r="I84" s="39">
        <f t="shared" si="7"/>
        <v>0</v>
      </c>
      <c r="J84" s="42">
        <f t="shared" si="8"/>
        <v>0</v>
      </c>
      <c r="K84" s="39">
        <f>OC!$B$6</f>
        <v>0</v>
      </c>
      <c r="L84" s="39">
        <f>OC!$B$7</f>
        <v>0</v>
      </c>
      <c r="M84" s="39">
        <f>OC!$B$2</f>
        <v>0</v>
      </c>
      <c r="N84" s="44">
        <f>OC!$B$3</f>
        <v>0</v>
      </c>
      <c r="O84" s="39">
        <f>OC!$B$5</f>
        <v>0</v>
      </c>
      <c r="P84" s="39">
        <f>OC!$B$8</f>
        <v>0</v>
      </c>
      <c r="Q84" s="39">
        <f>OC!$B$4</f>
        <v>0</v>
      </c>
      <c r="R84" s="43">
        <f>OC!J92</f>
        <v>0</v>
      </c>
      <c r="S84" s="43">
        <v>0</v>
      </c>
      <c r="T84" s="43">
        <f>OC!L92</f>
        <v>0</v>
      </c>
      <c r="U84" s="43">
        <f>OC!M92</f>
        <v>0</v>
      </c>
      <c r="V84" s="43">
        <f>OC!N92</f>
        <v>0</v>
      </c>
    </row>
    <row r="85" spans="1:22" s="31" customFormat="1" x14ac:dyDescent="0.3">
      <c r="A85" s="38">
        <f>OC!A93</f>
        <v>0</v>
      </c>
      <c r="B85" s="38">
        <f>OC!B93</f>
        <v>0</v>
      </c>
      <c r="C85" s="38">
        <f>OC!C93</f>
        <v>0</v>
      </c>
      <c r="D85" s="38">
        <f>OC!P93</f>
        <v>0</v>
      </c>
      <c r="E85" s="39">
        <f>OC!D93</f>
        <v>0</v>
      </c>
      <c r="F85" s="40">
        <f>OC!E93</f>
        <v>0</v>
      </c>
      <c r="G85" s="41">
        <f t="shared" si="6"/>
        <v>0</v>
      </c>
      <c r="H85" s="39">
        <f>IF(_xlfn.XLOOKUP(A85,[1]MACHOTE!A:A,[1]MACHOTE!V:V,0,0)="S",1.16,IF(_xlfn.XLOOKUP(A85,[1]MACHOTE!A:A,[1]MACHOTE!Y:Y,0,0)="S",1.08,1))</f>
        <v>1</v>
      </c>
      <c r="I85" s="39">
        <f t="shared" si="7"/>
        <v>0</v>
      </c>
      <c r="J85" s="42">
        <f t="shared" si="8"/>
        <v>0</v>
      </c>
      <c r="K85" s="39">
        <f>OC!$B$6</f>
        <v>0</v>
      </c>
      <c r="L85" s="39">
        <f>OC!$B$7</f>
        <v>0</v>
      </c>
      <c r="M85" s="39">
        <f>OC!$B$2</f>
        <v>0</v>
      </c>
      <c r="N85" s="44">
        <f>OC!$B$3</f>
        <v>0</v>
      </c>
      <c r="O85" s="39">
        <f>OC!$B$5</f>
        <v>0</v>
      </c>
      <c r="P85" s="39">
        <f>OC!$B$8</f>
        <v>0</v>
      </c>
      <c r="Q85" s="39">
        <f>OC!$B$4</f>
        <v>0</v>
      </c>
      <c r="R85" s="43">
        <f>OC!J93</f>
        <v>0</v>
      </c>
      <c r="S85" s="43">
        <v>0</v>
      </c>
      <c r="T85" s="43">
        <f>OC!L93</f>
        <v>0</v>
      </c>
      <c r="U85" s="43">
        <f>OC!M93</f>
        <v>0</v>
      </c>
      <c r="V85" s="43">
        <f>OC!N93</f>
        <v>0</v>
      </c>
    </row>
    <row r="86" spans="1:22" s="31" customFormat="1" x14ac:dyDescent="0.3">
      <c r="A86" s="38">
        <f>OC!A94</f>
        <v>0</v>
      </c>
      <c r="B86" s="38">
        <f>OC!B94</f>
        <v>0</v>
      </c>
      <c r="C86" s="38">
        <f>OC!C94</f>
        <v>0</v>
      </c>
      <c r="D86" s="38">
        <f>OC!P94</f>
        <v>0</v>
      </c>
      <c r="E86" s="39">
        <f>OC!D94</f>
        <v>0</v>
      </c>
      <c r="F86" s="40">
        <f>OC!E94</f>
        <v>0</v>
      </c>
      <c r="G86" s="41">
        <f t="shared" si="6"/>
        <v>0</v>
      </c>
      <c r="H86" s="39">
        <f>IF(_xlfn.XLOOKUP(A86,[1]MACHOTE!A:A,[1]MACHOTE!V:V,0,0)="S",1.16,IF(_xlfn.XLOOKUP(A86,[1]MACHOTE!A:A,[1]MACHOTE!Y:Y,0,0)="S",1.08,1))</f>
        <v>1</v>
      </c>
      <c r="I86" s="39">
        <f t="shared" si="7"/>
        <v>0</v>
      </c>
      <c r="J86" s="42">
        <f t="shared" si="8"/>
        <v>0</v>
      </c>
      <c r="K86" s="39">
        <f>OC!$B$6</f>
        <v>0</v>
      </c>
      <c r="L86" s="39">
        <f>OC!$B$7</f>
        <v>0</v>
      </c>
      <c r="M86" s="39">
        <f>OC!$B$2</f>
        <v>0</v>
      </c>
      <c r="N86" s="44">
        <f>OC!$B$3</f>
        <v>0</v>
      </c>
      <c r="O86" s="39">
        <f>OC!$B$5</f>
        <v>0</v>
      </c>
      <c r="P86" s="39">
        <f>OC!$B$8</f>
        <v>0</v>
      </c>
      <c r="Q86" s="39">
        <f>OC!$B$4</f>
        <v>0</v>
      </c>
      <c r="R86" s="43">
        <f>OC!J94</f>
        <v>0</v>
      </c>
      <c r="S86" s="43">
        <v>0</v>
      </c>
      <c r="T86" s="43">
        <f>OC!L94</f>
        <v>0</v>
      </c>
      <c r="U86" s="43">
        <f>OC!M94</f>
        <v>0</v>
      </c>
      <c r="V86" s="43">
        <f>OC!N94</f>
        <v>0</v>
      </c>
    </row>
    <row r="87" spans="1:22" s="31" customFormat="1" x14ac:dyDescent="0.3">
      <c r="A87" s="38">
        <f>OC!A95</f>
        <v>0</v>
      </c>
      <c r="B87" s="38">
        <f>OC!B95</f>
        <v>0</v>
      </c>
      <c r="C87" s="38">
        <f>OC!C95</f>
        <v>0</v>
      </c>
      <c r="D87" s="38">
        <f>OC!P95</f>
        <v>0</v>
      </c>
      <c r="E87" s="39">
        <f>OC!D95</f>
        <v>0</v>
      </c>
      <c r="F87" s="40">
        <f>OC!E95</f>
        <v>0</v>
      </c>
      <c r="G87" s="41">
        <f t="shared" si="6"/>
        <v>0</v>
      </c>
      <c r="H87" s="39">
        <f>IF(_xlfn.XLOOKUP(A87,[1]MACHOTE!A:A,[1]MACHOTE!V:V,0,0)="S",1.16,IF(_xlfn.XLOOKUP(A87,[1]MACHOTE!A:A,[1]MACHOTE!Y:Y,0,0)="S",1.08,1))</f>
        <v>1</v>
      </c>
      <c r="I87" s="39">
        <f t="shared" si="7"/>
        <v>0</v>
      </c>
      <c r="J87" s="42">
        <f t="shared" si="8"/>
        <v>0</v>
      </c>
      <c r="K87" s="39">
        <f>OC!$B$6</f>
        <v>0</v>
      </c>
      <c r="L87" s="39">
        <f>OC!$B$7</f>
        <v>0</v>
      </c>
      <c r="M87" s="39">
        <f>OC!$B$2</f>
        <v>0</v>
      </c>
      <c r="N87" s="44">
        <f>OC!$B$3</f>
        <v>0</v>
      </c>
      <c r="O87" s="39">
        <f>OC!$B$5</f>
        <v>0</v>
      </c>
      <c r="P87" s="39">
        <f>OC!$B$8</f>
        <v>0</v>
      </c>
      <c r="Q87" s="39">
        <f>OC!$B$4</f>
        <v>0</v>
      </c>
      <c r="R87" s="43">
        <f>OC!J95</f>
        <v>0</v>
      </c>
      <c r="S87" s="43">
        <v>0</v>
      </c>
      <c r="T87" s="43">
        <f>OC!L95</f>
        <v>0</v>
      </c>
      <c r="U87" s="43">
        <f>OC!M95</f>
        <v>0</v>
      </c>
      <c r="V87" s="43">
        <f>OC!N95</f>
        <v>0</v>
      </c>
    </row>
    <row r="88" spans="1:22" s="31" customFormat="1" x14ac:dyDescent="0.3">
      <c r="A88" s="38">
        <f>OC!A96</f>
        <v>0</v>
      </c>
      <c r="B88" s="38">
        <f>OC!B96</f>
        <v>0</v>
      </c>
      <c r="C88" s="38">
        <f>OC!C96</f>
        <v>0</v>
      </c>
      <c r="D88" s="38">
        <f>OC!P96</f>
        <v>0</v>
      </c>
      <c r="E88" s="39">
        <f>OC!D96</f>
        <v>0</v>
      </c>
      <c r="F88" s="40">
        <f>OC!E96</f>
        <v>0</v>
      </c>
      <c r="G88" s="41">
        <f t="shared" si="6"/>
        <v>0</v>
      </c>
      <c r="H88" s="39">
        <f>IF(_xlfn.XLOOKUP(A88,[1]MACHOTE!A:A,[1]MACHOTE!V:V,0,0)="S",1.16,IF(_xlfn.XLOOKUP(A88,[1]MACHOTE!A:A,[1]MACHOTE!Y:Y,0,0)="S",1.08,1))</f>
        <v>1</v>
      </c>
      <c r="I88" s="39">
        <f t="shared" si="7"/>
        <v>0</v>
      </c>
      <c r="J88" s="42">
        <f t="shared" si="8"/>
        <v>0</v>
      </c>
      <c r="K88" s="39">
        <f>OC!$B$6</f>
        <v>0</v>
      </c>
      <c r="L88" s="39">
        <f>OC!$B$7</f>
        <v>0</v>
      </c>
      <c r="M88" s="39">
        <f>OC!$B$2</f>
        <v>0</v>
      </c>
      <c r="N88" s="44">
        <f>OC!$B$3</f>
        <v>0</v>
      </c>
      <c r="O88" s="39">
        <f>OC!$B$5</f>
        <v>0</v>
      </c>
      <c r="P88" s="39">
        <f>OC!$B$8</f>
        <v>0</v>
      </c>
      <c r="Q88" s="39">
        <f>OC!$B$4</f>
        <v>0</v>
      </c>
      <c r="R88" s="43">
        <f>OC!J96</f>
        <v>0</v>
      </c>
      <c r="S88" s="43">
        <v>0</v>
      </c>
      <c r="T88" s="43">
        <f>OC!L96</f>
        <v>0</v>
      </c>
      <c r="U88" s="43">
        <f>OC!M96</f>
        <v>0</v>
      </c>
      <c r="V88" s="43">
        <f>OC!N96</f>
        <v>0</v>
      </c>
    </row>
    <row r="89" spans="1:22" s="31" customFormat="1" x14ac:dyDescent="0.3">
      <c r="A89" s="38">
        <f>OC!A97</f>
        <v>0</v>
      </c>
      <c r="B89" s="38">
        <f>OC!B97</f>
        <v>0</v>
      </c>
      <c r="C89" s="38">
        <f>OC!C97</f>
        <v>0</v>
      </c>
      <c r="D89" s="38">
        <f>OC!P97</f>
        <v>0</v>
      </c>
      <c r="E89" s="39">
        <f>OC!D97</f>
        <v>0</v>
      </c>
      <c r="F89" s="40">
        <f>OC!E97</f>
        <v>0</v>
      </c>
      <c r="G89" s="41">
        <f t="shared" si="6"/>
        <v>0</v>
      </c>
      <c r="H89" s="39">
        <f>IF(_xlfn.XLOOKUP(A89,[1]MACHOTE!A:A,[1]MACHOTE!V:V,0,0)="S",1.16,IF(_xlfn.XLOOKUP(A89,[1]MACHOTE!A:A,[1]MACHOTE!Y:Y,0,0)="S",1.08,1))</f>
        <v>1</v>
      </c>
      <c r="I89" s="39">
        <f t="shared" si="7"/>
        <v>0</v>
      </c>
      <c r="J89" s="42">
        <f t="shared" si="8"/>
        <v>0</v>
      </c>
      <c r="K89" s="39">
        <f>OC!$B$6</f>
        <v>0</v>
      </c>
      <c r="L89" s="39">
        <f>OC!$B$7</f>
        <v>0</v>
      </c>
      <c r="M89" s="39">
        <f>OC!$B$2</f>
        <v>0</v>
      </c>
      <c r="N89" s="44">
        <f>OC!$B$3</f>
        <v>0</v>
      </c>
      <c r="O89" s="39">
        <f>OC!$B$5</f>
        <v>0</v>
      </c>
      <c r="P89" s="39">
        <f>OC!$B$8</f>
        <v>0</v>
      </c>
      <c r="Q89" s="39">
        <f>OC!$B$4</f>
        <v>0</v>
      </c>
      <c r="R89" s="43">
        <f>OC!J97</f>
        <v>0</v>
      </c>
      <c r="S89" s="43">
        <v>0</v>
      </c>
      <c r="T89" s="43">
        <f>OC!L97</f>
        <v>0</v>
      </c>
      <c r="U89" s="43">
        <f>OC!M97</f>
        <v>0</v>
      </c>
      <c r="V89" s="43">
        <f>OC!N97</f>
        <v>0</v>
      </c>
    </row>
    <row r="90" spans="1:22" s="31" customFormat="1" x14ac:dyDescent="0.3">
      <c r="A90" s="38">
        <f>OC!A98</f>
        <v>0</v>
      </c>
      <c r="B90" s="38">
        <f>OC!B98</f>
        <v>0</v>
      </c>
      <c r="C90" s="38">
        <f>OC!C98</f>
        <v>0</v>
      </c>
      <c r="D90" s="38">
        <f>OC!P98</f>
        <v>0</v>
      </c>
      <c r="E90" s="39">
        <f>OC!D98</f>
        <v>0</v>
      </c>
      <c r="F90" s="40">
        <f>OC!E98</f>
        <v>0</v>
      </c>
      <c r="G90" s="41">
        <f t="shared" si="6"/>
        <v>0</v>
      </c>
      <c r="H90" s="39">
        <f>IF(_xlfn.XLOOKUP(A90,[1]MACHOTE!A:A,[1]MACHOTE!V:V,0,0)="S",1.16,IF(_xlfn.XLOOKUP(A90,[1]MACHOTE!A:A,[1]MACHOTE!Y:Y,0,0)="S",1.08,1))</f>
        <v>1</v>
      </c>
      <c r="I90" s="39">
        <f t="shared" si="7"/>
        <v>0</v>
      </c>
      <c r="J90" s="42">
        <f t="shared" si="8"/>
        <v>0</v>
      </c>
      <c r="K90" s="39">
        <f>OC!$B$6</f>
        <v>0</v>
      </c>
      <c r="L90" s="39">
        <f>OC!$B$7</f>
        <v>0</v>
      </c>
      <c r="M90" s="39">
        <f>OC!$B$2</f>
        <v>0</v>
      </c>
      <c r="N90" s="44">
        <f>OC!$B$3</f>
        <v>0</v>
      </c>
      <c r="O90" s="39">
        <f>OC!$B$5</f>
        <v>0</v>
      </c>
      <c r="P90" s="39">
        <f>OC!$B$8</f>
        <v>0</v>
      </c>
      <c r="Q90" s="39">
        <f>OC!$B$4</f>
        <v>0</v>
      </c>
      <c r="R90" s="43">
        <f>OC!J98</f>
        <v>0</v>
      </c>
      <c r="S90" s="43">
        <v>0</v>
      </c>
      <c r="T90" s="43">
        <f>OC!L98</f>
        <v>0</v>
      </c>
      <c r="U90" s="43">
        <f>OC!M98</f>
        <v>0</v>
      </c>
      <c r="V90" s="43">
        <f>OC!N98</f>
        <v>0</v>
      </c>
    </row>
    <row r="91" spans="1:22" s="31" customFormat="1" x14ac:dyDescent="0.3">
      <c r="A91" s="38">
        <f>OC!A99</f>
        <v>0</v>
      </c>
      <c r="B91" s="38">
        <f>OC!B99</f>
        <v>0</v>
      </c>
      <c r="C91" s="38">
        <f>OC!C99</f>
        <v>0</v>
      </c>
      <c r="D91" s="38">
        <f>OC!P99</f>
        <v>0</v>
      </c>
      <c r="E91" s="39">
        <f>OC!D99</f>
        <v>0</v>
      </c>
      <c r="F91" s="40">
        <f>OC!E99</f>
        <v>0</v>
      </c>
      <c r="G91" s="41">
        <f t="shared" si="6"/>
        <v>0</v>
      </c>
      <c r="H91" s="39">
        <f>IF(_xlfn.XLOOKUP(A91,[1]MACHOTE!A:A,[1]MACHOTE!V:V,0,0)="S",1.16,IF(_xlfn.XLOOKUP(A91,[1]MACHOTE!A:A,[1]MACHOTE!Y:Y,0,0)="S",1.08,1))</f>
        <v>1</v>
      </c>
      <c r="I91" s="39">
        <f t="shared" si="7"/>
        <v>0</v>
      </c>
      <c r="J91" s="42">
        <f t="shared" si="8"/>
        <v>0</v>
      </c>
      <c r="K91" s="39">
        <f>OC!$B$6</f>
        <v>0</v>
      </c>
      <c r="L91" s="39">
        <f>OC!$B$7</f>
        <v>0</v>
      </c>
      <c r="M91" s="39">
        <f>OC!$B$2</f>
        <v>0</v>
      </c>
      <c r="N91" s="44">
        <f>OC!$B$3</f>
        <v>0</v>
      </c>
      <c r="O91" s="39">
        <f>OC!$B$5</f>
        <v>0</v>
      </c>
      <c r="P91" s="39">
        <f>OC!$B$8</f>
        <v>0</v>
      </c>
      <c r="Q91" s="39">
        <f>OC!$B$4</f>
        <v>0</v>
      </c>
      <c r="R91" s="43">
        <f>OC!J99</f>
        <v>0</v>
      </c>
      <c r="S91" s="43">
        <v>0</v>
      </c>
      <c r="T91" s="43">
        <f>OC!L99</f>
        <v>0</v>
      </c>
      <c r="U91" s="43">
        <f>OC!M99</f>
        <v>0</v>
      </c>
      <c r="V91" s="43">
        <f>OC!N99</f>
        <v>0</v>
      </c>
    </row>
    <row r="92" spans="1:22" s="31" customFormat="1" x14ac:dyDescent="0.3">
      <c r="A92" s="38">
        <f>OC!A100</f>
        <v>0</v>
      </c>
      <c r="B92" s="38">
        <f>OC!B100</f>
        <v>0</v>
      </c>
      <c r="C92" s="38">
        <f>OC!C100</f>
        <v>0</v>
      </c>
      <c r="D92" s="38">
        <f>OC!P100</f>
        <v>0</v>
      </c>
      <c r="E92" s="39">
        <f>OC!D100</f>
        <v>0</v>
      </c>
      <c r="F92" s="40">
        <f>OC!E100</f>
        <v>0</v>
      </c>
      <c r="G92" s="41">
        <f t="shared" si="6"/>
        <v>0</v>
      </c>
      <c r="H92" s="39">
        <f>IF(_xlfn.XLOOKUP(A92,[1]MACHOTE!A:A,[1]MACHOTE!V:V,0,0)="S",1.16,IF(_xlfn.XLOOKUP(A92,[1]MACHOTE!A:A,[1]MACHOTE!Y:Y,0,0)="S",1.08,1))</f>
        <v>1</v>
      </c>
      <c r="I92" s="39">
        <f t="shared" si="7"/>
        <v>0</v>
      </c>
      <c r="J92" s="42">
        <f t="shared" si="8"/>
        <v>0</v>
      </c>
      <c r="K92" s="39">
        <f>OC!$B$6</f>
        <v>0</v>
      </c>
      <c r="L92" s="39">
        <f>OC!$B$7</f>
        <v>0</v>
      </c>
      <c r="M92" s="39">
        <f>OC!$B$2</f>
        <v>0</v>
      </c>
      <c r="N92" s="44">
        <f>OC!$B$3</f>
        <v>0</v>
      </c>
      <c r="O92" s="39">
        <f>OC!$B$5</f>
        <v>0</v>
      </c>
      <c r="P92" s="39">
        <f>OC!$B$8</f>
        <v>0</v>
      </c>
      <c r="Q92" s="39">
        <f>OC!$B$4</f>
        <v>0</v>
      </c>
      <c r="R92" s="43">
        <f>OC!J100</f>
        <v>0</v>
      </c>
      <c r="S92" s="43">
        <v>0</v>
      </c>
      <c r="T92" s="43">
        <f>OC!L100</f>
        <v>0</v>
      </c>
      <c r="U92" s="43">
        <f>OC!M100</f>
        <v>0</v>
      </c>
      <c r="V92" s="43">
        <f>OC!N100</f>
        <v>0</v>
      </c>
    </row>
    <row r="93" spans="1:22" s="31" customFormat="1" x14ac:dyDescent="0.3">
      <c r="A93" s="38">
        <f>OC!A101</f>
        <v>0</v>
      </c>
      <c r="B93" s="38">
        <f>OC!B101</f>
        <v>0</v>
      </c>
      <c r="C93" s="38">
        <f>OC!C101</f>
        <v>0</v>
      </c>
      <c r="D93" s="38">
        <f>OC!P101</f>
        <v>0</v>
      </c>
      <c r="E93" s="39">
        <f>OC!D101</f>
        <v>0</v>
      </c>
      <c r="F93" s="40">
        <f>OC!E101</f>
        <v>0</v>
      </c>
      <c r="G93" s="41">
        <f t="shared" si="6"/>
        <v>0</v>
      </c>
      <c r="H93" s="39">
        <f>IF(_xlfn.XLOOKUP(A93,[1]MACHOTE!A:A,[1]MACHOTE!V:V,0,0)="S",1.16,IF(_xlfn.XLOOKUP(A93,[1]MACHOTE!A:A,[1]MACHOTE!Y:Y,0,0)="S",1.08,1))</f>
        <v>1</v>
      </c>
      <c r="I93" s="39">
        <f t="shared" si="7"/>
        <v>0</v>
      </c>
      <c r="J93" s="42">
        <f t="shared" si="8"/>
        <v>0</v>
      </c>
      <c r="K93" s="39">
        <f>OC!$B$6</f>
        <v>0</v>
      </c>
      <c r="L93" s="39">
        <f>OC!$B$7</f>
        <v>0</v>
      </c>
      <c r="M93" s="39">
        <f>OC!$B$2</f>
        <v>0</v>
      </c>
      <c r="N93" s="44">
        <f>OC!$B$3</f>
        <v>0</v>
      </c>
      <c r="O93" s="39">
        <f>OC!$B$5</f>
        <v>0</v>
      </c>
      <c r="P93" s="39">
        <f>OC!$B$8</f>
        <v>0</v>
      </c>
      <c r="Q93" s="39">
        <f>OC!$B$4</f>
        <v>0</v>
      </c>
      <c r="R93" s="43">
        <f>OC!J101</f>
        <v>0</v>
      </c>
      <c r="S93" s="43">
        <v>0</v>
      </c>
      <c r="T93" s="43">
        <f>OC!L101</f>
        <v>0</v>
      </c>
      <c r="U93" s="43">
        <f>OC!M101</f>
        <v>0</v>
      </c>
      <c r="V93" s="43">
        <f>OC!N101</f>
        <v>0</v>
      </c>
    </row>
    <row r="94" spans="1:22" s="31" customFormat="1" x14ac:dyDescent="0.3">
      <c r="A94" s="38">
        <f>OC!A102</f>
        <v>0</v>
      </c>
      <c r="B94" s="38">
        <f>OC!B102</f>
        <v>0</v>
      </c>
      <c r="C94" s="38">
        <f>OC!C102</f>
        <v>0</v>
      </c>
      <c r="D94" s="38">
        <f>OC!P102</f>
        <v>0</v>
      </c>
      <c r="E94" s="39">
        <f>OC!D102</f>
        <v>0</v>
      </c>
      <c r="F94" s="40">
        <f>OC!E102</f>
        <v>0</v>
      </c>
      <c r="G94" s="41">
        <f t="shared" si="6"/>
        <v>0</v>
      </c>
      <c r="H94" s="39">
        <f>IF(_xlfn.XLOOKUP(A94,[1]MACHOTE!A:A,[1]MACHOTE!V:V,0,0)="S",1.16,IF(_xlfn.XLOOKUP(A94,[1]MACHOTE!A:A,[1]MACHOTE!Y:Y,0,0)="S",1.08,1))</f>
        <v>1</v>
      </c>
      <c r="I94" s="39">
        <f t="shared" si="7"/>
        <v>0</v>
      </c>
      <c r="J94" s="42">
        <f t="shared" si="8"/>
        <v>0</v>
      </c>
      <c r="K94" s="39">
        <f>OC!$B$6</f>
        <v>0</v>
      </c>
      <c r="L94" s="39">
        <f>OC!$B$7</f>
        <v>0</v>
      </c>
      <c r="M94" s="39">
        <f>OC!$B$2</f>
        <v>0</v>
      </c>
      <c r="N94" s="44">
        <f>OC!$B$3</f>
        <v>0</v>
      </c>
      <c r="O94" s="39">
        <f>OC!$B$5</f>
        <v>0</v>
      </c>
      <c r="P94" s="39">
        <f>OC!$B$8</f>
        <v>0</v>
      </c>
      <c r="Q94" s="39">
        <f>OC!$B$4</f>
        <v>0</v>
      </c>
      <c r="R94" s="43">
        <f>OC!J102</f>
        <v>0</v>
      </c>
      <c r="S94" s="43">
        <v>0</v>
      </c>
      <c r="T94" s="43">
        <f>OC!L102</f>
        <v>0</v>
      </c>
      <c r="U94" s="43">
        <f>OC!M102</f>
        <v>0</v>
      </c>
      <c r="V94" s="43">
        <f>OC!N102</f>
        <v>0</v>
      </c>
    </row>
    <row r="95" spans="1:22" s="31" customFormat="1" x14ac:dyDescent="0.3">
      <c r="A95" s="38">
        <f>OC!A103</f>
        <v>0</v>
      </c>
      <c r="B95" s="38">
        <f>OC!B103</f>
        <v>0</v>
      </c>
      <c r="C95" s="38">
        <f>OC!C103</f>
        <v>0</v>
      </c>
      <c r="D95" s="38">
        <f>OC!P103</f>
        <v>0</v>
      </c>
      <c r="E95" s="39">
        <f>OC!D103</f>
        <v>0</v>
      </c>
      <c r="F95" s="40">
        <f>OC!E103</f>
        <v>0</v>
      </c>
      <c r="G95" s="41">
        <f t="shared" si="6"/>
        <v>0</v>
      </c>
      <c r="H95" s="39">
        <f>IF(_xlfn.XLOOKUP(A95,[1]MACHOTE!A:A,[1]MACHOTE!V:V,0,0)="S",1.16,IF(_xlfn.XLOOKUP(A95,[1]MACHOTE!A:A,[1]MACHOTE!Y:Y,0,0)="S",1.08,1))</f>
        <v>1</v>
      </c>
      <c r="I95" s="39">
        <f t="shared" si="7"/>
        <v>0</v>
      </c>
      <c r="J95" s="42">
        <f t="shared" si="8"/>
        <v>0</v>
      </c>
      <c r="K95" s="39">
        <f>OC!$B$6</f>
        <v>0</v>
      </c>
      <c r="L95" s="39">
        <f>OC!$B$7</f>
        <v>0</v>
      </c>
      <c r="M95" s="39">
        <f>OC!$B$2</f>
        <v>0</v>
      </c>
      <c r="N95" s="44">
        <f>OC!$B$3</f>
        <v>0</v>
      </c>
      <c r="O95" s="39">
        <f>OC!$B$5</f>
        <v>0</v>
      </c>
      <c r="P95" s="39">
        <f>OC!$B$8</f>
        <v>0</v>
      </c>
      <c r="Q95" s="39">
        <f>OC!$B$4</f>
        <v>0</v>
      </c>
      <c r="R95" s="43">
        <f>OC!J103</f>
        <v>0</v>
      </c>
      <c r="S95" s="43">
        <v>0</v>
      </c>
      <c r="T95" s="43">
        <f>OC!L103</f>
        <v>0</v>
      </c>
      <c r="U95" s="43">
        <f>OC!M103</f>
        <v>0</v>
      </c>
      <c r="V95" s="43">
        <f>OC!N103</f>
        <v>0</v>
      </c>
    </row>
    <row r="96" spans="1:22" s="31" customFormat="1" x14ac:dyDescent="0.3">
      <c r="A96" s="38">
        <f>OC!A104</f>
        <v>0</v>
      </c>
      <c r="B96" s="38">
        <f>OC!B104</f>
        <v>0</v>
      </c>
      <c r="C96" s="38">
        <f>OC!C104</f>
        <v>0</v>
      </c>
      <c r="D96" s="38">
        <f>OC!P104</f>
        <v>0</v>
      </c>
      <c r="E96" s="39">
        <f>OC!D104</f>
        <v>0</v>
      </c>
      <c r="F96" s="40">
        <f>OC!E104</f>
        <v>0</v>
      </c>
      <c r="G96" s="41">
        <f t="shared" si="6"/>
        <v>0</v>
      </c>
      <c r="H96" s="39">
        <f>IF(_xlfn.XLOOKUP(A96,[1]MACHOTE!A:A,[1]MACHOTE!V:V,0,0)="S",1.16,IF(_xlfn.XLOOKUP(A96,[1]MACHOTE!A:A,[1]MACHOTE!Y:Y,0,0)="S",1.08,1))</f>
        <v>1</v>
      </c>
      <c r="I96" s="39">
        <f t="shared" si="7"/>
        <v>0</v>
      </c>
      <c r="J96" s="42">
        <f t="shared" si="8"/>
        <v>0</v>
      </c>
      <c r="K96" s="39">
        <f>OC!$B$6</f>
        <v>0</v>
      </c>
      <c r="L96" s="39">
        <f>OC!$B$7</f>
        <v>0</v>
      </c>
      <c r="M96" s="39">
        <f>OC!$B$2</f>
        <v>0</v>
      </c>
      <c r="N96" s="44">
        <f>OC!$B$3</f>
        <v>0</v>
      </c>
      <c r="O96" s="39">
        <f>OC!$B$5</f>
        <v>0</v>
      </c>
      <c r="P96" s="39">
        <f>OC!$B$8</f>
        <v>0</v>
      </c>
      <c r="Q96" s="39">
        <f>OC!$B$4</f>
        <v>0</v>
      </c>
      <c r="R96" s="43">
        <f>OC!J104</f>
        <v>0</v>
      </c>
      <c r="S96" s="43">
        <v>0</v>
      </c>
      <c r="T96" s="43">
        <f>OC!L104</f>
        <v>0</v>
      </c>
      <c r="U96" s="43">
        <f>OC!M104</f>
        <v>0</v>
      </c>
      <c r="V96" s="43">
        <f>OC!N104</f>
        <v>0</v>
      </c>
    </row>
    <row r="97" spans="1:22" s="31" customFormat="1" x14ac:dyDescent="0.3">
      <c r="A97" s="38">
        <f>OC!A105</f>
        <v>0</v>
      </c>
      <c r="B97" s="38">
        <f>OC!B105</f>
        <v>0</v>
      </c>
      <c r="C97" s="38">
        <f>OC!C105</f>
        <v>0</v>
      </c>
      <c r="D97" s="38">
        <f>OC!P105</f>
        <v>0</v>
      </c>
      <c r="E97" s="39">
        <f>OC!D105</f>
        <v>0</v>
      </c>
      <c r="F97" s="40">
        <f>OC!E105</f>
        <v>0</v>
      </c>
      <c r="G97" s="41">
        <f t="shared" si="6"/>
        <v>0</v>
      </c>
      <c r="H97" s="39">
        <f>IF(_xlfn.XLOOKUP(A97,[1]MACHOTE!A:A,[1]MACHOTE!V:V,0,0)="S",1.16,IF(_xlfn.XLOOKUP(A97,[1]MACHOTE!A:A,[1]MACHOTE!Y:Y,0,0)="S",1.08,1))</f>
        <v>1</v>
      </c>
      <c r="I97" s="39">
        <f t="shared" si="7"/>
        <v>0</v>
      </c>
      <c r="J97" s="42">
        <f t="shared" si="8"/>
        <v>0</v>
      </c>
      <c r="K97" s="39">
        <f>OC!$B$6</f>
        <v>0</v>
      </c>
      <c r="L97" s="39">
        <f>OC!$B$7</f>
        <v>0</v>
      </c>
      <c r="M97" s="39">
        <f>OC!$B$2</f>
        <v>0</v>
      </c>
      <c r="N97" s="44">
        <f>OC!$B$3</f>
        <v>0</v>
      </c>
      <c r="O97" s="39">
        <f>OC!$B$5</f>
        <v>0</v>
      </c>
      <c r="P97" s="39">
        <f>OC!$B$8</f>
        <v>0</v>
      </c>
      <c r="Q97" s="39">
        <f>OC!$B$4</f>
        <v>0</v>
      </c>
      <c r="R97" s="43">
        <f>OC!J105</f>
        <v>0</v>
      </c>
      <c r="S97" s="43">
        <v>0</v>
      </c>
      <c r="T97" s="43">
        <f>OC!L105</f>
        <v>0</v>
      </c>
      <c r="U97" s="43">
        <f>OC!M105</f>
        <v>0</v>
      </c>
      <c r="V97" s="43">
        <f>OC!N105</f>
        <v>0</v>
      </c>
    </row>
    <row r="98" spans="1:22" s="31" customFormat="1" x14ac:dyDescent="0.3">
      <c r="A98" s="38">
        <f>OC!A106</f>
        <v>0</v>
      </c>
      <c r="B98" s="38">
        <f>OC!B106</f>
        <v>0</v>
      </c>
      <c r="C98" s="38">
        <f>OC!C106</f>
        <v>0</v>
      </c>
      <c r="D98" s="38">
        <f>OC!P106</f>
        <v>0</v>
      </c>
      <c r="E98" s="39">
        <f>OC!D106</f>
        <v>0</v>
      </c>
      <c r="F98" s="40">
        <f>OC!E106</f>
        <v>0</v>
      </c>
      <c r="G98" s="41">
        <f t="shared" si="6"/>
        <v>0</v>
      </c>
      <c r="H98" s="39">
        <f>IF(_xlfn.XLOOKUP(A98,[1]MACHOTE!A:A,[1]MACHOTE!V:V,0,0)="S",1.16,IF(_xlfn.XLOOKUP(A98,[1]MACHOTE!A:A,[1]MACHOTE!Y:Y,0,0)="S",1.08,1))</f>
        <v>1</v>
      </c>
      <c r="I98" s="39">
        <f t="shared" si="7"/>
        <v>0</v>
      </c>
      <c r="J98" s="42">
        <f t="shared" si="8"/>
        <v>0</v>
      </c>
      <c r="K98" s="39">
        <f>OC!$B$6</f>
        <v>0</v>
      </c>
      <c r="L98" s="39">
        <f>OC!$B$7</f>
        <v>0</v>
      </c>
      <c r="M98" s="39">
        <f>OC!$B$2</f>
        <v>0</v>
      </c>
      <c r="N98" s="44">
        <f>OC!$B$3</f>
        <v>0</v>
      </c>
      <c r="O98" s="39">
        <f>OC!$B$5</f>
        <v>0</v>
      </c>
      <c r="P98" s="39">
        <f>OC!$B$8</f>
        <v>0</v>
      </c>
      <c r="Q98" s="39">
        <f>OC!$B$4</f>
        <v>0</v>
      </c>
      <c r="R98" s="43">
        <f>OC!J106</f>
        <v>0</v>
      </c>
      <c r="S98" s="43">
        <v>0</v>
      </c>
      <c r="T98" s="43">
        <f>OC!L106</f>
        <v>0</v>
      </c>
      <c r="U98" s="43">
        <f>OC!M106</f>
        <v>0</v>
      </c>
      <c r="V98" s="43">
        <f>OC!N106</f>
        <v>0</v>
      </c>
    </row>
    <row r="99" spans="1:22" s="31" customFormat="1" x14ac:dyDescent="0.3">
      <c r="A99" s="38">
        <f>OC!A107</f>
        <v>0</v>
      </c>
      <c r="B99" s="38">
        <f>OC!B107</f>
        <v>0</v>
      </c>
      <c r="C99" s="38">
        <f>OC!C107</f>
        <v>0</v>
      </c>
      <c r="D99" s="38">
        <f>OC!P107</f>
        <v>0</v>
      </c>
      <c r="E99" s="39">
        <f>OC!D107</f>
        <v>0</v>
      </c>
      <c r="F99" s="40">
        <f>OC!E107</f>
        <v>0</v>
      </c>
      <c r="G99" s="41">
        <f t="shared" si="6"/>
        <v>0</v>
      </c>
      <c r="H99" s="39">
        <f>IF(_xlfn.XLOOKUP(A99,[1]MACHOTE!A:A,[1]MACHOTE!V:V,0,0)="S",1.16,IF(_xlfn.XLOOKUP(A99,[1]MACHOTE!A:A,[1]MACHOTE!Y:Y,0,0)="S",1.08,1))</f>
        <v>1</v>
      </c>
      <c r="I99" s="39">
        <f t="shared" si="7"/>
        <v>0</v>
      </c>
      <c r="J99" s="42">
        <f t="shared" si="8"/>
        <v>0</v>
      </c>
      <c r="K99" s="39">
        <f>OC!$B$6</f>
        <v>0</v>
      </c>
      <c r="L99" s="39">
        <f>OC!$B$7</f>
        <v>0</v>
      </c>
      <c r="M99" s="39">
        <f>OC!$B$2</f>
        <v>0</v>
      </c>
      <c r="N99" s="44">
        <f>OC!$B$3</f>
        <v>0</v>
      </c>
      <c r="O99" s="39">
        <f>OC!$B$5</f>
        <v>0</v>
      </c>
      <c r="P99" s="39">
        <f>OC!$B$8</f>
        <v>0</v>
      </c>
      <c r="Q99" s="39">
        <f>OC!$B$4</f>
        <v>0</v>
      </c>
      <c r="R99" s="43">
        <f>OC!J107</f>
        <v>0</v>
      </c>
      <c r="S99" s="43">
        <v>0</v>
      </c>
      <c r="T99" s="43">
        <f>OC!L107</f>
        <v>0</v>
      </c>
      <c r="U99" s="43">
        <f>OC!M107</f>
        <v>0</v>
      </c>
      <c r="V99" s="43">
        <f>OC!N107</f>
        <v>0</v>
      </c>
    </row>
    <row r="100" spans="1:22" s="31" customFormat="1" x14ac:dyDescent="0.3">
      <c r="A100" s="38">
        <f>OC!A108</f>
        <v>0</v>
      </c>
      <c r="B100" s="38">
        <f>OC!B108</f>
        <v>0</v>
      </c>
      <c r="C100" s="38">
        <f>OC!C108</f>
        <v>0</v>
      </c>
      <c r="D100" s="38">
        <f>OC!P108</f>
        <v>0</v>
      </c>
      <c r="E100" s="39">
        <f>OC!D108</f>
        <v>0</v>
      </c>
      <c r="F100" s="40">
        <f>OC!E108</f>
        <v>0</v>
      </c>
      <c r="G100" s="41">
        <f t="shared" si="6"/>
        <v>0</v>
      </c>
      <c r="H100" s="39">
        <f>IF(_xlfn.XLOOKUP(A100,[1]MACHOTE!A:A,[1]MACHOTE!V:V,0,0)="S",1.16,IF(_xlfn.XLOOKUP(A100,[1]MACHOTE!A:A,[1]MACHOTE!Y:Y,0,0)="S",1.08,1))</f>
        <v>1</v>
      </c>
      <c r="I100" s="39">
        <f t="shared" si="7"/>
        <v>0</v>
      </c>
      <c r="J100" s="42">
        <f t="shared" si="8"/>
        <v>0</v>
      </c>
      <c r="K100" s="39">
        <f>OC!$B$6</f>
        <v>0</v>
      </c>
      <c r="L100" s="39">
        <f>OC!$B$7</f>
        <v>0</v>
      </c>
      <c r="M100" s="39">
        <f>OC!$B$2</f>
        <v>0</v>
      </c>
      <c r="N100" s="44">
        <f>OC!$B$3</f>
        <v>0</v>
      </c>
      <c r="O100" s="39">
        <f>OC!$B$5</f>
        <v>0</v>
      </c>
      <c r="P100" s="39">
        <f>OC!$B$8</f>
        <v>0</v>
      </c>
      <c r="Q100" s="39">
        <f>OC!$B$4</f>
        <v>0</v>
      </c>
      <c r="R100" s="43">
        <f>OC!J108</f>
        <v>0</v>
      </c>
      <c r="S100" s="43">
        <v>0</v>
      </c>
      <c r="T100" s="43">
        <f>OC!L108</f>
        <v>0</v>
      </c>
      <c r="U100" s="43">
        <f>OC!M108</f>
        <v>0</v>
      </c>
      <c r="V100" s="43">
        <f>OC!N108</f>
        <v>0</v>
      </c>
    </row>
    <row r="101" spans="1:22" s="31" customFormat="1" x14ac:dyDescent="0.3">
      <c r="A101" s="38">
        <f>OC!A109</f>
        <v>0</v>
      </c>
      <c r="B101" s="38">
        <f>OC!B109</f>
        <v>0</v>
      </c>
      <c r="C101" s="38">
        <f>OC!C109</f>
        <v>0</v>
      </c>
      <c r="D101" s="38">
        <f>OC!P109</f>
        <v>0</v>
      </c>
      <c r="E101" s="39">
        <f>OC!D109</f>
        <v>0</v>
      </c>
      <c r="F101" s="40">
        <f>OC!E109</f>
        <v>0</v>
      </c>
      <c r="G101" s="41">
        <f t="shared" si="6"/>
        <v>0</v>
      </c>
      <c r="H101" s="39">
        <f>IF(_xlfn.XLOOKUP(A101,[1]MACHOTE!A:A,[1]MACHOTE!V:V,0,0)="S",1.16,IF(_xlfn.XLOOKUP(A101,[1]MACHOTE!A:A,[1]MACHOTE!Y:Y,0,0)="S",1.08,1))</f>
        <v>1</v>
      </c>
      <c r="I101" s="39">
        <f t="shared" si="7"/>
        <v>0</v>
      </c>
      <c r="J101" s="42">
        <f t="shared" si="8"/>
        <v>0</v>
      </c>
      <c r="K101" s="39">
        <f>OC!$B$6</f>
        <v>0</v>
      </c>
      <c r="L101" s="39">
        <f>OC!$B$7</f>
        <v>0</v>
      </c>
      <c r="M101" s="39">
        <f>OC!$B$2</f>
        <v>0</v>
      </c>
      <c r="N101" s="44">
        <f>OC!$B$3</f>
        <v>0</v>
      </c>
      <c r="O101" s="39">
        <f>OC!$B$5</f>
        <v>0</v>
      </c>
      <c r="P101" s="39">
        <f>OC!$B$8</f>
        <v>0</v>
      </c>
      <c r="Q101" s="39">
        <f>OC!$B$4</f>
        <v>0</v>
      </c>
      <c r="R101" s="43">
        <f>OC!J109</f>
        <v>0</v>
      </c>
      <c r="S101" s="43">
        <v>0</v>
      </c>
      <c r="T101" s="43">
        <f>OC!L109</f>
        <v>0</v>
      </c>
      <c r="U101" s="43">
        <f>OC!M109</f>
        <v>0</v>
      </c>
      <c r="V101" s="43">
        <f>OC!N109</f>
        <v>0</v>
      </c>
    </row>
    <row r="102" spans="1:22" s="31" customFormat="1" x14ac:dyDescent="0.3">
      <c r="A102" s="38">
        <f>OC!A110</f>
        <v>0</v>
      </c>
      <c r="B102" s="38">
        <f>OC!B110</f>
        <v>0</v>
      </c>
      <c r="C102" s="38">
        <f>OC!C110</f>
        <v>0</v>
      </c>
      <c r="D102" s="38">
        <f>OC!P110</f>
        <v>0</v>
      </c>
      <c r="E102" s="39">
        <f>OC!D110</f>
        <v>0</v>
      </c>
      <c r="F102" s="40">
        <f>OC!E110</f>
        <v>0</v>
      </c>
      <c r="G102" s="41">
        <f t="shared" si="6"/>
        <v>0</v>
      </c>
      <c r="H102" s="39">
        <f>IF(_xlfn.XLOOKUP(A102,[1]MACHOTE!A:A,[1]MACHOTE!V:V,0,0)="S",1.16,IF(_xlfn.XLOOKUP(A102,[1]MACHOTE!A:A,[1]MACHOTE!Y:Y,0,0)="S",1.08,1))</f>
        <v>1</v>
      </c>
      <c r="I102" s="39">
        <f t="shared" si="7"/>
        <v>0</v>
      </c>
      <c r="J102" s="42">
        <f t="shared" si="8"/>
        <v>0</v>
      </c>
      <c r="K102" s="39">
        <f>OC!$B$6</f>
        <v>0</v>
      </c>
      <c r="L102" s="39">
        <f>OC!$B$7</f>
        <v>0</v>
      </c>
      <c r="M102" s="39">
        <f>OC!$B$2</f>
        <v>0</v>
      </c>
      <c r="N102" s="44">
        <f>OC!$B$3</f>
        <v>0</v>
      </c>
      <c r="O102" s="39">
        <f>OC!$B$5</f>
        <v>0</v>
      </c>
      <c r="P102" s="39">
        <f>OC!$B$8</f>
        <v>0</v>
      </c>
      <c r="Q102" s="39">
        <f>OC!$B$4</f>
        <v>0</v>
      </c>
      <c r="R102" s="43">
        <f>OC!J110</f>
        <v>0</v>
      </c>
      <c r="S102" s="43">
        <v>0</v>
      </c>
      <c r="T102" s="43">
        <f>OC!L110</f>
        <v>0</v>
      </c>
      <c r="U102" s="43">
        <f>OC!M110</f>
        <v>0</v>
      </c>
      <c r="V102" s="43">
        <f>OC!N110</f>
        <v>0</v>
      </c>
    </row>
    <row r="103" spans="1:22" s="31" customFormat="1" x14ac:dyDescent="0.3">
      <c r="A103" s="38">
        <f>OC!A111</f>
        <v>0</v>
      </c>
      <c r="B103" s="38">
        <f>OC!B111</f>
        <v>0</v>
      </c>
      <c r="C103" s="38">
        <f>OC!C111</f>
        <v>0</v>
      </c>
      <c r="D103" s="38">
        <f>OC!P111</f>
        <v>0</v>
      </c>
      <c r="E103" s="39">
        <f>OC!D111</f>
        <v>0</v>
      </c>
      <c r="F103" s="40">
        <f>OC!E111</f>
        <v>0</v>
      </c>
      <c r="G103" s="41">
        <f t="shared" si="6"/>
        <v>0</v>
      </c>
      <c r="H103" s="39">
        <f>IF(_xlfn.XLOOKUP(A103,[1]MACHOTE!A:A,[1]MACHOTE!V:V,0,0)="S",1.16,IF(_xlfn.XLOOKUP(A103,[1]MACHOTE!A:A,[1]MACHOTE!Y:Y,0,0)="S",1.08,1))</f>
        <v>1</v>
      </c>
      <c r="I103" s="39">
        <f t="shared" si="7"/>
        <v>0</v>
      </c>
      <c r="J103" s="42">
        <f t="shared" si="8"/>
        <v>0</v>
      </c>
      <c r="K103" s="39">
        <f>OC!$B$6</f>
        <v>0</v>
      </c>
      <c r="L103" s="39">
        <f>OC!$B$7</f>
        <v>0</v>
      </c>
      <c r="M103" s="39">
        <f>OC!$B$2</f>
        <v>0</v>
      </c>
      <c r="N103" s="44">
        <f>OC!$B$3</f>
        <v>0</v>
      </c>
      <c r="O103" s="39">
        <f>OC!$B$5</f>
        <v>0</v>
      </c>
      <c r="P103" s="39">
        <f>OC!$B$8</f>
        <v>0</v>
      </c>
      <c r="Q103" s="39">
        <f>OC!$B$4</f>
        <v>0</v>
      </c>
      <c r="R103" s="43">
        <f>OC!J111</f>
        <v>0</v>
      </c>
      <c r="S103" s="43">
        <v>0</v>
      </c>
      <c r="T103" s="43">
        <f>OC!L111</f>
        <v>0</v>
      </c>
      <c r="U103" s="43">
        <f>OC!M111</f>
        <v>0</v>
      </c>
      <c r="V103" s="43">
        <f>OC!N111</f>
        <v>0</v>
      </c>
    </row>
    <row r="104" spans="1:22" s="31" customFormat="1" x14ac:dyDescent="0.3">
      <c r="A104" s="38">
        <f>OC!A112</f>
        <v>0</v>
      </c>
      <c r="B104" s="38">
        <f>OC!B112</f>
        <v>0</v>
      </c>
      <c r="C104" s="38">
        <f>OC!C112</f>
        <v>0</v>
      </c>
      <c r="D104" s="38">
        <f>OC!P112</f>
        <v>0</v>
      </c>
      <c r="E104" s="39">
        <f>OC!D112</f>
        <v>0</v>
      </c>
      <c r="F104" s="40">
        <f>OC!E112</f>
        <v>0</v>
      </c>
      <c r="G104" s="41">
        <f t="shared" si="6"/>
        <v>0</v>
      </c>
      <c r="H104" s="39">
        <f>IF(_xlfn.XLOOKUP(A104,[1]MACHOTE!A:A,[1]MACHOTE!V:V,0,0)="S",1.16,IF(_xlfn.XLOOKUP(A104,[1]MACHOTE!A:A,[1]MACHOTE!Y:Y,0,0)="S",1.08,1))</f>
        <v>1</v>
      </c>
      <c r="I104" s="39">
        <f t="shared" si="7"/>
        <v>0</v>
      </c>
      <c r="J104" s="42">
        <f t="shared" si="8"/>
        <v>0</v>
      </c>
      <c r="K104" s="39">
        <f>OC!$B$6</f>
        <v>0</v>
      </c>
      <c r="L104" s="39">
        <f>OC!$B$7</f>
        <v>0</v>
      </c>
      <c r="M104" s="39">
        <f>OC!$B$2</f>
        <v>0</v>
      </c>
      <c r="N104" s="44">
        <f>OC!$B$3</f>
        <v>0</v>
      </c>
      <c r="O104" s="39">
        <f>OC!$B$5</f>
        <v>0</v>
      </c>
      <c r="P104" s="39">
        <f>OC!$B$8</f>
        <v>0</v>
      </c>
      <c r="Q104" s="39">
        <f>OC!$B$4</f>
        <v>0</v>
      </c>
      <c r="R104" s="43">
        <f>OC!J112</f>
        <v>0</v>
      </c>
      <c r="S104" s="43">
        <v>0</v>
      </c>
      <c r="T104" s="43">
        <f>OC!L112</f>
        <v>0</v>
      </c>
      <c r="U104" s="43">
        <f>OC!M112</f>
        <v>0</v>
      </c>
      <c r="V104" s="43">
        <f>OC!N112</f>
        <v>0</v>
      </c>
    </row>
    <row r="105" spans="1:22" s="31" customFormat="1" x14ac:dyDescent="0.3">
      <c r="A105" s="38">
        <f>OC!A113</f>
        <v>0</v>
      </c>
      <c r="B105" s="38">
        <f>OC!B113</f>
        <v>0</v>
      </c>
      <c r="C105" s="38">
        <f>OC!C113</f>
        <v>0</v>
      </c>
      <c r="D105" s="38">
        <f>OC!P113</f>
        <v>0</v>
      </c>
      <c r="E105" s="39">
        <f>OC!D113</f>
        <v>0</v>
      </c>
      <c r="F105" s="40">
        <f>OC!E113</f>
        <v>0</v>
      </c>
      <c r="G105" s="41">
        <f t="shared" si="6"/>
        <v>0</v>
      </c>
      <c r="H105" s="39">
        <f>IF(_xlfn.XLOOKUP(A105,[1]MACHOTE!A:A,[1]MACHOTE!V:V,0,0)="S",1.16,IF(_xlfn.XLOOKUP(A105,[1]MACHOTE!A:A,[1]MACHOTE!Y:Y,0,0)="S",1.08,1))</f>
        <v>1</v>
      </c>
      <c r="I105" s="39">
        <f t="shared" si="7"/>
        <v>0</v>
      </c>
      <c r="J105" s="42">
        <f t="shared" si="8"/>
        <v>0</v>
      </c>
      <c r="K105" s="39">
        <f>OC!$B$6</f>
        <v>0</v>
      </c>
      <c r="L105" s="39">
        <f>OC!$B$7</f>
        <v>0</v>
      </c>
      <c r="M105" s="39">
        <f>OC!$B$2</f>
        <v>0</v>
      </c>
      <c r="N105" s="44">
        <f>OC!$B$3</f>
        <v>0</v>
      </c>
      <c r="O105" s="39">
        <f>OC!$B$5</f>
        <v>0</v>
      </c>
      <c r="P105" s="39">
        <f>OC!$B$8</f>
        <v>0</v>
      </c>
      <c r="Q105" s="39">
        <f>OC!$B$4</f>
        <v>0</v>
      </c>
      <c r="R105" s="43">
        <f>OC!J113</f>
        <v>0</v>
      </c>
      <c r="S105" s="43">
        <v>0</v>
      </c>
      <c r="T105" s="43">
        <f>OC!L113</f>
        <v>0</v>
      </c>
      <c r="U105" s="43">
        <f>OC!M113</f>
        <v>0</v>
      </c>
      <c r="V105" s="43">
        <f>OC!N113</f>
        <v>0</v>
      </c>
    </row>
    <row r="106" spans="1:22" s="31" customFormat="1" x14ac:dyDescent="0.3">
      <c r="A106" s="38">
        <f>OC!A114</f>
        <v>0</v>
      </c>
      <c r="B106" s="38">
        <f>OC!B114</f>
        <v>0</v>
      </c>
      <c r="C106" s="38">
        <f>OC!C114</f>
        <v>0</v>
      </c>
      <c r="D106" s="38">
        <f>OC!P114</f>
        <v>0</v>
      </c>
      <c r="E106" s="39">
        <f>OC!D114</f>
        <v>0</v>
      </c>
      <c r="F106" s="40">
        <f>OC!E114</f>
        <v>0</v>
      </c>
      <c r="G106" s="41">
        <f t="shared" si="6"/>
        <v>0</v>
      </c>
      <c r="H106" s="39">
        <f>IF(_xlfn.XLOOKUP(A106,[1]MACHOTE!A:A,[1]MACHOTE!V:V,0,0)="S",1.16,IF(_xlfn.XLOOKUP(A106,[1]MACHOTE!A:A,[1]MACHOTE!Y:Y,0,0)="S",1.08,1))</f>
        <v>1</v>
      </c>
      <c r="I106" s="39">
        <f t="shared" si="7"/>
        <v>0</v>
      </c>
      <c r="J106" s="42">
        <f t="shared" si="8"/>
        <v>0</v>
      </c>
      <c r="K106" s="39">
        <f>OC!$B$6</f>
        <v>0</v>
      </c>
      <c r="L106" s="39">
        <f>OC!$B$7</f>
        <v>0</v>
      </c>
      <c r="M106" s="39">
        <f>OC!$B$2</f>
        <v>0</v>
      </c>
      <c r="N106" s="44">
        <f>OC!$B$3</f>
        <v>0</v>
      </c>
      <c r="O106" s="39">
        <f>OC!$B$5</f>
        <v>0</v>
      </c>
      <c r="P106" s="39">
        <f>OC!$B$8</f>
        <v>0</v>
      </c>
      <c r="Q106" s="39">
        <f>OC!$B$4</f>
        <v>0</v>
      </c>
      <c r="R106" s="43">
        <f>OC!J114</f>
        <v>0</v>
      </c>
      <c r="S106" s="43">
        <v>0</v>
      </c>
      <c r="T106" s="43">
        <f>OC!L114</f>
        <v>0</v>
      </c>
      <c r="U106" s="43">
        <f>OC!M114</f>
        <v>0</v>
      </c>
      <c r="V106" s="43">
        <f>OC!N114</f>
        <v>0</v>
      </c>
    </row>
    <row r="107" spans="1:22" s="31" customFormat="1" x14ac:dyDescent="0.3">
      <c r="A107" s="38">
        <f>OC!A115</f>
        <v>0</v>
      </c>
      <c r="B107" s="38">
        <f>OC!B115</f>
        <v>0</v>
      </c>
      <c r="C107" s="38">
        <f>OC!C115</f>
        <v>0</v>
      </c>
      <c r="D107" s="38">
        <f>OC!P115</f>
        <v>0</v>
      </c>
      <c r="E107" s="39">
        <f>OC!D115</f>
        <v>0</v>
      </c>
      <c r="F107" s="40">
        <f>OC!E115</f>
        <v>0</v>
      </c>
      <c r="G107" s="41">
        <f t="shared" si="6"/>
        <v>0</v>
      </c>
      <c r="H107" s="39">
        <f>IF(_xlfn.XLOOKUP(A107,[1]MACHOTE!A:A,[1]MACHOTE!V:V,0,0)="S",1.16,IF(_xlfn.XLOOKUP(A107,[1]MACHOTE!A:A,[1]MACHOTE!Y:Y,0,0)="S",1.08,1))</f>
        <v>1</v>
      </c>
      <c r="I107" s="39">
        <f t="shared" si="7"/>
        <v>0</v>
      </c>
      <c r="J107" s="42">
        <f t="shared" si="8"/>
        <v>0</v>
      </c>
      <c r="K107" s="39">
        <f>OC!$B$6</f>
        <v>0</v>
      </c>
      <c r="L107" s="39">
        <f>OC!$B$7</f>
        <v>0</v>
      </c>
      <c r="M107" s="39">
        <f>OC!$B$2</f>
        <v>0</v>
      </c>
      <c r="N107" s="44">
        <f>OC!$B$3</f>
        <v>0</v>
      </c>
      <c r="O107" s="39">
        <f>OC!$B$5</f>
        <v>0</v>
      </c>
      <c r="P107" s="39">
        <f>OC!$B$8</f>
        <v>0</v>
      </c>
      <c r="Q107" s="39">
        <f>OC!$B$4</f>
        <v>0</v>
      </c>
      <c r="R107" s="43">
        <f>OC!J115</f>
        <v>0</v>
      </c>
      <c r="S107" s="43">
        <v>0</v>
      </c>
      <c r="T107" s="43">
        <f>OC!L115</f>
        <v>0</v>
      </c>
      <c r="U107" s="43">
        <f>OC!M115</f>
        <v>0</v>
      </c>
      <c r="V107" s="43">
        <f>OC!N115</f>
        <v>0</v>
      </c>
    </row>
    <row r="108" spans="1:22" s="31" customFormat="1" x14ac:dyDescent="0.3">
      <c r="A108" s="38">
        <f>OC!A116</f>
        <v>0</v>
      </c>
      <c r="B108" s="38">
        <f>OC!B116</f>
        <v>0</v>
      </c>
      <c r="C108" s="38">
        <f>OC!C116</f>
        <v>0</v>
      </c>
      <c r="D108" s="38">
        <f>OC!P116</f>
        <v>0</v>
      </c>
      <c r="E108" s="39">
        <f>OC!D116</f>
        <v>0</v>
      </c>
      <c r="F108" s="40">
        <f>OC!E116</f>
        <v>0</v>
      </c>
      <c r="G108" s="41">
        <f t="shared" si="6"/>
        <v>0</v>
      </c>
      <c r="H108" s="39">
        <f>IF(_xlfn.XLOOKUP(A108,[1]MACHOTE!A:A,[1]MACHOTE!V:V,0,0)="S",1.16,IF(_xlfn.XLOOKUP(A108,[1]MACHOTE!A:A,[1]MACHOTE!Y:Y,0,0)="S",1.08,1))</f>
        <v>1</v>
      </c>
      <c r="I108" s="39">
        <f t="shared" si="7"/>
        <v>0</v>
      </c>
      <c r="J108" s="42">
        <f t="shared" si="8"/>
        <v>0</v>
      </c>
      <c r="K108" s="39">
        <f>OC!$B$6</f>
        <v>0</v>
      </c>
      <c r="L108" s="39">
        <f>OC!$B$7</f>
        <v>0</v>
      </c>
      <c r="M108" s="39">
        <f>OC!$B$2</f>
        <v>0</v>
      </c>
      <c r="N108" s="44">
        <f>OC!$B$3</f>
        <v>0</v>
      </c>
      <c r="O108" s="39">
        <f>OC!$B$5</f>
        <v>0</v>
      </c>
      <c r="P108" s="39">
        <f>OC!$B$8</f>
        <v>0</v>
      </c>
      <c r="Q108" s="39">
        <f>OC!$B$4</f>
        <v>0</v>
      </c>
      <c r="R108" s="43">
        <f>OC!J116</f>
        <v>0</v>
      </c>
      <c r="S108" s="43">
        <v>0</v>
      </c>
      <c r="T108" s="43">
        <f>OC!L116</f>
        <v>0</v>
      </c>
      <c r="U108" s="43">
        <f>OC!M116</f>
        <v>0</v>
      </c>
      <c r="V108" s="43">
        <f>OC!N116</f>
        <v>0</v>
      </c>
    </row>
    <row r="109" spans="1:22" s="31" customFormat="1" x14ac:dyDescent="0.3">
      <c r="A109" s="38">
        <f>OC!A117</f>
        <v>0</v>
      </c>
      <c r="B109" s="38">
        <f>OC!B117</f>
        <v>0</v>
      </c>
      <c r="C109" s="38">
        <f>OC!C117</f>
        <v>0</v>
      </c>
      <c r="D109" s="38">
        <f>OC!P117</f>
        <v>0</v>
      </c>
      <c r="E109" s="39">
        <f>OC!D117</f>
        <v>0</v>
      </c>
      <c r="F109" s="40">
        <f>OC!E117</f>
        <v>0</v>
      </c>
      <c r="G109" s="41">
        <f t="shared" si="6"/>
        <v>0</v>
      </c>
      <c r="H109" s="39">
        <f>IF(_xlfn.XLOOKUP(A109,[1]MACHOTE!A:A,[1]MACHOTE!V:V,0,0)="S",1.16,IF(_xlfn.XLOOKUP(A109,[1]MACHOTE!A:A,[1]MACHOTE!Y:Y,0,0)="S",1.08,1))</f>
        <v>1</v>
      </c>
      <c r="I109" s="39">
        <f t="shared" si="7"/>
        <v>0</v>
      </c>
      <c r="J109" s="42">
        <f t="shared" si="8"/>
        <v>0</v>
      </c>
      <c r="K109" s="39">
        <f>OC!$B$6</f>
        <v>0</v>
      </c>
      <c r="L109" s="39">
        <f>OC!$B$7</f>
        <v>0</v>
      </c>
      <c r="M109" s="39">
        <f>OC!$B$2</f>
        <v>0</v>
      </c>
      <c r="N109" s="44">
        <f>OC!$B$3</f>
        <v>0</v>
      </c>
      <c r="O109" s="39">
        <f>OC!$B$5</f>
        <v>0</v>
      </c>
      <c r="P109" s="39">
        <f>OC!$B$8</f>
        <v>0</v>
      </c>
      <c r="Q109" s="39">
        <f>OC!$B$4</f>
        <v>0</v>
      </c>
      <c r="R109" s="43">
        <f>OC!J117</f>
        <v>0</v>
      </c>
      <c r="S109" s="43">
        <v>0</v>
      </c>
      <c r="T109" s="43">
        <f>OC!L117</f>
        <v>0</v>
      </c>
      <c r="U109" s="43">
        <f>OC!M117</f>
        <v>0</v>
      </c>
      <c r="V109" s="43">
        <f>OC!N117</f>
        <v>0</v>
      </c>
    </row>
    <row r="110" spans="1:22" s="31" customFormat="1" x14ac:dyDescent="0.3">
      <c r="A110" s="38">
        <f>OC!A118</f>
        <v>0</v>
      </c>
      <c r="B110" s="38">
        <f>OC!B118</f>
        <v>0</v>
      </c>
      <c r="C110" s="38">
        <f>OC!C118</f>
        <v>0</v>
      </c>
      <c r="D110" s="38">
        <f>OC!P118</f>
        <v>0</v>
      </c>
      <c r="E110" s="39">
        <f>OC!D118</f>
        <v>0</v>
      </c>
      <c r="F110" s="40">
        <f>OC!E118</f>
        <v>0</v>
      </c>
      <c r="G110" s="41">
        <f t="shared" si="6"/>
        <v>0</v>
      </c>
      <c r="H110" s="39">
        <f>IF(_xlfn.XLOOKUP(A110,[1]MACHOTE!A:A,[1]MACHOTE!V:V,0,0)="S",1.16,IF(_xlfn.XLOOKUP(A110,[1]MACHOTE!A:A,[1]MACHOTE!Y:Y,0,0)="S",1.08,1))</f>
        <v>1</v>
      </c>
      <c r="I110" s="39">
        <f t="shared" si="7"/>
        <v>0</v>
      </c>
      <c r="J110" s="42">
        <f t="shared" si="8"/>
        <v>0</v>
      </c>
      <c r="K110" s="39">
        <f>OC!$B$6</f>
        <v>0</v>
      </c>
      <c r="L110" s="39">
        <f>OC!$B$7</f>
        <v>0</v>
      </c>
      <c r="M110" s="39">
        <f>OC!$B$2</f>
        <v>0</v>
      </c>
      <c r="N110" s="44">
        <f>OC!$B$3</f>
        <v>0</v>
      </c>
      <c r="O110" s="39">
        <f>OC!$B$5</f>
        <v>0</v>
      </c>
      <c r="P110" s="39">
        <f>OC!$B$8</f>
        <v>0</v>
      </c>
      <c r="Q110" s="39">
        <f>OC!$B$4</f>
        <v>0</v>
      </c>
      <c r="R110" s="43">
        <f>OC!J118</f>
        <v>0</v>
      </c>
      <c r="S110" s="43">
        <v>0</v>
      </c>
      <c r="T110" s="43">
        <f>OC!L118</f>
        <v>0</v>
      </c>
      <c r="U110" s="43">
        <f>OC!M118</f>
        <v>0</v>
      </c>
      <c r="V110" s="43">
        <f>OC!N118</f>
        <v>0</v>
      </c>
    </row>
    <row r="111" spans="1:22" s="31" customFormat="1" x14ac:dyDescent="0.3">
      <c r="A111" s="38">
        <f>OC!A119</f>
        <v>0</v>
      </c>
      <c r="B111" s="38">
        <f>OC!B119</f>
        <v>0</v>
      </c>
      <c r="C111" s="38">
        <f>OC!C119</f>
        <v>0</v>
      </c>
      <c r="D111" s="38">
        <f>OC!P119</f>
        <v>0</v>
      </c>
      <c r="E111" s="39">
        <f>OC!D119</f>
        <v>0</v>
      </c>
      <c r="F111" s="40">
        <f>OC!E119</f>
        <v>0</v>
      </c>
      <c r="G111" s="41">
        <f t="shared" si="6"/>
        <v>0</v>
      </c>
      <c r="H111" s="39">
        <f>IF(_xlfn.XLOOKUP(A111,[1]MACHOTE!A:A,[1]MACHOTE!V:V,0,0)="S",1.16,IF(_xlfn.XLOOKUP(A111,[1]MACHOTE!A:A,[1]MACHOTE!Y:Y,0,0)="S",1.08,1))</f>
        <v>1</v>
      </c>
      <c r="I111" s="39">
        <f t="shared" si="7"/>
        <v>0</v>
      </c>
      <c r="J111" s="42">
        <f t="shared" si="8"/>
        <v>0</v>
      </c>
      <c r="K111" s="39">
        <f>OC!$B$6</f>
        <v>0</v>
      </c>
      <c r="L111" s="39">
        <f>OC!$B$7</f>
        <v>0</v>
      </c>
      <c r="M111" s="39">
        <f>OC!$B$2</f>
        <v>0</v>
      </c>
      <c r="N111" s="44">
        <f>OC!$B$3</f>
        <v>0</v>
      </c>
      <c r="O111" s="39">
        <f>OC!$B$5</f>
        <v>0</v>
      </c>
      <c r="P111" s="39">
        <f>OC!$B$8</f>
        <v>0</v>
      </c>
      <c r="Q111" s="39">
        <f>OC!$B$4</f>
        <v>0</v>
      </c>
      <c r="R111" s="43">
        <f>OC!J119</f>
        <v>0</v>
      </c>
      <c r="S111" s="43">
        <v>0</v>
      </c>
      <c r="T111" s="43">
        <f>OC!L119</f>
        <v>0</v>
      </c>
      <c r="U111" s="43">
        <f>OC!M119</f>
        <v>0</v>
      </c>
      <c r="V111" s="43">
        <f>OC!N119</f>
        <v>0</v>
      </c>
    </row>
    <row r="112" spans="1:22" s="31" customFormat="1" x14ac:dyDescent="0.3">
      <c r="A112" s="38">
        <f>OC!A120</f>
        <v>0</v>
      </c>
      <c r="B112" s="38">
        <f>OC!B120</f>
        <v>0</v>
      </c>
      <c r="C112" s="38">
        <f>OC!C120</f>
        <v>0</v>
      </c>
      <c r="D112" s="38">
        <f>OC!P120</f>
        <v>0</v>
      </c>
      <c r="E112" s="39">
        <f>OC!D120</f>
        <v>0</v>
      </c>
      <c r="F112" s="40">
        <f>OC!E120</f>
        <v>0</v>
      </c>
      <c r="G112" s="41">
        <f t="shared" si="6"/>
        <v>0</v>
      </c>
      <c r="H112" s="39">
        <f>IF(_xlfn.XLOOKUP(A112,[1]MACHOTE!A:A,[1]MACHOTE!V:V,0,0)="S",1.16,IF(_xlfn.XLOOKUP(A112,[1]MACHOTE!A:A,[1]MACHOTE!Y:Y,0,0)="S",1.08,1))</f>
        <v>1</v>
      </c>
      <c r="I112" s="39">
        <f t="shared" si="7"/>
        <v>0</v>
      </c>
      <c r="J112" s="42">
        <f t="shared" si="8"/>
        <v>0</v>
      </c>
      <c r="K112" s="39">
        <f>OC!$B$6</f>
        <v>0</v>
      </c>
      <c r="L112" s="39">
        <f>OC!$B$7</f>
        <v>0</v>
      </c>
      <c r="M112" s="39">
        <f>OC!$B$2</f>
        <v>0</v>
      </c>
      <c r="N112" s="44">
        <f>OC!$B$3</f>
        <v>0</v>
      </c>
      <c r="O112" s="39">
        <f>OC!$B$5</f>
        <v>0</v>
      </c>
      <c r="P112" s="39">
        <f>OC!$B$8</f>
        <v>0</v>
      </c>
      <c r="Q112" s="39">
        <f>OC!$B$4</f>
        <v>0</v>
      </c>
      <c r="R112" s="43">
        <f>OC!J120</f>
        <v>0</v>
      </c>
      <c r="S112" s="43">
        <v>0</v>
      </c>
      <c r="T112" s="43">
        <f>OC!L120</f>
        <v>0</v>
      </c>
      <c r="U112" s="43">
        <f>OC!M120</f>
        <v>0</v>
      </c>
      <c r="V112" s="43">
        <f>OC!N120</f>
        <v>0</v>
      </c>
    </row>
    <row r="113" spans="1:22" s="31" customFormat="1" x14ac:dyDescent="0.3">
      <c r="A113" s="38">
        <f>OC!A121</f>
        <v>0</v>
      </c>
      <c r="B113" s="38">
        <f>OC!B121</f>
        <v>0</v>
      </c>
      <c r="C113" s="38">
        <f>OC!C121</f>
        <v>0</v>
      </c>
      <c r="D113" s="38">
        <f>OC!P121</f>
        <v>0</v>
      </c>
      <c r="E113" s="39">
        <f>OC!D121</f>
        <v>0</v>
      </c>
      <c r="F113" s="40">
        <f>OC!E121</f>
        <v>0</v>
      </c>
      <c r="G113" s="41">
        <f t="shared" si="6"/>
        <v>0</v>
      </c>
      <c r="H113" s="39">
        <f>IF(_xlfn.XLOOKUP(A113,[1]MACHOTE!A:A,[1]MACHOTE!V:V,0,0)="S",1.16,IF(_xlfn.XLOOKUP(A113,[1]MACHOTE!A:A,[1]MACHOTE!Y:Y,0,0)="S",1.08,1))</f>
        <v>1</v>
      </c>
      <c r="I113" s="39">
        <f t="shared" si="7"/>
        <v>0</v>
      </c>
      <c r="J113" s="42">
        <f t="shared" si="8"/>
        <v>0</v>
      </c>
      <c r="K113" s="39">
        <f>OC!$B$6</f>
        <v>0</v>
      </c>
      <c r="L113" s="39">
        <f>OC!$B$7</f>
        <v>0</v>
      </c>
      <c r="M113" s="39">
        <f>OC!$B$2</f>
        <v>0</v>
      </c>
      <c r="N113" s="44">
        <f>OC!$B$3</f>
        <v>0</v>
      </c>
      <c r="O113" s="39">
        <f>OC!$B$5</f>
        <v>0</v>
      </c>
      <c r="P113" s="39">
        <f>OC!$B$8</f>
        <v>0</v>
      </c>
      <c r="Q113" s="39">
        <f>OC!$B$4</f>
        <v>0</v>
      </c>
      <c r="R113" s="43">
        <f>OC!J121</f>
        <v>0</v>
      </c>
      <c r="S113" s="43">
        <v>0</v>
      </c>
      <c r="T113" s="43">
        <f>OC!L121</f>
        <v>0</v>
      </c>
      <c r="U113" s="43">
        <f>OC!M121</f>
        <v>0</v>
      </c>
      <c r="V113" s="43">
        <f>OC!N121</f>
        <v>0</v>
      </c>
    </row>
    <row r="114" spans="1:22" s="31" customFormat="1" x14ac:dyDescent="0.3">
      <c r="A114" s="38">
        <f>OC!A122</f>
        <v>0</v>
      </c>
      <c r="B114" s="38">
        <f>OC!B122</f>
        <v>0</v>
      </c>
      <c r="C114" s="38">
        <f>OC!C122</f>
        <v>0</v>
      </c>
      <c r="D114" s="38">
        <f>OC!P122</f>
        <v>0</v>
      </c>
      <c r="E114" s="39">
        <f>OC!D122</f>
        <v>0</v>
      </c>
      <c r="F114" s="40">
        <f>OC!E122</f>
        <v>0</v>
      </c>
      <c r="G114" s="41">
        <f t="shared" si="6"/>
        <v>0</v>
      </c>
      <c r="H114" s="39">
        <f>IF(_xlfn.XLOOKUP(A114,[1]MACHOTE!A:A,[1]MACHOTE!V:V,0,0)="S",1.16,IF(_xlfn.XLOOKUP(A114,[1]MACHOTE!A:A,[1]MACHOTE!Y:Y,0,0)="S",1.08,1))</f>
        <v>1</v>
      </c>
      <c r="I114" s="39">
        <f t="shared" si="7"/>
        <v>0</v>
      </c>
      <c r="J114" s="42">
        <f t="shared" si="8"/>
        <v>0</v>
      </c>
      <c r="K114" s="39">
        <f>OC!$B$6</f>
        <v>0</v>
      </c>
      <c r="L114" s="39">
        <f>OC!$B$7</f>
        <v>0</v>
      </c>
      <c r="M114" s="39">
        <f>OC!$B$2</f>
        <v>0</v>
      </c>
      <c r="N114" s="44">
        <f>OC!$B$3</f>
        <v>0</v>
      </c>
      <c r="O114" s="39">
        <f>OC!$B$5</f>
        <v>0</v>
      </c>
      <c r="P114" s="39">
        <f>OC!$B$8</f>
        <v>0</v>
      </c>
      <c r="Q114" s="39">
        <f>OC!$B$4</f>
        <v>0</v>
      </c>
      <c r="R114" s="43">
        <f>OC!J122</f>
        <v>0</v>
      </c>
      <c r="S114" s="43">
        <v>0</v>
      </c>
      <c r="T114" s="43">
        <f>OC!L122</f>
        <v>0</v>
      </c>
      <c r="U114" s="43">
        <f>OC!M122</f>
        <v>0</v>
      </c>
      <c r="V114" s="43">
        <f>OC!N122</f>
        <v>0</v>
      </c>
    </row>
    <row r="115" spans="1:22" s="31" customFormat="1" x14ac:dyDescent="0.3">
      <c r="A115" s="38">
        <f>OC!A123</f>
        <v>0</v>
      </c>
      <c r="B115" s="38">
        <f>OC!B123</f>
        <v>0</v>
      </c>
      <c r="C115" s="38">
        <f>OC!C123</f>
        <v>0</v>
      </c>
      <c r="D115" s="38">
        <f>OC!P123</f>
        <v>0</v>
      </c>
      <c r="E115" s="39">
        <f>OC!D123</f>
        <v>0</v>
      </c>
      <c r="F115" s="40">
        <f>OC!E123</f>
        <v>0</v>
      </c>
      <c r="G115" s="41">
        <f t="shared" si="6"/>
        <v>0</v>
      </c>
      <c r="H115" s="39">
        <f>IF(_xlfn.XLOOKUP(A115,[1]MACHOTE!A:A,[1]MACHOTE!V:V,0,0)="S",1.16,IF(_xlfn.XLOOKUP(A115,[1]MACHOTE!A:A,[1]MACHOTE!Y:Y,0,0)="S",1.08,1))</f>
        <v>1</v>
      </c>
      <c r="I115" s="39">
        <f t="shared" si="7"/>
        <v>0</v>
      </c>
      <c r="J115" s="42">
        <f t="shared" si="8"/>
        <v>0</v>
      </c>
      <c r="K115" s="39">
        <f>OC!$B$6</f>
        <v>0</v>
      </c>
      <c r="L115" s="39">
        <f>OC!$B$7</f>
        <v>0</v>
      </c>
      <c r="M115" s="39">
        <f>OC!$B$2</f>
        <v>0</v>
      </c>
      <c r="N115" s="44">
        <f>OC!$B$3</f>
        <v>0</v>
      </c>
      <c r="O115" s="39">
        <f>OC!$B$5</f>
        <v>0</v>
      </c>
      <c r="P115" s="39">
        <f>OC!$B$8</f>
        <v>0</v>
      </c>
      <c r="Q115" s="39">
        <f>OC!$B$4</f>
        <v>0</v>
      </c>
      <c r="R115" s="43">
        <f>OC!J123</f>
        <v>0</v>
      </c>
      <c r="S115" s="43">
        <v>0</v>
      </c>
      <c r="T115" s="43">
        <f>OC!L123</f>
        <v>0</v>
      </c>
      <c r="U115" s="43">
        <f>OC!M123</f>
        <v>0</v>
      </c>
      <c r="V115" s="43">
        <f>OC!N123</f>
        <v>0</v>
      </c>
    </row>
    <row r="116" spans="1:22" s="31" customFormat="1" x14ac:dyDescent="0.3">
      <c r="A116" s="38">
        <f>OC!A124</f>
        <v>0</v>
      </c>
      <c r="B116" s="38">
        <f>OC!B124</f>
        <v>0</v>
      </c>
      <c r="C116" s="38">
        <f>OC!C124</f>
        <v>0</v>
      </c>
      <c r="D116" s="38">
        <f>OC!P124</f>
        <v>0</v>
      </c>
      <c r="E116" s="39">
        <f>OC!D124</f>
        <v>0</v>
      </c>
      <c r="F116" s="40">
        <f>OC!E124</f>
        <v>0</v>
      </c>
      <c r="G116" s="41">
        <f t="shared" si="6"/>
        <v>0</v>
      </c>
      <c r="H116" s="39">
        <f>IF(_xlfn.XLOOKUP(A116,[1]MACHOTE!A:A,[1]MACHOTE!V:V,0,0)="S",1.16,IF(_xlfn.XLOOKUP(A116,[1]MACHOTE!A:A,[1]MACHOTE!Y:Y,0,0)="S",1.08,1))</f>
        <v>1</v>
      </c>
      <c r="I116" s="39">
        <f t="shared" si="7"/>
        <v>0</v>
      </c>
      <c r="J116" s="42">
        <f t="shared" si="8"/>
        <v>0</v>
      </c>
      <c r="K116" s="39">
        <f>OC!$B$6</f>
        <v>0</v>
      </c>
      <c r="L116" s="39">
        <f>OC!$B$7</f>
        <v>0</v>
      </c>
      <c r="M116" s="39">
        <f>OC!$B$2</f>
        <v>0</v>
      </c>
      <c r="N116" s="44">
        <f>OC!$B$3</f>
        <v>0</v>
      </c>
      <c r="O116" s="39">
        <f>OC!$B$5</f>
        <v>0</v>
      </c>
      <c r="P116" s="39">
        <f>OC!$B$8</f>
        <v>0</v>
      </c>
      <c r="Q116" s="39">
        <f>OC!$B$4</f>
        <v>0</v>
      </c>
      <c r="R116" s="43">
        <f>OC!J124</f>
        <v>0</v>
      </c>
      <c r="S116" s="43">
        <v>0</v>
      </c>
      <c r="T116" s="43">
        <f>OC!L124</f>
        <v>0</v>
      </c>
      <c r="U116" s="43">
        <f>OC!M124</f>
        <v>0</v>
      </c>
      <c r="V116" s="43">
        <f>OC!N124</f>
        <v>0</v>
      </c>
    </row>
    <row r="117" spans="1:22" s="31" customFormat="1" x14ac:dyDescent="0.3">
      <c r="A117" s="38">
        <f>OC!A125</f>
        <v>0</v>
      </c>
      <c r="B117" s="38">
        <f>OC!B125</f>
        <v>0</v>
      </c>
      <c r="C117" s="38">
        <f>OC!C125</f>
        <v>0</v>
      </c>
      <c r="D117" s="38">
        <f>OC!P125</f>
        <v>0</v>
      </c>
      <c r="E117" s="39">
        <f>OC!D125</f>
        <v>0</v>
      </c>
      <c r="F117" s="40">
        <f>OC!E125</f>
        <v>0</v>
      </c>
      <c r="G117" s="41">
        <f t="shared" si="6"/>
        <v>0</v>
      </c>
      <c r="H117" s="39">
        <f>IF(_xlfn.XLOOKUP(A117,[1]MACHOTE!A:A,[1]MACHOTE!V:V,0,0)="S",1.16,IF(_xlfn.XLOOKUP(A117,[1]MACHOTE!A:A,[1]MACHOTE!Y:Y,0,0)="S",1.08,1))</f>
        <v>1</v>
      </c>
      <c r="I117" s="39">
        <f t="shared" si="7"/>
        <v>0</v>
      </c>
      <c r="J117" s="42">
        <f t="shared" si="8"/>
        <v>0</v>
      </c>
      <c r="K117" s="39">
        <f>OC!$B$6</f>
        <v>0</v>
      </c>
      <c r="L117" s="39">
        <f>OC!$B$7</f>
        <v>0</v>
      </c>
      <c r="M117" s="39">
        <f>OC!$B$2</f>
        <v>0</v>
      </c>
      <c r="N117" s="44">
        <f>OC!$B$3</f>
        <v>0</v>
      </c>
      <c r="O117" s="39">
        <f>OC!$B$5</f>
        <v>0</v>
      </c>
      <c r="P117" s="39">
        <f>OC!$B$8</f>
        <v>0</v>
      </c>
      <c r="Q117" s="39">
        <f>OC!$B$4</f>
        <v>0</v>
      </c>
      <c r="R117" s="43">
        <f>OC!J125</f>
        <v>0</v>
      </c>
      <c r="S117" s="43">
        <v>0</v>
      </c>
      <c r="T117" s="43">
        <f>OC!L125</f>
        <v>0</v>
      </c>
      <c r="U117" s="43">
        <f>OC!M125</f>
        <v>0</v>
      </c>
      <c r="V117" s="43">
        <f>OC!N125</f>
        <v>0</v>
      </c>
    </row>
    <row r="118" spans="1:22" s="31" customFormat="1" x14ac:dyDescent="0.3">
      <c r="A118" s="38">
        <f>OC!A126</f>
        <v>0</v>
      </c>
      <c r="B118" s="38">
        <f>OC!B126</f>
        <v>0</v>
      </c>
      <c r="C118" s="38">
        <f>OC!C126</f>
        <v>0</v>
      </c>
      <c r="D118" s="38">
        <f>OC!P126</f>
        <v>0</v>
      </c>
      <c r="E118" s="39">
        <f>OC!D126</f>
        <v>0</v>
      </c>
      <c r="F118" s="40">
        <f>OC!E126</f>
        <v>0</v>
      </c>
      <c r="G118" s="41">
        <f t="shared" si="6"/>
        <v>0</v>
      </c>
      <c r="H118" s="39">
        <f>IF(_xlfn.XLOOKUP(A118,[1]MACHOTE!A:A,[1]MACHOTE!V:V,0,0)="S",1.16,IF(_xlfn.XLOOKUP(A118,[1]MACHOTE!A:A,[1]MACHOTE!Y:Y,0,0)="S",1.08,1))</f>
        <v>1</v>
      </c>
      <c r="I118" s="39">
        <f t="shared" si="7"/>
        <v>0</v>
      </c>
      <c r="J118" s="42">
        <f t="shared" si="8"/>
        <v>0</v>
      </c>
      <c r="K118" s="39">
        <f>OC!$B$6</f>
        <v>0</v>
      </c>
      <c r="L118" s="39">
        <f>OC!$B$7</f>
        <v>0</v>
      </c>
      <c r="M118" s="39">
        <f>OC!$B$2</f>
        <v>0</v>
      </c>
      <c r="N118" s="44">
        <f>OC!$B$3</f>
        <v>0</v>
      </c>
      <c r="O118" s="39">
        <f>OC!$B$5</f>
        <v>0</v>
      </c>
      <c r="P118" s="39">
        <f>OC!$B$8</f>
        <v>0</v>
      </c>
      <c r="Q118" s="39">
        <f>OC!$B$4</f>
        <v>0</v>
      </c>
      <c r="R118" s="43">
        <f>OC!J126</f>
        <v>0</v>
      </c>
      <c r="S118" s="43">
        <v>0</v>
      </c>
      <c r="T118" s="43">
        <f>OC!L126</f>
        <v>0</v>
      </c>
      <c r="U118" s="43">
        <f>OC!M126</f>
        <v>0</v>
      </c>
      <c r="V118" s="43">
        <f>OC!N126</f>
        <v>0</v>
      </c>
    </row>
    <row r="119" spans="1:22" s="31" customFormat="1" x14ac:dyDescent="0.3">
      <c r="A119" s="38">
        <f>OC!A127</f>
        <v>0</v>
      </c>
      <c r="B119" s="38">
        <f>OC!B127</f>
        <v>0</v>
      </c>
      <c r="C119" s="38">
        <f>OC!C127</f>
        <v>0</v>
      </c>
      <c r="D119" s="38">
        <f>OC!P127</f>
        <v>0</v>
      </c>
      <c r="E119" s="39">
        <f>OC!D127</f>
        <v>0</v>
      </c>
      <c r="F119" s="40">
        <f>OC!E127</f>
        <v>0</v>
      </c>
      <c r="G119" s="41">
        <f t="shared" si="6"/>
        <v>0</v>
      </c>
      <c r="H119" s="39">
        <f>IF(_xlfn.XLOOKUP(A119,[1]MACHOTE!A:A,[1]MACHOTE!V:V,0,0)="S",1.16,IF(_xlfn.XLOOKUP(A119,[1]MACHOTE!A:A,[1]MACHOTE!Y:Y,0,0)="S",1.08,1))</f>
        <v>1</v>
      </c>
      <c r="I119" s="39">
        <f t="shared" si="7"/>
        <v>0</v>
      </c>
      <c r="J119" s="42">
        <f t="shared" si="8"/>
        <v>0</v>
      </c>
      <c r="K119" s="39">
        <f>OC!$B$6</f>
        <v>0</v>
      </c>
      <c r="L119" s="39">
        <f>OC!$B$7</f>
        <v>0</v>
      </c>
      <c r="M119" s="39">
        <f>OC!$B$2</f>
        <v>0</v>
      </c>
      <c r="N119" s="44">
        <f>OC!$B$3</f>
        <v>0</v>
      </c>
      <c r="O119" s="39">
        <f>OC!$B$5</f>
        <v>0</v>
      </c>
      <c r="P119" s="39">
        <f>OC!$B$8</f>
        <v>0</v>
      </c>
      <c r="Q119" s="39">
        <f>OC!$B$4</f>
        <v>0</v>
      </c>
      <c r="R119" s="43">
        <f>OC!J127</f>
        <v>0</v>
      </c>
      <c r="S119" s="43">
        <v>0</v>
      </c>
      <c r="T119" s="43">
        <f>OC!L127</f>
        <v>0</v>
      </c>
      <c r="U119" s="43">
        <f>OC!M127</f>
        <v>0</v>
      </c>
      <c r="V119" s="43">
        <f>OC!N127</f>
        <v>0</v>
      </c>
    </row>
    <row r="120" spans="1:22" s="31" customFormat="1" x14ac:dyDescent="0.3">
      <c r="A120" s="38">
        <f>OC!A128</f>
        <v>0</v>
      </c>
      <c r="B120" s="38">
        <f>OC!B128</f>
        <v>0</v>
      </c>
      <c r="C120" s="38">
        <f>OC!C128</f>
        <v>0</v>
      </c>
      <c r="D120" s="38">
        <f>OC!P128</f>
        <v>0</v>
      </c>
      <c r="E120" s="39">
        <f>OC!D128</f>
        <v>0</v>
      </c>
      <c r="F120" s="40">
        <f>OC!E128</f>
        <v>0</v>
      </c>
      <c r="G120" s="41">
        <f t="shared" si="6"/>
        <v>0</v>
      </c>
      <c r="H120" s="39">
        <f>IF(_xlfn.XLOOKUP(A120,[1]MACHOTE!A:A,[1]MACHOTE!V:V,0,0)="S",1.16,IF(_xlfn.XLOOKUP(A120,[1]MACHOTE!A:A,[1]MACHOTE!Y:Y,0,0)="S",1.08,1))</f>
        <v>1</v>
      </c>
      <c r="I120" s="39">
        <f t="shared" si="7"/>
        <v>0</v>
      </c>
      <c r="J120" s="42">
        <f t="shared" si="8"/>
        <v>0</v>
      </c>
      <c r="K120" s="39">
        <f>OC!$B$6</f>
        <v>0</v>
      </c>
      <c r="L120" s="39">
        <f>OC!$B$7</f>
        <v>0</v>
      </c>
      <c r="M120" s="39">
        <f>OC!$B$2</f>
        <v>0</v>
      </c>
      <c r="N120" s="44">
        <f>OC!$B$3</f>
        <v>0</v>
      </c>
      <c r="O120" s="39">
        <f>OC!$B$5</f>
        <v>0</v>
      </c>
      <c r="P120" s="39">
        <f>OC!$B$8</f>
        <v>0</v>
      </c>
      <c r="Q120" s="39">
        <f>OC!$B$4</f>
        <v>0</v>
      </c>
      <c r="R120" s="43">
        <f>OC!J128</f>
        <v>0</v>
      </c>
      <c r="S120" s="43">
        <v>0</v>
      </c>
      <c r="T120" s="43">
        <f>OC!L128</f>
        <v>0</v>
      </c>
      <c r="U120" s="43">
        <f>OC!M128</f>
        <v>0</v>
      </c>
      <c r="V120" s="43">
        <f>OC!N128</f>
        <v>0</v>
      </c>
    </row>
    <row r="121" spans="1:22" s="31" customFormat="1" x14ac:dyDescent="0.3">
      <c r="A121" s="38">
        <f>OC!A129</f>
        <v>0</v>
      </c>
      <c r="B121" s="38">
        <f>OC!B129</f>
        <v>0</v>
      </c>
      <c r="C121" s="38">
        <f>OC!C129</f>
        <v>0</v>
      </c>
      <c r="D121" s="38">
        <f>OC!P129</f>
        <v>0</v>
      </c>
      <c r="E121" s="39">
        <f>OC!D129</f>
        <v>0</v>
      </c>
      <c r="F121" s="40">
        <f>OC!E129</f>
        <v>0</v>
      </c>
      <c r="G121" s="41">
        <f t="shared" si="6"/>
        <v>0</v>
      </c>
      <c r="H121" s="39">
        <f>IF(_xlfn.XLOOKUP(A121,[1]MACHOTE!A:A,[1]MACHOTE!V:V,0,0)="S",1.16,IF(_xlfn.XLOOKUP(A121,[1]MACHOTE!A:A,[1]MACHOTE!Y:Y,0,0)="S",1.08,1))</f>
        <v>1</v>
      </c>
      <c r="I121" s="39">
        <f t="shared" si="7"/>
        <v>0</v>
      </c>
      <c r="J121" s="42">
        <f t="shared" si="8"/>
        <v>0</v>
      </c>
      <c r="K121" s="39">
        <f>OC!$B$6</f>
        <v>0</v>
      </c>
      <c r="L121" s="39">
        <f>OC!$B$7</f>
        <v>0</v>
      </c>
      <c r="M121" s="39">
        <f>OC!$B$2</f>
        <v>0</v>
      </c>
      <c r="N121" s="44">
        <f>OC!$B$3</f>
        <v>0</v>
      </c>
      <c r="O121" s="39">
        <f>OC!$B$5</f>
        <v>0</v>
      </c>
      <c r="P121" s="39">
        <f>OC!$B$8</f>
        <v>0</v>
      </c>
      <c r="Q121" s="39">
        <f>OC!$B$4</f>
        <v>0</v>
      </c>
      <c r="R121" s="43">
        <f>OC!J129</f>
        <v>0</v>
      </c>
      <c r="S121" s="43">
        <v>0</v>
      </c>
      <c r="T121" s="43">
        <f>OC!L129</f>
        <v>0</v>
      </c>
      <c r="U121" s="43">
        <f>OC!M129</f>
        <v>0</v>
      </c>
      <c r="V121" s="43">
        <f>OC!N129</f>
        <v>0</v>
      </c>
    </row>
    <row r="122" spans="1:22" s="31" customFormat="1" x14ac:dyDescent="0.3">
      <c r="A122" s="38">
        <f>OC!A130</f>
        <v>0</v>
      </c>
      <c r="B122" s="38">
        <f>OC!B130</f>
        <v>0</v>
      </c>
      <c r="C122" s="38">
        <f>OC!C130</f>
        <v>0</v>
      </c>
      <c r="D122" s="38">
        <f>OC!P130</f>
        <v>0</v>
      </c>
      <c r="E122" s="39">
        <f>OC!D130</f>
        <v>0</v>
      </c>
      <c r="F122" s="40">
        <f>OC!E130</f>
        <v>0</v>
      </c>
      <c r="G122" s="41">
        <f t="shared" si="6"/>
        <v>0</v>
      </c>
      <c r="H122" s="39">
        <f>IF(_xlfn.XLOOKUP(A122,[1]MACHOTE!A:A,[1]MACHOTE!V:V,0,0)="S",1.16,IF(_xlfn.XLOOKUP(A122,[1]MACHOTE!A:A,[1]MACHOTE!Y:Y,0,0)="S",1.08,1))</f>
        <v>1</v>
      </c>
      <c r="I122" s="39">
        <f t="shared" si="7"/>
        <v>0</v>
      </c>
      <c r="J122" s="42">
        <f t="shared" si="8"/>
        <v>0</v>
      </c>
      <c r="K122" s="39">
        <f>OC!$B$6</f>
        <v>0</v>
      </c>
      <c r="L122" s="39">
        <f>OC!$B$7</f>
        <v>0</v>
      </c>
      <c r="M122" s="39">
        <f>OC!$B$2</f>
        <v>0</v>
      </c>
      <c r="N122" s="44">
        <f>OC!$B$3</f>
        <v>0</v>
      </c>
      <c r="O122" s="39">
        <f>OC!$B$5</f>
        <v>0</v>
      </c>
      <c r="P122" s="39">
        <f>OC!$B$8</f>
        <v>0</v>
      </c>
      <c r="Q122" s="39">
        <f>OC!$B$4</f>
        <v>0</v>
      </c>
      <c r="R122" s="43">
        <f>OC!J130</f>
        <v>0</v>
      </c>
      <c r="S122" s="43">
        <v>0</v>
      </c>
      <c r="T122" s="43">
        <f>OC!L130</f>
        <v>0</v>
      </c>
      <c r="U122" s="43">
        <f>OC!M130</f>
        <v>0</v>
      </c>
      <c r="V122" s="43">
        <f>OC!N130</f>
        <v>0</v>
      </c>
    </row>
    <row r="123" spans="1:22" s="31" customFormat="1" x14ac:dyDescent="0.3">
      <c r="A123" s="38">
        <f>OC!A131</f>
        <v>0</v>
      </c>
      <c r="B123" s="38">
        <f>OC!B131</f>
        <v>0</v>
      </c>
      <c r="C123" s="38">
        <f>OC!C131</f>
        <v>0</v>
      </c>
      <c r="D123" s="38">
        <f>OC!P131</f>
        <v>0</v>
      </c>
      <c r="E123" s="39">
        <f>OC!D131</f>
        <v>0</v>
      </c>
      <c r="F123" s="40">
        <f>OC!E131</f>
        <v>0</v>
      </c>
      <c r="G123" s="41">
        <f t="shared" si="6"/>
        <v>0</v>
      </c>
      <c r="H123" s="39">
        <f>IF(_xlfn.XLOOKUP(A123,[1]MACHOTE!A:A,[1]MACHOTE!V:V,0,0)="S",1.16,IF(_xlfn.XLOOKUP(A123,[1]MACHOTE!A:A,[1]MACHOTE!Y:Y,0,0)="S",1.08,1))</f>
        <v>1</v>
      </c>
      <c r="I123" s="39">
        <f t="shared" si="7"/>
        <v>0</v>
      </c>
      <c r="J123" s="42">
        <f t="shared" si="8"/>
        <v>0</v>
      </c>
      <c r="K123" s="39">
        <f>OC!$B$6</f>
        <v>0</v>
      </c>
      <c r="L123" s="39">
        <f>OC!$B$7</f>
        <v>0</v>
      </c>
      <c r="M123" s="39">
        <f>OC!$B$2</f>
        <v>0</v>
      </c>
      <c r="N123" s="44">
        <f>OC!$B$3</f>
        <v>0</v>
      </c>
      <c r="O123" s="39">
        <f>OC!$B$5</f>
        <v>0</v>
      </c>
      <c r="P123" s="39">
        <f>OC!$B$8</f>
        <v>0</v>
      </c>
      <c r="Q123" s="39">
        <f>OC!$B$4</f>
        <v>0</v>
      </c>
      <c r="R123" s="43">
        <f>OC!J131</f>
        <v>0</v>
      </c>
      <c r="S123" s="43">
        <v>0</v>
      </c>
      <c r="T123" s="43">
        <f>OC!L131</f>
        <v>0</v>
      </c>
      <c r="U123" s="43">
        <f>OC!M131</f>
        <v>0</v>
      </c>
      <c r="V123" s="43">
        <f>OC!N131</f>
        <v>0</v>
      </c>
    </row>
    <row r="124" spans="1:22" s="31" customFormat="1" x14ac:dyDescent="0.3">
      <c r="A124" s="38">
        <f>OC!A132</f>
        <v>0</v>
      </c>
      <c r="B124" s="38">
        <f>OC!B132</f>
        <v>0</v>
      </c>
      <c r="C124" s="38">
        <f>OC!C132</f>
        <v>0</v>
      </c>
      <c r="D124" s="38">
        <f>OC!P132</f>
        <v>0</v>
      </c>
      <c r="E124" s="39">
        <f>OC!D132</f>
        <v>0</v>
      </c>
      <c r="F124" s="40">
        <f>OC!E132</f>
        <v>0</v>
      </c>
      <c r="G124" s="41">
        <f t="shared" si="6"/>
        <v>0</v>
      </c>
      <c r="H124" s="39">
        <f>IF(_xlfn.XLOOKUP(A124,[1]MACHOTE!A:A,[1]MACHOTE!V:V,0,0)="S",1.16,IF(_xlfn.XLOOKUP(A124,[1]MACHOTE!A:A,[1]MACHOTE!Y:Y,0,0)="S",1.08,1))</f>
        <v>1</v>
      </c>
      <c r="I124" s="39">
        <f t="shared" si="7"/>
        <v>0</v>
      </c>
      <c r="J124" s="42">
        <f t="shared" si="8"/>
        <v>0</v>
      </c>
      <c r="K124" s="39">
        <f>OC!$B$6</f>
        <v>0</v>
      </c>
      <c r="L124" s="39">
        <f>OC!$B$7</f>
        <v>0</v>
      </c>
      <c r="M124" s="39">
        <f>OC!$B$2</f>
        <v>0</v>
      </c>
      <c r="N124" s="44">
        <f>OC!$B$3</f>
        <v>0</v>
      </c>
      <c r="O124" s="39">
        <f>OC!$B$5</f>
        <v>0</v>
      </c>
      <c r="P124" s="39">
        <f>OC!$B$8</f>
        <v>0</v>
      </c>
      <c r="Q124" s="39">
        <f>OC!$B$4</f>
        <v>0</v>
      </c>
      <c r="R124" s="43">
        <f>OC!J132</f>
        <v>0</v>
      </c>
      <c r="S124" s="43">
        <v>0</v>
      </c>
      <c r="T124" s="43">
        <f>OC!L132</f>
        <v>0</v>
      </c>
      <c r="U124" s="43">
        <f>OC!M132</f>
        <v>0</v>
      </c>
      <c r="V124" s="43">
        <f>OC!N132</f>
        <v>0</v>
      </c>
    </row>
    <row r="125" spans="1:22" s="31" customFormat="1" x14ac:dyDescent="0.3">
      <c r="A125" s="38">
        <f>OC!A133</f>
        <v>0</v>
      </c>
      <c r="B125" s="38">
        <f>OC!B133</f>
        <v>0</v>
      </c>
      <c r="C125" s="38">
        <f>OC!C133</f>
        <v>0</v>
      </c>
      <c r="D125" s="38">
        <f>OC!P133</f>
        <v>0</v>
      </c>
      <c r="E125" s="39">
        <f>OC!D133</f>
        <v>0</v>
      </c>
      <c r="F125" s="40">
        <f>OC!E133</f>
        <v>0</v>
      </c>
      <c r="G125" s="41">
        <f t="shared" si="6"/>
        <v>0</v>
      </c>
      <c r="H125" s="39">
        <f>IF(_xlfn.XLOOKUP(A125,[1]MACHOTE!A:A,[1]MACHOTE!V:V,0,0)="S",1.16,IF(_xlfn.XLOOKUP(A125,[1]MACHOTE!A:A,[1]MACHOTE!Y:Y,0,0)="S",1.08,1))</f>
        <v>1</v>
      </c>
      <c r="I125" s="39">
        <f t="shared" si="7"/>
        <v>0</v>
      </c>
      <c r="J125" s="42">
        <f t="shared" si="8"/>
        <v>0</v>
      </c>
      <c r="K125" s="39">
        <f>OC!$B$6</f>
        <v>0</v>
      </c>
      <c r="L125" s="39">
        <f>OC!$B$7</f>
        <v>0</v>
      </c>
      <c r="M125" s="39">
        <f>OC!$B$2</f>
        <v>0</v>
      </c>
      <c r="N125" s="44">
        <f>OC!$B$3</f>
        <v>0</v>
      </c>
      <c r="O125" s="39">
        <f>OC!$B$5</f>
        <v>0</v>
      </c>
      <c r="P125" s="39">
        <f>OC!$B$8</f>
        <v>0</v>
      </c>
      <c r="Q125" s="39">
        <f>OC!$B$4</f>
        <v>0</v>
      </c>
      <c r="R125" s="43">
        <f>OC!J133</f>
        <v>0</v>
      </c>
      <c r="S125" s="43">
        <v>0</v>
      </c>
      <c r="T125" s="43">
        <f>OC!L133</f>
        <v>0</v>
      </c>
      <c r="U125" s="43">
        <f>OC!M133</f>
        <v>0</v>
      </c>
      <c r="V125" s="43">
        <f>OC!N133</f>
        <v>0</v>
      </c>
    </row>
    <row r="126" spans="1:22" s="31" customFormat="1" x14ac:dyDescent="0.3">
      <c r="A126" s="38">
        <f>OC!A134</f>
        <v>0</v>
      </c>
      <c r="B126" s="38">
        <f>OC!B134</f>
        <v>0</v>
      </c>
      <c r="C126" s="38">
        <f>OC!C134</f>
        <v>0</v>
      </c>
      <c r="D126" s="38">
        <f>OC!P134</f>
        <v>0</v>
      </c>
      <c r="E126" s="39">
        <f>OC!D134</f>
        <v>0</v>
      </c>
      <c r="F126" s="40">
        <f>OC!E134</f>
        <v>0</v>
      </c>
      <c r="G126" s="41">
        <f t="shared" si="6"/>
        <v>0</v>
      </c>
      <c r="H126" s="39">
        <f>IF(_xlfn.XLOOKUP(A126,[1]MACHOTE!A:A,[1]MACHOTE!V:V,0,0)="S",1.16,IF(_xlfn.XLOOKUP(A126,[1]MACHOTE!A:A,[1]MACHOTE!Y:Y,0,0)="S",1.08,1))</f>
        <v>1</v>
      </c>
      <c r="I126" s="39">
        <f t="shared" si="7"/>
        <v>0</v>
      </c>
      <c r="J126" s="42">
        <f t="shared" si="8"/>
        <v>0</v>
      </c>
      <c r="K126" s="39">
        <f>OC!$B$6</f>
        <v>0</v>
      </c>
      <c r="L126" s="39">
        <f>OC!$B$7</f>
        <v>0</v>
      </c>
      <c r="M126" s="39">
        <f>OC!$B$2</f>
        <v>0</v>
      </c>
      <c r="N126" s="44">
        <f>OC!$B$3</f>
        <v>0</v>
      </c>
      <c r="O126" s="39">
        <f>OC!$B$5</f>
        <v>0</v>
      </c>
      <c r="P126" s="39">
        <f>OC!$B$8</f>
        <v>0</v>
      </c>
      <c r="Q126" s="39">
        <f>OC!$B$4</f>
        <v>0</v>
      </c>
      <c r="R126" s="43">
        <f>OC!J134</f>
        <v>0</v>
      </c>
      <c r="S126" s="43">
        <v>0</v>
      </c>
      <c r="T126" s="43">
        <f>OC!L134</f>
        <v>0</v>
      </c>
      <c r="U126" s="43">
        <f>OC!M134</f>
        <v>0</v>
      </c>
      <c r="V126" s="43">
        <f>OC!N134</f>
        <v>0</v>
      </c>
    </row>
    <row r="127" spans="1:22" s="31" customFormat="1" x14ac:dyDescent="0.3">
      <c r="A127" s="38">
        <f>OC!A135</f>
        <v>0</v>
      </c>
      <c r="B127" s="38">
        <f>OC!B135</f>
        <v>0</v>
      </c>
      <c r="C127" s="38">
        <f>OC!C135</f>
        <v>0</v>
      </c>
      <c r="D127" s="38">
        <f>OC!P135</f>
        <v>0</v>
      </c>
      <c r="E127" s="39">
        <f>OC!D135</f>
        <v>0</v>
      </c>
      <c r="F127" s="40">
        <f>OC!E135</f>
        <v>0</v>
      </c>
      <c r="G127" s="41">
        <f t="shared" si="6"/>
        <v>0</v>
      </c>
      <c r="H127" s="39">
        <f>IF(_xlfn.XLOOKUP(A127,[1]MACHOTE!A:A,[1]MACHOTE!V:V,0,0)="S",1.16,IF(_xlfn.XLOOKUP(A127,[1]MACHOTE!A:A,[1]MACHOTE!Y:Y,0,0)="S",1.08,1))</f>
        <v>1</v>
      </c>
      <c r="I127" s="39">
        <f t="shared" si="7"/>
        <v>0</v>
      </c>
      <c r="J127" s="42">
        <f t="shared" si="8"/>
        <v>0</v>
      </c>
      <c r="K127" s="39">
        <f>OC!$B$6</f>
        <v>0</v>
      </c>
      <c r="L127" s="39">
        <f>OC!$B$7</f>
        <v>0</v>
      </c>
      <c r="M127" s="39">
        <f>OC!$B$2</f>
        <v>0</v>
      </c>
      <c r="N127" s="44">
        <f>OC!$B$3</f>
        <v>0</v>
      </c>
      <c r="O127" s="39">
        <f>OC!$B$5</f>
        <v>0</v>
      </c>
      <c r="P127" s="39">
        <f>OC!$B$8</f>
        <v>0</v>
      </c>
      <c r="Q127" s="39">
        <f>OC!$B$4</f>
        <v>0</v>
      </c>
      <c r="R127" s="43">
        <f>OC!J135</f>
        <v>0</v>
      </c>
      <c r="S127" s="43">
        <v>0</v>
      </c>
      <c r="T127" s="43">
        <f>OC!L135</f>
        <v>0</v>
      </c>
      <c r="U127" s="43">
        <f>OC!M135</f>
        <v>0</v>
      </c>
      <c r="V127" s="43">
        <f>OC!N135</f>
        <v>0</v>
      </c>
    </row>
    <row r="128" spans="1:22" s="31" customFormat="1" x14ac:dyDescent="0.3">
      <c r="A128" s="38">
        <f>OC!A136</f>
        <v>0</v>
      </c>
      <c r="B128" s="38">
        <f>OC!B136</f>
        <v>0</v>
      </c>
      <c r="C128" s="38">
        <f>OC!C136</f>
        <v>0</v>
      </c>
      <c r="D128" s="38">
        <f>OC!P136</f>
        <v>0</v>
      </c>
      <c r="E128" s="39">
        <f>OC!D136</f>
        <v>0</v>
      </c>
      <c r="F128" s="40">
        <f>OC!E136</f>
        <v>0</v>
      </c>
      <c r="G128" s="41">
        <f t="shared" si="6"/>
        <v>0</v>
      </c>
      <c r="H128" s="39">
        <f>IF(_xlfn.XLOOKUP(A128,[1]MACHOTE!A:A,[1]MACHOTE!V:V,0,0)="S",1.16,IF(_xlfn.XLOOKUP(A128,[1]MACHOTE!A:A,[1]MACHOTE!Y:Y,0,0)="S",1.08,1))</f>
        <v>1</v>
      </c>
      <c r="I128" s="39">
        <f t="shared" si="7"/>
        <v>0</v>
      </c>
      <c r="J128" s="42">
        <f t="shared" si="8"/>
        <v>0</v>
      </c>
      <c r="K128" s="39">
        <f>OC!$B$6</f>
        <v>0</v>
      </c>
      <c r="L128" s="39">
        <f>OC!$B$7</f>
        <v>0</v>
      </c>
      <c r="M128" s="39">
        <f>OC!$B$2</f>
        <v>0</v>
      </c>
      <c r="N128" s="44">
        <f>OC!$B$3</f>
        <v>0</v>
      </c>
      <c r="O128" s="39">
        <f>OC!$B$5</f>
        <v>0</v>
      </c>
      <c r="P128" s="39">
        <f>OC!$B$8</f>
        <v>0</v>
      </c>
      <c r="Q128" s="39">
        <f>OC!$B$4</f>
        <v>0</v>
      </c>
      <c r="R128" s="43">
        <f>OC!J136</f>
        <v>0</v>
      </c>
      <c r="S128" s="43">
        <v>0</v>
      </c>
      <c r="T128" s="43">
        <f>OC!L136</f>
        <v>0</v>
      </c>
      <c r="U128" s="43">
        <f>OC!M136</f>
        <v>0</v>
      </c>
      <c r="V128" s="43">
        <f>OC!N136</f>
        <v>0</v>
      </c>
    </row>
    <row r="129" spans="1:22" s="31" customFormat="1" x14ac:dyDescent="0.3">
      <c r="A129" s="38">
        <f>OC!A137</f>
        <v>0</v>
      </c>
      <c r="B129" s="38">
        <f>OC!B137</f>
        <v>0</v>
      </c>
      <c r="C129" s="38">
        <f>OC!C137</f>
        <v>0</v>
      </c>
      <c r="D129" s="38">
        <f>OC!P137</f>
        <v>0</v>
      </c>
      <c r="E129" s="39">
        <f>OC!D137</f>
        <v>0</v>
      </c>
      <c r="F129" s="40">
        <f>OC!E137</f>
        <v>0</v>
      </c>
      <c r="G129" s="41">
        <f t="shared" si="6"/>
        <v>0</v>
      </c>
      <c r="H129" s="39">
        <f>IF(_xlfn.XLOOKUP(A129,[1]MACHOTE!A:A,[1]MACHOTE!V:V,0,0)="S",1.16,IF(_xlfn.XLOOKUP(A129,[1]MACHOTE!A:A,[1]MACHOTE!Y:Y,0,0)="S",1.08,1))</f>
        <v>1</v>
      </c>
      <c r="I129" s="39">
        <f t="shared" si="7"/>
        <v>0</v>
      </c>
      <c r="J129" s="42">
        <f t="shared" si="8"/>
        <v>0</v>
      </c>
      <c r="K129" s="39">
        <f>OC!$B$6</f>
        <v>0</v>
      </c>
      <c r="L129" s="39">
        <f>OC!$B$7</f>
        <v>0</v>
      </c>
      <c r="M129" s="39">
        <f>OC!$B$2</f>
        <v>0</v>
      </c>
      <c r="N129" s="44">
        <f>OC!$B$3</f>
        <v>0</v>
      </c>
      <c r="O129" s="39">
        <f>OC!$B$5</f>
        <v>0</v>
      </c>
      <c r="P129" s="39">
        <f>OC!$B$8</f>
        <v>0</v>
      </c>
      <c r="Q129" s="39">
        <f>OC!$B$4</f>
        <v>0</v>
      </c>
      <c r="R129" s="43">
        <f>OC!J137</f>
        <v>0</v>
      </c>
      <c r="S129" s="43">
        <v>0</v>
      </c>
      <c r="T129" s="43">
        <f>OC!L137</f>
        <v>0</v>
      </c>
      <c r="U129" s="43">
        <f>OC!M137</f>
        <v>0</v>
      </c>
      <c r="V129" s="43">
        <f>OC!N137</f>
        <v>0</v>
      </c>
    </row>
    <row r="130" spans="1:22" s="31" customFormat="1" x14ac:dyDescent="0.3">
      <c r="A130" s="38">
        <f>OC!A138</f>
        <v>0</v>
      </c>
      <c r="B130" s="38">
        <f>OC!B138</f>
        <v>0</v>
      </c>
      <c r="C130" s="38">
        <f>OC!C138</f>
        <v>0</v>
      </c>
      <c r="D130" s="38">
        <f>OC!P138</f>
        <v>0</v>
      </c>
      <c r="E130" s="39">
        <f>OC!D138</f>
        <v>0</v>
      </c>
      <c r="F130" s="40">
        <f>OC!E138</f>
        <v>0</v>
      </c>
      <c r="G130" s="41">
        <f t="shared" si="6"/>
        <v>0</v>
      </c>
      <c r="H130" s="39">
        <f>IF(_xlfn.XLOOKUP(A130,[1]MACHOTE!A:A,[1]MACHOTE!V:V,0,0)="S",1.16,IF(_xlfn.XLOOKUP(A130,[1]MACHOTE!A:A,[1]MACHOTE!Y:Y,0,0)="S",1.08,1))</f>
        <v>1</v>
      </c>
      <c r="I130" s="39">
        <f t="shared" si="7"/>
        <v>0</v>
      </c>
      <c r="J130" s="42">
        <f t="shared" si="8"/>
        <v>0</v>
      </c>
      <c r="K130" s="39">
        <f>OC!$B$6</f>
        <v>0</v>
      </c>
      <c r="L130" s="39">
        <f>OC!$B$7</f>
        <v>0</v>
      </c>
      <c r="M130" s="39">
        <f>OC!$B$2</f>
        <v>0</v>
      </c>
      <c r="N130" s="44">
        <f>OC!$B$3</f>
        <v>0</v>
      </c>
      <c r="O130" s="39">
        <f>OC!$B$5</f>
        <v>0</v>
      </c>
      <c r="P130" s="39">
        <f>OC!$B$8</f>
        <v>0</v>
      </c>
      <c r="Q130" s="39">
        <f>OC!$B$4</f>
        <v>0</v>
      </c>
      <c r="R130" s="43">
        <f>OC!J138</f>
        <v>0</v>
      </c>
      <c r="S130" s="43">
        <v>0</v>
      </c>
      <c r="T130" s="43">
        <f>OC!L138</f>
        <v>0</v>
      </c>
      <c r="U130" s="43">
        <f>OC!M138</f>
        <v>0</v>
      </c>
      <c r="V130" s="43">
        <f>OC!N138</f>
        <v>0</v>
      </c>
    </row>
    <row r="131" spans="1:22" s="31" customFormat="1" x14ac:dyDescent="0.3">
      <c r="A131" s="38">
        <f>OC!A139</f>
        <v>0</v>
      </c>
      <c r="B131" s="38">
        <f>OC!B139</f>
        <v>0</v>
      </c>
      <c r="C131" s="38">
        <f>OC!C139</f>
        <v>0</v>
      </c>
      <c r="D131" s="38">
        <f>OC!P139</f>
        <v>0</v>
      </c>
      <c r="E131" s="39">
        <f>OC!D139</f>
        <v>0</v>
      </c>
      <c r="F131" s="40">
        <f>OC!E139</f>
        <v>0</v>
      </c>
      <c r="G131" s="41">
        <f t="shared" si="6"/>
        <v>0</v>
      </c>
      <c r="H131" s="39">
        <f>IF(_xlfn.XLOOKUP(A131,[1]MACHOTE!A:A,[1]MACHOTE!V:V,0,0)="S",1.16,IF(_xlfn.XLOOKUP(A131,[1]MACHOTE!A:A,[1]MACHOTE!Y:Y,0,0)="S",1.08,1))</f>
        <v>1</v>
      </c>
      <c r="I131" s="39">
        <f t="shared" si="7"/>
        <v>0</v>
      </c>
      <c r="J131" s="42">
        <f t="shared" si="8"/>
        <v>0</v>
      </c>
      <c r="K131" s="39">
        <f>OC!$B$6</f>
        <v>0</v>
      </c>
      <c r="L131" s="39">
        <f>OC!$B$7</f>
        <v>0</v>
      </c>
      <c r="M131" s="39">
        <f>OC!$B$2</f>
        <v>0</v>
      </c>
      <c r="N131" s="44">
        <f>OC!$B$3</f>
        <v>0</v>
      </c>
      <c r="O131" s="39">
        <f>OC!$B$5</f>
        <v>0</v>
      </c>
      <c r="P131" s="39">
        <f>OC!$B$8</f>
        <v>0</v>
      </c>
      <c r="Q131" s="39">
        <f>OC!$B$4</f>
        <v>0</v>
      </c>
      <c r="R131" s="43">
        <f>OC!J139</f>
        <v>0</v>
      </c>
      <c r="S131" s="43">
        <v>0</v>
      </c>
      <c r="T131" s="43">
        <f>OC!L139</f>
        <v>0</v>
      </c>
      <c r="U131" s="43">
        <f>OC!M139</f>
        <v>0</v>
      </c>
      <c r="V131" s="43">
        <f>OC!N139</f>
        <v>0</v>
      </c>
    </row>
    <row r="132" spans="1:22" s="31" customFormat="1" x14ac:dyDescent="0.3">
      <c r="A132" s="38">
        <f>OC!A140</f>
        <v>0</v>
      </c>
      <c r="B132" s="38">
        <f>OC!B140</f>
        <v>0</v>
      </c>
      <c r="C132" s="38">
        <f>OC!C140</f>
        <v>0</v>
      </c>
      <c r="D132" s="38">
        <f>OC!P140</f>
        <v>0</v>
      </c>
      <c r="E132" s="39">
        <f>OC!D140</f>
        <v>0</v>
      </c>
      <c r="F132" s="40">
        <f>OC!E140</f>
        <v>0</v>
      </c>
      <c r="G132" s="41">
        <f t="shared" si="6"/>
        <v>0</v>
      </c>
      <c r="H132" s="39">
        <f>IF(_xlfn.XLOOKUP(A132,[1]MACHOTE!A:A,[1]MACHOTE!V:V,0,0)="S",1.16,IF(_xlfn.XLOOKUP(A132,[1]MACHOTE!A:A,[1]MACHOTE!Y:Y,0,0)="S",1.08,1))</f>
        <v>1</v>
      </c>
      <c r="I132" s="39">
        <f t="shared" si="7"/>
        <v>0</v>
      </c>
      <c r="J132" s="42">
        <f t="shared" si="8"/>
        <v>0</v>
      </c>
      <c r="K132" s="39">
        <f>OC!$B$6</f>
        <v>0</v>
      </c>
      <c r="L132" s="39">
        <f>OC!$B$7</f>
        <v>0</v>
      </c>
      <c r="M132" s="39">
        <f>OC!$B$2</f>
        <v>0</v>
      </c>
      <c r="N132" s="44">
        <f>OC!$B$3</f>
        <v>0</v>
      </c>
      <c r="O132" s="39">
        <f>OC!$B$5</f>
        <v>0</v>
      </c>
      <c r="P132" s="39">
        <f>OC!$B$8</f>
        <v>0</v>
      </c>
      <c r="Q132" s="39">
        <f>OC!$B$4</f>
        <v>0</v>
      </c>
      <c r="R132" s="43">
        <f>OC!J140</f>
        <v>0</v>
      </c>
      <c r="S132" s="43">
        <v>0</v>
      </c>
      <c r="T132" s="43">
        <f>OC!L140</f>
        <v>0</v>
      </c>
      <c r="U132" s="43">
        <f>OC!M140</f>
        <v>0</v>
      </c>
      <c r="V132" s="43">
        <f>OC!N140</f>
        <v>0</v>
      </c>
    </row>
    <row r="133" spans="1:22" s="31" customFormat="1" x14ac:dyDescent="0.3">
      <c r="A133" s="38">
        <f>OC!A141</f>
        <v>0</v>
      </c>
      <c r="B133" s="38">
        <f>OC!B141</f>
        <v>0</v>
      </c>
      <c r="C133" s="38">
        <f>OC!C141</f>
        <v>0</v>
      </c>
      <c r="D133" s="38">
        <f>OC!P141</f>
        <v>0</v>
      </c>
      <c r="E133" s="39">
        <f>OC!D141</f>
        <v>0</v>
      </c>
      <c r="F133" s="40">
        <f>OC!E141</f>
        <v>0</v>
      </c>
      <c r="G133" s="41">
        <f t="shared" si="6"/>
        <v>0</v>
      </c>
      <c r="H133" s="39">
        <f>IF(_xlfn.XLOOKUP(A133,[1]MACHOTE!A:A,[1]MACHOTE!V:V,0,0)="S",1.16,IF(_xlfn.XLOOKUP(A133,[1]MACHOTE!A:A,[1]MACHOTE!Y:Y,0,0)="S",1.08,1))</f>
        <v>1</v>
      </c>
      <c r="I133" s="39">
        <f t="shared" si="7"/>
        <v>0</v>
      </c>
      <c r="J133" s="42">
        <f t="shared" si="8"/>
        <v>0</v>
      </c>
      <c r="K133" s="39">
        <f>OC!$B$6</f>
        <v>0</v>
      </c>
      <c r="L133" s="39">
        <f>OC!$B$7</f>
        <v>0</v>
      </c>
      <c r="M133" s="39">
        <f>OC!$B$2</f>
        <v>0</v>
      </c>
      <c r="N133" s="44">
        <f>OC!$B$3</f>
        <v>0</v>
      </c>
      <c r="O133" s="39">
        <f>OC!$B$5</f>
        <v>0</v>
      </c>
      <c r="P133" s="39">
        <f>OC!$B$8</f>
        <v>0</v>
      </c>
      <c r="Q133" s="39">
        <f>OC!$B$4</f>
        <v>0</v>
      </c>
      <c r="R133" s="43">
        <f>OC!J141</f>
        <v>0</v>
      </c>
      <c r="S133" s="43">
        <v>0</v>
      </c>
      <c r="T133" s="43">
        <f>OC!L141</f>
        <v>0</v>
      </c>
      <c r="U133" s="43">
        <f>OC!M141</f>
        <v>0</v>
      </c>
      <c r="V133" s="43">
        <f>OC!N141</f>
        <v>0</v>
      </c>
    </row>
    <row r="134" spans="1:22" s="31" customFormat="1" x14ac:dyDescent="0.3">
      <c r="A134" s="38">
        <f>OC!A142</f>
        <v>0</v>
      </c>
      <c r="B134" s="38">
        <f>OC!B142</f>
        <v>0</v>
      </c>
      <c r="C134" s="38">
        <f>OC!C142</f>
        <v>0</v>
      </c>
      <c r="D134" s="38">
        <f>OC!P142</f>
        <v>0</v>
      </c>
      <c r="E134" s="39">
        <f>OC!D142</f>
        <v>0</v>
      </c>
      <c r="F134" s="40">
        <f>OC!E142</f>
        <v>0</v>
      </c>
      <c r="G134" s="41">
        <f t="shared" si="6"/>
        <v>0</v>
      </c>
      <c r="H134" s="39">
        <f>IF(_xlfn.XLOOKUP(A134,[1]MACHOTE!A:A,[1]MACHOTE!V:V,0,0)="S",1.16,IF(_xlfn.XLOOKUP(A134,[1]MACHOTE!A:A,[1]MACHOTE!Y:Y,0,0)="S",1.08,1))</f>
        <v>1</v>
      </c>
      <c r="I134" s="39">
        <f t="shared" si="7"/>
        <v>0</v>
      </c>
      <c r="J134" s="42">
        <f t="shared" si="8"/>
        <v>0</v>
      </c>
      <c r="K134" s="39">
        <f>OC!$B$6</f>
        <v>0</v>
      </c>
      <c r="L134" s="39">
        <f>OC!$B$7</f>
        <v>0</v>
      </c>
      <c r="M134" s="39">
        <f>OC!$B$2</f>
        <v>0</v>
      </c>
      <c r="N134" s="44">
        <f>OC!$B$3</f>
        <v>0</v>
      </c>
      <c r="O134" s="39">
        <f>OC!$B$5</f>
        <v>0</v>
      </c>
      <c r="P134" s="39">
        <f>OC!$B$8</f>
        <v>0</v>
      </c>
      <c r="Q134" s="39">
        <f>OC!$B$4</f>
        <v>0</v>
      </c>
      <c r="R134" s="43">
        <f>OC!J142</f>
        <v>0</v>
      </c>
      <c r="S134" s="43">
        <v>0</v>
      </c>
      <c r="T134" s="43">
        <f>OC!L142</f>
        <v>0</v>
      </c>
      <c r="U134" s="43">
        <f>OC!M142</f>
        <v>0</v>
      </c>
      <c r="V134" s="43">
        <f>OC!N142</f>
        <v>0</v>
      </c>
    </row>
    <row r="135" spans="1:22" s="31" customFormat="1" x14ac:dyDescent="0.3">
      <c r="A135" s="38">
        <f>OC!A143</f>
        <v>0</v>
      </c>
      <c r="B135" s="38">
        <f>OC!B143</f>
        <v>0</v>
      </c>
      <c r="C135" s="38">
        <f>OC!C143</f>
        <v>0</v>
      </c>
      <c r="D135" s="38">
        <f>OC!P143</f>
        <v>0</v>
      </c>
      <c r="E135" s="39">
        <f>OC!D143</f>
        <v>0</v>
      </c>
      <c r="F135" s="40">
        <f>OC!E143</f>
        <v>0</v>
      </c>
      <c r="G135" s="41">
        <f t="shared" si="6"/>
        <v>0</v>
      </c>
      <c r="H135" s="39">
        <f>IF(_xlfn.XLOOKUP(A135,[1]MACHOTE!A:A,[1]MACHOTE!V:V,0,0)="S",1.16,IF(_xlfn.XLOOKUP(A135,[1]MACHOTE!A:A,[1]MACHOTE!Y:Y,0,0)="S",1.08,1))</f>
        <v>1</v>
      </c>
      <c r="I135" s="39">
        <f t="shared" si="7"/>
        <v>0</v>
      </c>
      <c r="J135" s="42">
        <f t="shared" si="8"/>
        <v>0</v>
      </c>
      <c r="K135" s="39">
        <f>OC!$B$6</f>
        <v>0</v>
      </c>
      <c r="L135" s="39">
        <f>OC!$B$7</f>
        <v>0</v>
      </c>
      <c r="M135" s="39">
        <f>OC!$B$2</f>
        <v>0</v>
      </c>
      <c r="N135" s="44">
        <f>OC!$B$3</f>
        <v>0</v>
      </c>
      <c r="O135" s="39">
        <f>OC!$B$5</f>
        <v>0</v>
      </c>
      <c r="P135" s="39">
        <f>OC!$B$8</f>
        <v>0</v>
      </c>
      <c r="Q135" s="39">
        <f>OC!$B$4</f>
        <v>0</v>
      </c>
      <c r="R135" s="43">
        <f>OC!J143</f>
        <v>0</v>
      </c>
      <c r="S135" s="43">
        <v>0</v>
      </c>
      <c r="T135" s="43">
        <f>OC!L143</f>
        <v>0</v>
      </c>
      <c r="U135" s="43">
        <f>OC!M143</f>
        <v>0</v>
      </c>
      <c r="V135" s="43">
        <f>OC!N143</f>
        <v>0</v>
      </c>
    </row>
    <row r="136" spans="1:22" s="31" customFormat="1" x14ac:dyDescent="0.3">
      <c r="A136" s="38">
        <f>OC!A144</f>
        <v>0</v>
      </c>
      <c r="B136" s="38">
        <f>OC!B144</f>
        <v>0</v>
      </c>
      <c r="C136" s="38">
        <f>OC!C144</f>
        <v>0</v>
      </c>
      <c r="D136" s="38">
        <f>OC!P144</f>
        <v>0</v>
      </c>
      <c r="E136" s="39">
        <f>OC!D144</f>
        <v>0</v>
      </c>
      <c r="F136" s="40">
        <f>OC!E144</f>
        <v>0</v>
      </c>
      <c r="G136" s="41">
        <f t="shared" si="6"/>
        <v>0</v>
      </c>
      <c r="H136" s="39">
        <f>IF(_xlfn.XLOOKUP(A136,[1]MACHOTE!A:A,[1]MACHOTE!V:V,0,0)="S",1.16,IF(_xlfn.XLOOKUP(A136,[1]MACHOTE!A:A,[1]MACHOTE!Y:Y,0,0)="S",1.08,1))</f>
        <v>1</v>
      </c>
      <c r="I136" s="39">
        <f t="shared" si="7"/>
        <v>0</v>
      </c>
      <c r="J136" s="42">
        <f t="shared" si="8"/>
        <v>0</v>
      </c>
      <c r="K136" s="39">
        <f>OC!$B$6</f>
        <v>0</v>
      </c>
      <c r="L136" s="39">
        <f>OC!$B$7</f>
        <v>0</v>
      </c>
      <c r="M136" s="39">
        <f>OC!$B$2</f>
        <v>0</v>
      </c>
      <c r="N136" s="44">
        <f>OC!$B$3</f>
        <v>0</v>
      </c>
      <c r="O136" s="39">
        <f>OC!$B$5</f>
        <v>0</v>
      </c>
      <c r="P136" s="39">
        <f>OC!$B$8</f>
        <v>0</v>
      </c>
      <c r="Q136" s="39">
        <f>OC!$B$4</f>
        <v>0</v>
      </c>
      <c r="R136" s="43">
        <f>OC!J144</f>
        <v>0</v>
      </c>
      <c r="S136" s="43">
        <v>0</v>
      </c>
      <c r="T136" s="43">
        <f>OC!L144</f>
        <v>0</v>
      </c>
      <c r="U136" s="43">
        <f>OC!M144</f>
        <v>0</v>
      </c>
      <c r="V136" s="43">
        <f>OC!N144</f>
        <v>0</v>
      </c>
    </row>
    <row r="137" spans="1:22" s="31" customFormat="1" x14ac:dyDescent="0.3">
      <c r="A137" s="38">
        <f>OC!A145</f>
        <v>0</v>
      </c>
      <c r="B137" s="38">
        <f>OC!B145</f>
        <v>0</v>
      </c>
      <c r="C137" s="38">
        <f>OC!C145</f>
        <v>0</v>
      </c>
      <c r="D137" s="38">
        <f>OC!P145</f>
        <v>0</v>
      </c>
      <c r="E137" s="39">
        <f>OC!D145</f>
        <v>0</v>
      </c>
      <c r="F137" s="40">
        <f>OC!E145</f>
        <v>0</v>
      </c>
      <c r="G137" s="41">
        <f t="shared" si="6"/>
        <v>0</v>
      </c>
      <c r="H137" s="39">
        <f>IF(_xlfn.XLOOKUP(A137,[1]MACHOTE!A:A,[1]MACHOTE!V:V,0,0)="S",1.16,IF(_xlfn.XLOOKUP(A137,[1]MACHOTE!A:A,[1]MACHOTE!Y:Y,0,0)="S",1.08,1))</f>
        <v>1</v>
      </c>
      <c r="I137" s="39">
        <f t="shared" si="7"/>
        <v>0</v>
      </c>
      <c r="J137" s="42">
        <f t="shared" si="8"/>
        <v>0</v>
      </c>
      <c r="K137" s="39">
        <f>OC!$B$6</f>
        <v>0</v>
      </c>
      <c r="L137" s="39">
        <f>OC!$B$7</f>
        <v>0</v>
      </c>
      <c r="M137" s="39">
        <f>OC!$B$2</f>
        <v>0</v>
      </c>
      <c r="N137" s="44">
        <f>OC!$B$3</f>
        <v>0</v>
      </c>
      <c r="O137" s="39">
        <f>OC!$B$5</f>
        <v>0</v>
      </c>
      <c r="P137" s="39">
        <f>OC!$B$8</f>
        <v>0</v>
      </c>
      <c r="Q137" s="39">
        <f>OC!$B$4</f>
        <v>0</v>
      </c>
      <c r="R137" s="43">
        <f>OC!J145</f>
        <v>0</v>
      </c>
      <c r="S137" s="43">
        <v>0</v>
      </c>
      <c r="T137" s="43">
        <f>OC!L145</f>
        <v>0</v>
      </c>
      <c r="U137" s="43">
        <f>OC!M145</f>
        <v>0</v>
      </c>
      <c r="V137" s="43">
        <f>OC!N145</f>
        <v>0</v>
      </c>
    </row>
    <row r="138" spans="1:22" s="31" customFormat="1" x14ac:dyDescent="0.3">
      <c r="A138" s="38">
        <f>OC!A146</f>
        <v>0</v>
      </c>
      <c r="B138" s="38">
        <f>OC!B146</f>
        <v>0</v>
      </c>
      <c r="C138" s="38">
        <f>OC!C146</f>
        <v>0</v>
      </c>
      <c r="D138" s="38">
        <f>OC!P146</f>
        <v>0</v>
      </c>
      <c r="E138" s="39">
        <f>OC!D146</f>
        <v>0</v>
      </c>
      <c r="F138" s="40">
        <f>OC!E146</f>
        <v>0</v>
      </c>
      <c r="G138" s="41">
        <f t="shared" si="6"/>
        <v>0</v>
      </c>
      <c r="H138" s="39">
        <f>IF(_xlfn.XLOOKUP(A138,[1]MACHOTE!A:A,[1]MACHOTE!V:V,0,0)="S",1.16,IF(_xlfn.XLOOKUP(A138,[1]MACHOTE!A:A,[1]MACHOTE!Y:Y,0,0)="S",1.08,1))</f>
        <v>1</v>
      </c>
      <c r="I138" s="39">
        <f t="shared" si="7"/>
        <v>0</v>
      </c>
      <c r="J138" s="42">
        <f t="shared" si="8"/>
        <v>0</v>
      </c>
      <c r="K138" s="39">
        <f>OC!$B$6</f>
        <v>0</v>
      </c>
      <c r="L138" s="39">
        <f>OC!$B$7</f>
        <v>0</v>
      </c>
      <c r="M138" s="39">
        <f>OC!$B$2</f>
        <v>0</v>
      </c>
      <c r="N138" s="44">
        <f>OC!$B$3</f>
        <v>0</v>
      </c>
      <c r="O138" s="39">
        <f>OC!$B$5</f>
        <v>0</v>
      </c>
      <c r="P138" s="39">
        <f>OC!$B$8</f>
        <v>0</v>
      </c>
      <c r="Q138" s="39">
        <f>OC!$B$4</f>
        <v>0</v>
      </c>
      <c r="R138" s="43">
        <f>OC!J146</f>
        <v>0</v>
      </c>
      <c r="S138" s="43">
        <v>0</v>
      </c>
      <c r="T138" s="43">
        <f>OC!L146</f>
        <v>0</v>
      </c>
      <c r="U138" s="43">
        <f>OC!M146</f>
        <v>0</v>
      </c>
      <c r="V138" s="43">
        <f>OC!N146</f>
        <v>0</v>
      </c>
    </row>
    <row r="139" spans="1:22" s="31" customFormat="1" x14ac:dyDescent="0.3">
      <c r="A139" s="38">
        <f>OC!A147</f>
        <v>0</v>
      </c>
      <c r="B139" s="38">
        <f>OC!B147</f>
        <v>0</v>
      </c>
      <c r="C139" s="38">
        <f>OC!C147</f>
        <v>0</v>
      </c>
      <c r="D139" s="38">
        <f>OC!P147</f>
        <v>0</v>
      </c>
      <c r="E139" s="39">
        <f>OC!D147</f>
        <v>0</v>
      </c>
      <c r="F139" s="40">
        <f>OC!E147</f>
        <v>0</v>
      </c>
      <c r="G139" s="41">
        <f t="shared" si="6"/>
        <v>0</v>
      </c>
      <c r="H139" s="39">
        <f>IF(_xlfn.XLOOKUP(A139,[1]MACHOTE!A:A,[1]MACHOTE!V:V,0,0)="S",1.16,IF(_xlfn.XLOOKUP(A139,[1]MACHOTE!A:A,[1]MACHOTE!Y:Y,0,0)="S",1.08,1))</f>
        <v>1</v>
      </c>
      <c r="I139" s="39">
        <f t="shared" si="7"/>
        <v>0</v>
      </c>
      <c r="J139" s="42">
        <f t="shared" si="8"/>
        <v>0</v>
      </c>
      <c r="K139" s="39">
        <f>OC!$B$6</f>
        <v>0</v>
      </c>
      <c r="L139" s="39">
        <f>OC!$B$7</f>
        <v>0</v>
      </c>
      <c r="M139" s="39">
        <f>OC!$B$2</f>
        <v>0</v>
      </c>
      <c r="N139" s="44">
        <f>OC!$B$3</f>
        <v>0</v>
      </c>
      <c r="O139" s="39">
        <f>OC!$B$5</f>
        <v>0</v>
      </c>
      <c r="P139" s="39">
        <f>OC!$B$8</f>
        <v>0</v>
      </c>
      <c r="Q139" s="39">
        <f>OC!$B$4</f>
        <v>0</v>
      </c>
      <c r="R139" s="43">
        <f>OC!J147</f>
        <v>0</v>
      </c>
      <c r="S139" s="43">
        <v>0</v>
      </c>
      <c r="T139" s="43">
        <f>OC!L147</f>
        <v>0</v>
      </c>
      <c r="U139" s="43">
        <f>OC!M147</f>
        <v>0</v>
      </c>
      <c r="V139" s="43">
        <f>OC!N147</f>
        <v>0</v>
      </c>
    </row>
    <row r="140" spans="1:22" s="31" customFormat="1" x14ac:dyDescent="0.3">
      <c r="A140" s="38">
        <f>OC!A148</f>
        <v>0</v>
      </c>
      <c r="B140" s="38">
        <f>OC!B148</f>
        <v>0</v>
      </c>
      <c r="C140" s="38">
        <f>OC!C148</f>
        <v>0</v>
      </c>
      <c r="D140" s="38">
        <f>OC!P148</f>
        <v>0</v>
      </c>
      <c r="E140" s="39">
        <f>OC!D148</f>
        <v>0</v>
      </c>
      <c r="F140" s="40">
        <f>OC!E148</f>
        <v>0</v>
      </c>
      <c r="G140" s="41">
        <f t="shared" si="6"/>
        <v>0</v>
      </c>
      <c r="H140" s="39">
        <f>IF(_xlfn.XLOOKUP(A140,[1]MACHOTE!A:A,[1]MACHOTE!V:V,0,0)="S",1.16,IF(_xlfn.XLOOKUP(A140,[1]MACHOTE!A:A,[1]MACHOTE!Y:Y,0,0)="S",1.08,1))</f>
        <v>1</v>
      </c>
      <c r="I140" s="39">
        <f t="shared" si="7"/>
        <v>0</v>
      </c>
      <c r="J140" s="42">
        <f t="shared" si="8"/>
        <v>0</v>
      </c>
      <c r="K140" s="39">
        <f>OC!$B$6</f>
        <v>0</v>
      </c>
      <c r="L140" s="39">
        <f>OC!$B$7</f>
        <v>0</v>
      </c>
      <c r="M140" s="39">
        <f>OC!$B$2</f>
        <v>0</v>
      </c>
      <c r="N140" s="44">
        <f>OC!$B$3</f>
        <v>0</v>
      </c>
      <c r="O140" s="39">
        <f>OC!$B$5</f>
        <v>0</v>
      </c>
      <c r="P140" s="39">
        <f>OC!$B$8</f>
        <v>0</v>
      </c>
      <c r="Q140" s="39">
        <f>OC!$B$4</f>
        <v>0</v>
      </c>
      <c r="R140" s="43">
        <f>OC!J148</f>
        <v>0</v>
      </c>
      <c r="S140" s="43">
        <v>0</v>
      </c>
      <c r="T140" s="43">
        <f>OC!L148</f>
        <v>0</v>
      </c>
      <c r="U140" s="43">
        <f>OC!M148</f>
        <v>0</v>
      </c>
      <c r="V140" s="43">
        <f>OC!N148</f>
        <v>0</v>
      </c>
    </row>
    <row r="141" spans="1:22" s="31" customFormat="1" x14ac:dyDescent="0.3">
      <c r="A141" s="38">
        <f>OC!A149</f>
        <v>0</v>
      </c>
      <c r="B141" s="38">
        <f>OC!B149</f>
        <v>0</v>
      </c>
      <c r="C141" s="38">
        <f>OC!C149</f>
        <v>0</v>
      </c>
      <c r="D141" s="38">
        <f>OC!P149</f>
        <v>0</v>
      </c>
      <c r="E141" s="39">
        <f>OC!D149</f>
        <v>0</v>
      </c>
      <c r="F141" s="40">
        <f>OC!E149</f>
        <v>0</v>
      </c>
      <c r="G141" s="41">
        <f t="shared" si="6"/>
        <v>0</v>
      </c>
      <c r="H141" s="39">
        <f>IF(_xlfn.XLOOKUP(A141,[1]MACHOTE!A:A,[1]MACHOTE!V:V,0,0)="S",1.16,IF(_xlfn.XLOOKUP(A141,[1]MACHOTE!A:A,[1]MACHOTE!Y:Y,0,0)="S",1.08,1))</f>
        <v>1</v>
      </c>
      <c r="I141" s="39">
        <f t="shared" si="7"/>
        <v>0</v>
      </c>
      <c r="J141" s="42">
        <f t="shared" si="8"/>
        <v>0</v>
      </c>
      <c r="K141" s="39">
        <f>OC!$B$6</f>
        <v>0</v>
      </c>
      <c r="L141" s="39">
        <f>OC!$B$7</f>
        <v>0</v>
      </c>
      <c r="M141" s="39">
        <f>OC!$B$2</f>
        <v>0</v>
      </c>
      <c r="N141" s="44">
        <f>OC!$B$3</f>
        <v>0</v>
      </c>
      <c r="O141" s="39">
        <f>OC!$B$5</f>
        <v>0</v>
      </c>
      <c r="P141" s="39">
        <f>OC!$B$8</f>
        <v>0</v>
      </c>
      <c r="Q141" s="39">
        <f>OC!$B$4</f>
        <v>0</v>
      </c>
      <c r="R141" s="43">
        <f>OC!J149</f>
        <v>0</v>
      </c>
      <c r="S141" s="43">
        <v>0</v>
      </c>
      <c r="T141" s="43">
        <f>OC!L149</f>
        <v>0</v>
      </c>
      <c r="U141" s="43">
        <f>OC!M149</f>
        <v>0</v>
      </c>
      <c r="V141" s="43">
        <f>OC!N149</f>
        <v>0</v>
      </c>
    </row>
    <row r="142" spans="1:22" s="31" customFormat="1" x14ac:dyDescent="0.3">
      <c r="A142" s="38">
        <f>OC!A150</f>
        <v>0</v>
      </c>
      <c r="B142" s="38">
        <f>OC!B150</f>
        <v>0</v>
      </c>
      <c r="C142" s="38">
        <f>OC!C150</f>
        <v>0</v>
      </c>
      <c r="D142" s="38">
        <f>OC!P150</f>
        <v>0</v>
      </c>
      <c r="E142" s="39">
        <f>OC!D150</f>
        <v>0</v>
      </c>
      <c r="F142" s="40">
        <f>OC!E150</f>
        <v>0</v>
      </c>
      <c r="G142" s="41">
        <f t="shared" si="6"/>
        <v>0</v>
      </c>
      <c r="H142" s="39">
        <f>IF(_xlfn.XLOOKUP(A142,[1]MACHOTE!A:A,[1]MACHOTE!V:V,0,0)="S",1.16,IF(_xlfn.XLOOKUP(A142,[1]MACHOTE!A:A,[1]MACHOTE!Y:Y,0,0)="S",1.08,1))</f>
        <v>1</v>
      </c>
      <c r="I142" s="39">
        <f t="shared" si="7"/>
        <v>0</v>
      </c>
      <c r="J142" s="42">
        <f t="shared" si="8"/>
        <v>0</v>
      </c>
      <c r="K142" s="39">
        <f>OC!$B$6</f>
        <v>0</v>
      </c>
      <c r="L142" s="39">
        <f>OC!$B$7</f>
        <v>0</v>
      </c>
      <c r="M142" s="39">
        <f>OC!$B$2</f>
        <v>0</v>
      </c>
      <c r="N142" s="44">
        <f>OC!$B$3</f>
        <v>0</v>
      </c>
      <c r="O142" s="39">
        <f>OC!$B$5</f>
        <v>0</v>
      </c>
      <c r="P142" s="39">
        <f>OC!$B$8</f>
        <v>0</v>
      </c>
      <c r="Q142" s="39">
        <f>OC!$B$4</f>
        <v>0</v>
      </c>
      <c r="R142" s="43">
        <f>OC!J150</f>
        <v>0</v>
      </c>
      <c r="S142" s="43">
        <v>0</v>
      </c>
      <c r="T142" s="43">
        <f>OC!L150</f>
        <v>0</v>
      </c>
      <c r="U142" s="43">
        <f>OC!M150</f>
        <v>0</v>
      </c>
      <c r="V142" s="43">
        <f>OC!N150</f>
        <v>0</v>
      </c>
    </row>
    <row r="143" spans="1:22" s="31" customFormat="1" x14ac:dyDescent="0.3">
      <c r="A143" s="38">
        <f>OC!A151</f>
        <v>0</v>
      </c>
      <c r="B143" s="38">
        <f>OC!B151</f>
        <v>0</v>
      </c>
      <c r="C143" s="38">
        <f>OC!C151</f>
        <v>0</v>
      </c>
      <c r="D143" s="38">
        <f>OC!P151</f>
        <v>0</v>
      </c>
      <c r="E143" s="39">
        <f>OC!D151</f>
        <v>0</v>
      </c>
      <c r="F143" s="40">
        <f>OC!E151</f>
        <v>0</v>
      </c>
      <c r="G143" s="41">
        <f t="shared" si="6"/>
        <v>0</v>
      </c>
      <c r="H143" s="39">
        <f>IF(_xlfn.XLOOKUP(A143,[1]MACHOTE!A:A,[1]MACHOTE!V:V,0,0)="S",1.16,IF(_xlfn.XLOOKUP(A143,[1]MACHOTE!A:A,[1]MACHOTE!Y:Y,0,0)="S",1.08,1))</f>
        <v>1</v>
      </c>
      <c r="I143" s="39">
        <f t="shared" si="7"/>
        <v>0</v>
      </c>
      <c r="J143" s="42">
        <f t="shared" si="8"/>
        <v>0</v>
      </c>
      <c r="K143" s="39">
        <f>OC!$B$6</f>
        <v>0</v>
      </c>
      <c r="L143" s="39">
        <f>OC!$B$7</f>
        <v>0</v>
      </c>
      <c r="M143" s="39">
        <f>OC!$B$2</f>
        <v>0</v>
      </c>
      <c r="N143" s="44">
        <f>OC!$B$3</f>
        <v>0</v>
      </c>
      <c r="O143" s="39">
        <f>OC!$B$5</f>
        <v>0</v>
      </c>
      <c r="P143" s="39">
        <f>OC!$B$8</f>
        <v>0</v>
      </c>
      <c r="Q143" s="39">
        <f>OC!$B$4</f>
        <v>0</v>
      </c>
      <c r="R143" s="43">
        <f>OC!J151</f>
        <v>0</v>
      </c>
      <c r="S143" s="43">
        <v>0</v>
      </c>
      <c r="T143" s="43">
        <f>OC!L151</f>
        <v>0</v>
      </c>
      <c r="U143" s="43">
        <f>OC!M151</f>
        <v>0</v>
      </c>
      <c r="V143" s="43">
        <f>OC!N151</f>
        <v>0</v>
      </c>
    </row>
    <row r="144" spans="1:22" s="31" customFormat="1" x14ac:dyDescent="0.3">
      <c r="A144" s="38">
        <f>OC!A152</f>
        <v>0</v>
      </c>
      <c r="B144" s="38">
        <f>OC!B152</f>
        <v>0</v>
      </c>
      <c r="C144" s="38">
        <f>OC!C152</f>
        <v>0</v>
      </c>
      <c r="D144" s="38">
        <f>OC!P152</f>
        <v>0</v>
      </c>
      <c r="E144" s="39">
        <f>OC!D152</f>
        <v>0</v>
      </c>
      <c r="F144" s="40">
        <f>OC!E152</f>
        <v>0</v>
      </c>
      <c r="G144" s="41">
        <f t="shared" ref="G144:G207" si="9">C144*F144</f>
        <v>0</v>
      </c>
      <c r="H144" s="39">
        <f>IF(_xlfn.XLOOKUP(A144,[1]MACHOTE!A:A,[1]MACHOTE!V:V,0,0)="S",1.16,IF(_xlfn.XLOOKUP(A144,[1]MACHOTE!A:A,[1]MACHOTE!Y:Y,0,0)="S",1.08,1))</f>
        <v>1</v>
      </c>
      <c r="I144" s="39">
        <f t="shared" ref="I144:I207" si="10">E144*C144</f>
        <v>0</v>
      </c>
      <c r="J144" s="42">
        <f t="shared" ref="J144:J207" si="11">G144-I144</f>
        <v>0</v>
      </c>
      <c r="K144" s="39">
        <f>OC!$B$6</f>
        <v>0</v>
      </c>
      <c r="L144" s="39">
        <f>OC!$B$7</f>
        <v>0</v>
      </c>
      <c r="M144" s="39">
        <f>OC!$B$2</f>
        <v>0</v>
      </c>
      <c r="N144" s="44">
        <f>OC!$B$3</f>
        <v>0</v>
      </c>
      <c r="O144" s="39">
        <f>OC!$B$5</f>
        <v>0</v>
      </c>
      <c r="P144" s="39">
        <f>OC!$B$8</f>
        <v>0</v>
      </c>
      <c r="Q144" s="39">
        <f>OC!$B$4</f>
        <v>0</v>
      </c>
      <c r="R144" s="43">
        <f>OC!J152</f>
        <v>0</v>
      </c>
      <c r="S144" s="43">
        <v>0</v>
      </c>
      <c r="T144" s="43">
        <f>OC!L152</f>
        <v>0</v>
      </c>
      <c r="U144" s="43">
        <f>OC!M152</f>
        <v>0</v>
      </c>
      <c r="V144" s="43">
        <f>OC!N152</f>
        <v>0</v>
      </c>
    </row>
    <row r="145" spans="1:22" s="31" customFormat="1" x14ac:dyDescent="0.3">
      <c r="A145" s="38">
        <f>OC!A153</f>
        <v>0</v>
      </c>
      <c r="B145" s="38">
        <f>OC!B153</f>
        <v>0</v>
      </c>
      <c r="C145" s="38">
        <f>OC!C153</f>
        <v>0</v>
      </c>
      <c r="D145" s="38">
        <f>OC!P153</f>
        <v>0</v>
      </c>
      <c r="E145" s="39">
        <f>OC!D153</f>
        <v>0</v>
      </c>
      <c r="F145" s="40">
        <f>OC!E153</f>
        <v>0</v>
      </c>
      <c r="G145" s="41">
        <f t="shared" si="9"/>
        <v>0</v>
      </c>
      <c r="H145" s="39">
        <f>IF(_xlfn.XLOOKUP(A145,[1]MACHOTE!A:A,[1]MACHOTE!V:V,0,0)="S",1.16,IF(_xlfn.XLOOKUP(A145,[1]MACHOTE!A:A,[1]MACHOTE!Y:Y,0,0)="S",1.08,1))</f>
        <v>1</v>
      </c>
      <c r="I145" s="39">
        <f t="shared" si="10"/>
        <v>0</v>
      </c>
      <c r="J145" s="42">
        <f t="shared" si="11"/>
        <v>0</v>
      </c>
      <c r="K145" s="39">
        <f>OC!$B$6</f>
        <v>0</v>
      </c>
      <c r="L145" s="39">
        <f>OC!$B$7</f>
        <v>0</v>
      </c>
      <c r="M145" s="39">
        <f>OC!$B$2</f>
        <v>0</v>
      </c>
      <c r="N145" s="44">
        <f>OC!$B$3</f>
        <v>0</v>
      </c>
      <c r="O145" s="39">
        <f>OC!$B$5</f>
        <v>0</v>
      </c>
      <c r="P145" s="39">
        <f>OC!$B$8</f>
        <v>0</v>
      </c>
      <c r="Q145" s="39">
        <f>OC!$B$4</f>
        <v>0</v>
      </c>
      <c r="R145" s="43">
        <f>OC!J153</f>
        <v>0</v>
      </c>
      <c r="S145" s="43">
        <v>0</v>
      </c>
      <c r="T145" s="43">
        <f>OC!L153</f>
        <v>0</v>
      </c>
      <c r="U145" s="43">
        <f>OC!M153</f>
        <v>0</v>
      </c>
      <c r="V145" s="43">
        <f>OC!N153</f>
        <v>0</v>
      </c>
    </row>
    <row r="146" spans="1:22" s="31" customFormat="1" x14ac:dyDescent="0.3">
      <c r="A146" s="38">
        <f>OC!A154</f>
        <v>0</v>
      </c>
      <c r="B146" s="38">
        <f>OC!B154</f>
        <v>0</v>
      </c>
      <c r="C146" s="38">
        <f>OC!C154</f>
        <v>0</v>
      </c>
      <c r="D146" s="38">
        <f>OC!P154</f>
        <v>0</v>
      </c>
      <c r="E146" s="39">
        <f>OC!D154</f>
        <v>0</v>
      </c>
      <c r="F146" s="40">
        <f>OC!E154</f>
        <v>0</v>
      </c>
      <c r="G146" s="41">
        <f t="shared" si="9"/>
        <v>0</v>
      </c>
      <c r="H146" s="39">
        <f>IF(_xlfn.XLOOKUP(A146,[1]MACHOTE!A:A,[1]MACHOTE!V:V,0,0)="S",1.16,IF(_xlfn.XLOOKUP(A146,[1]MACHOTE!A:A,[1]MACHOTE!Y:Y,0,0)="S",1.08,1))</f>
        <v>1</v>
      </c>
      <c r="I146" s="39">
        <f t="shared" si="10"/>
        <v>0</v>
      </c>
      <c r="J146" s="42">
        <f t="shared" si="11"/>
        <v>0</v>
      </c>
      <c r="K146" s="39">
        <f>OC!$B$6</f>
        <v>0</v>
      </c>
      <c r="L146" s="39">
        <f>OC!$B$7</f>
        <v>0</v>
      </c>
      <c r="M146" s="39">
        <f>OC!$B$2</f>
        <v>0</v>
      </c>
      <c r="N146" s="44">
        <f>OC!$B$3</f>
        <v>0</v>
      </c>
      <c r="O146" s="39">
        <f>OC!$B$5</f>
        <v>0</v>
      </c>
      <c r="P146" s="39">
        <f>OC!$B$8</f>
        <v>0</v>
      </c>
      <c r="Q146" s="39">
        <f>OC!$B$4</f>
        <v>0</v>
      </c>
      <c r="R146" s="43">
        <f>OC!J154</f>
        <v>0</v>
      </c>
      <c r="S146" s="43">
        <v>0</v>
      </c>
      <c r="T146" s="43">
        <f>OC!L154</f>
        <v>0</v>
      </c>
      <c r="U146" s="43">
        <f>OC!M154</f>
        <v>0</v>
      </c>
      <c r="V146" s="43">
        <f>OC!N154</f>
        <v>0</v>
      </c>
    </row>
    <row r="147" spans="1:22" s="31" customFormat="1" x14ac:dyDescent="0.3">
      <c r="A147" s="38">
        <f>OC!A155</f>
        <v>0</v>
      </c>
      <c r="B147" s="38">
        <f>OC!B155</f>
        <v>0</v>
      </c>
      <c r="C147" s="38">
        <f>OC!C155</f>
        <v>0</v>
      </c>
      <c r="D147" s="38">
        <f>OC!P155</f>
        <v>0</v>
      </c>
      <c r="E147" s="39">
        <f>OC!D155</f>
        <v>0</v>
      </c>
      <c r="F147" s="40">
        <f>OC!E155</f>
        <v>0</v>
      </c>
      <c r="G147" s="41">
        <f t="shared" si="9"/>
        <v>0</v>
      </c>
      <c r="H147" s="39">
        <f>IF(_xlfn.XLOOKUP(A147,[1]MACHOTE!A:A,[1]MACHOTE!V:V,0,0)="S",1.16,IF(_xlfn.XLOOKUP(A147,[1]MACHOTE!A:A,[1]MACHOTE!Y:Y,0,0)="S",1.08,1))</f>
        <v>1</v>
      </c>
      <c r="I147" s="39">
        <f t="shared" si="10"/>
        <v>0</v>
      </c>
      <c r="J147" s="42">
        <f t="shared" si="11"/>
        <v>0</v>
      </c>
      <c r="K147" s="39">
        <f>OC!$B$6</f>
        <v>0</v>
      </c>
      <c r="L147" s="39">
        <f>OC!$B$7</f>
        <v>0</v>
      </c>
      <c r="M147" s="39">
        <f>OC!$B$2</f>
        <v>0</v>
      </c>
      <c r="N147" s="44">
        <f>OC!$B$3</f>
        <v>0</v>
      </c>
      <c r="O147" s="39">
        <f>OC!$B$5</f>
        <v>0</v>
      </c>
      <c r="P147" s="39">
        <f>OC!$B$8</f>
        <v>0</v>
      </c>
      <c r="Q147" s="39">
        <f>OC!$B$4</f>
        <v>0</v>
      </c>
      <c r="R147" s="43">
        <f>OC!J155</f>
        <v>0</v>
      </c>
      <c r="S147" s="43">
        <v>0</v>
      </c>
      <c r="T147" s="43">
        <f>OC!L155</f>
        <v>0</v>
      </c>
      <c r="U147" s="43">
        <f>OC!M155</f>
        <v>0</v>
      </c>
      <c r="V147" s="43">
        <f>OC!N155</f>
        <v>0</v>
      </c>
    </row>
    <row r="148" spans="1:22" s="31" customFormat="1" x14ac:dyDescent="0.3">
      <c r="A148" s="38">
        <f>OC!A156</f>
        <v>0</v>
      </c>
      <c r="B148" s="38">
        <f>OC!B156</f>
        <v>0</v>
      </c>
      <c r="C148" s="38">
        <f>OC!C156</f>
        <v>0</v>
      </c>
      <c r="D148" s="38">
        <f>OC!P156</f>
        <v>0</v>
      </c>
      <c r="E148" s="39">
        <f>OC!D156</f>
        <v>0</v>
      </c>
      <c r="F148" s="40">
        <f>OC!E156</f>
        <v>0</v>
      </c>
      <c r="G148" s="41">
        <f t="shared" si="9"/>
        <v>0</v>
      </c>
      <c r="H148" s="39">
        <f>IF(_xlfn.XLOOKUP(A148,[1]MACHOTE!A:A,[1]MACHOTE!V:V,0,0)="S",1.16,IF(_xlfn.XLOOKUP(A148,[1]MACHOTE!A:A,[1]MACHOTE!Y:Y,0,0)="S",1.08,1))</f>
        <v>1</v>
      </c>
      <c r="I148" s="39">
        <f t="shared" si="10"/>
        <v>0</v>
      </c>
      <c r="J148" s="42">
        <f t="shared" si="11"/>
        <v>0</v>
      </c>
      <c r="K148" s="39">
        <f>OC!$B$6</f>
        <v>0</v>
      </c>
      <c r="L148" s="39">
        <f>OC!$B$7</f>
        <v>0</v>
      </c>
      <c r="M148" s="39">
        <f>OC!$B$2</f>
        <v>0</v>
      </c>
      <c r="N148" s="44">
        <f>OC!$B$3</f>
        <v>0</v>
      </c>
      <c r="O148" s="39">
        <f>OC!$B$5</f>
        <v>0</v>
      </c>
      <c r="P148" s="39">
        <f>OC!$B$8</f>
        <v>0</v>
      </c>
      <c r="Q148" s="39">
        <f>OC!$B$4</f>
        <v>0</v>
      </c>
      <c r="R148" s="43">
        <f>OC!J156</f>
        <v>0</v>
      </c>
      <c r="S148" s="43">
        <v>0</v>
      </c>
      <c r="T148" s="43">
        <f>OC!L156</f>
        <v>0</v>
      </c>
      <c r="U148" s="43">
        <f>OC!M156</f>
        <v>0</v>
      </c>
      <c r="V148" s="43">
        <f>OC!N156</f>
        <v>0</v>
      </c>
    </row>
    <row r="149" spans="1:22" s="31" customFormat="1" x14ac:dyDescent="0.3">
      <c r="A149" s="38">
        <f>OC!A157</f>
        <v>0</v>
      </c>
      <c r="B149" s="38">
        <f>OC!B157</f>
        <v>0</v>
      </c>
      <c r="C149" s="38">
        <f>OC!C157</f>
        <v>0</v>
      </c>
      <c r="D149" s="38">
        <f>OC!P157</f>
        <v>0</v>
      </c>
      <c r="E149" s="39">
        <f>OC!D157</f>
        <v>0</v>
      </c>
      <c r="F149" s="40">
        <f>OC!E157</f>
        <v>0</v>
      </c>
      <c r="G149" s="41">
        <f t="shared" si="9"/>
        <v>0</v>
      </c>
      <c r="H149" s="39">
        <f>IF(_xlfn.XLOOKUP(A149,[1]MACHOTE!A:A,[1]MACHOTE!V:V,0,0)="S",1.16,IF(_xlfn.XLOOKUP(A149,[1]MACHOTE!A:A,[1]MACHOTE!Y:Y,0,0)="S",1.08,1))</f>
        <v>1</v>
      </c>
      <c r="I149" s="39">
        <f t="shared" si="10"/>
        <v>0</v>
      </c>
      <c r="J149" s="42">
        <f t="shared" si="11"/>
        <v>0</v>
      </c>
      <c r="K149" s="39">
        <f>OC!$B$6</f>
        <v>0</v>
      </c>
      <c r="L149" s="39">
        <f>OC!$B$7</f>
        <v>0</v>
      </c>
      <c r="M149" s="39">
        <f>OC!$B$2</f>
        <v>0</v>
      </c>
      <c r="N149" s="44">
        <f>OC!$B$3</f>
        <v>0</v>
      </c>
      <c r="O149" s="39">
        <f>OC!$B$5</f>
        <v>0</v>
      </c>
      <c r="P149" s="39">
        <f>OC!$B$8</f>
        <v>0</v>
      </c>
      <c r="Q149" s="39">
        <f>OC!$B$4</f>
        <v>0</v>
      </c>
      <c r="R149" s="43">
        <f>OC!J157</f>
        <v>0</v>
      </c>
      <c r="S149" s="43">
        <v>0</v>
      </c>
      <c r="T149" s="43">
        <f>OC!L157</f>
        <v>0</v>
      </c>
      <c r="U149" s="43">
        <f>OC!M157</f>
        <v>0</v>
      </c>
      <c r="V149" s="43">
        <f>OC!N157</f>
        <v>0</v>
      </c>
    </row>
    <row r="150" spans="1:22" s="31" customFormat="1" x14ac:dyDescent="0.3">
      <c r="A150" s="38">
        <f>OC!A158</f>
        <v>0</v>
      </c>
      <c r="B150" s="38">
        <f>OC!B158</f>
        <v>0</v>
      </c>
      <c r="C150" s="38">
        <f>OC!C158</f>
        <v>0</v>
      </c>
      <c r="D150" s="38">
        <f>OC!P158</f>
        <v>0</v>
      </c>
      <c r="E150" s="39">
        <f>OC!D158</f>
        <v>0</v>
      </c>
      <c r="F150" s="40">
        <f>OC!E158</f>
        <v>0</v>
      </c>
      <c r="G150" s="41">
        <f t="shared" si="9"/>
        <v>0</v>
      </c>
      <c r="H150" s="39">
        <f>IF(_xlfn.XLOOKUP(A150,[1]MACHOTE!A:A,[1]MACHOTE!V:V,0,0)="S",1.16,IF(_xlfn.XLOOKUP(A150,[1]MACHOTE!A:A,[1]MACHOTE!Y:Y,0,0)="S",1.08,1))</f>
        <v>1</v>
      </c>
      <c r="I150" s="39">
        <f t="shared" si="10"/>
        <v>0</v>
      </c>
      <c r="J150" s="42">
        <f t="shared" si="11"/>
        <v>0</v>
      </c>
      <c r="K150" s="39">
        <f>OC!$B$6</f>
        <v>0</v>
      </c>
      <c r="L150" s="39">
        <f>OC!$B$7</f>
        <v>0</v>
      </c>
      <c r="M150" s="39">
        <f>OC!$B$2</f>
        <v>0</v>
      </c>
      <c r="N150" s="44">
        <f>OC!$B$3</f>
        <v>0</v>
      </c>
      <c r="O150" s="39">
        <f>OC!$B$5</f>
        <v>0</v>
      </c>
      <c r="P150" s="39">
        <f>OC!$B$8</f>
        <v>0</v>
      </c>
      <c r="Q150" s="39">
        <f>OC!$B$4</f>
        <v>0</v>
      </c>
      <c r="R150" s="43">
        <f>OC!J158</f>
        <v>0</v>
      </c>
      <c r="S150" s="43">
        <v>0</v>
      </c>
      <c r="T150" s="43">
        <f>OC!L158</f>
        <v>0</v>
      </c>
      <c r="U150" s="43">
        <f>OC!M158</f>
        <v>0</v>
      </c>
      <c r="V150" s="43">
        <f>OC!N158</f>
        <v>0</v>
      </c>
    </row>
    <row r="151" spans="1:22" s="31" customFormat="1" x14ac:dyDescent="0.3">
      <c r="A151" s="38">
        <f>OC!A159</f>
        <v>0</v>
      </c>
      <c r="B151" s="38">
        <f>OC!B159</f>
        <v>0</v>
      </c>
      <c r="C151" s="38">
        <f>OC!C159</f>
        <v>0</v>
      </c>
      <c r="D151" s="38">
        <f>OC!P159</f>
        <v>0</v>
      </c>
      <c r="E151" s="39">
        <f>OC!D159</f>
        <v>0</v>
      </c>
      <c r="F151" s="40">
        <f>OC!E159</f>
        <v>0</v>
      </c>
      <c r="G151" s="41">
        <f t="shared" si="9"/>
        <v>0</v>
      </c>
      <c r="H151" s="39">
        <f>IF(_xlfn.XLOOKUP(A151,[1]MACHOTE!A:A,[1]MACHOTE!V:V,0,0)="S",1.16,IF(_xlfn.XLOOKUP(A151,[1]MACHOTE!A:A,[1]MACHOTE!Y:Y,0,0)="S",1.08,1))</f>
        <v>1</v>
      </c>
      <c r="I151" s="39">
        <f t="shared" si="10"/>
        <v>0</v>
      </c>
      <c r="J151" s="42">
        <f t="shared" si="11"/>
        <v>0</v>
      </c>
      <c r="K151" s="39">
        <f>OC!$B$6</f>
        <v>0</v>
      </c>
      <c r="L151" s="39">
        <f>OC!$B$7</f>
        <v>0</v>
      </c>
      <c r="M151" s="39">
        <f>OC!$B$2</f>
        <v>0</v>
      </c>
      <c r="N151" s="44">
        <f>OC!$B$3</f>
        <v>0</v>
      </c>
      <c r="O151" s="39">
        <f>OC!$B$5</f>
        <v>0</v>
      </c>
      <c r="P151" s="39">
        <f>OC!$B$8</f>
        <v>0</v>
      </c>
      <c r="Q151" s="39">
        <f>OC!$B$4</f>
        <v>0</v>
      </c>
      <c r="R151" s="43">
        <f>OC!J159</f>
        <v>0</v>
      </c>
      <c r="S151" s="43">
        <v>0</v>
      </c>
      <c r="T151" s="43">
        <f>OC!L159</f>
        <v>0</v>
      </c>
      <c r="U151" s="43">
        <f>OC!M159</f>
        <v>0</v>
      </c>
      <c r="V151" s="43">
        <f>OC!N159</f>
        <v>0</v>
      </c>
    </row>
    <row r="152" spans="1:22" s="31" customFormat="1" x14ac:dyDescent="0.3">
      <c r="A152" s="38">
        <f>OC!A160</f>
        <v>0</v>
      </c>
      <c r="B152" s="38">
        <f>OC!B160</f>
        <v>0</v>
      </c>
      <c r="C152" s="38">
        <f>OC!C160</f>
        <v>0</v>
      </c>
      <c r="D152" s="38">
        <f>OC!P160</f>
        <v>0</v>
      </c>
      <c r="E152" s="39">
        <f>OC!D160</f>
        <v>0</v>
      </c>
      <c r="F152" s="40">
        <f>OC!E160</f>
        <v>0</v>
      </c>
      <c r="G152" s="41">
        <f t="shared" si="9"/>
        <v>0</v>
      </c>
      <c r="H152" s="39">
        <f>IF(_xlfn.XLOOKUP(A152,[1]MACHOTE!A:A,[1]MACHOTE!V:V,0,0)="S",1.16,IF(_xlfn.XLOOKUP(A152,[1]MACHOTE!A:A,[1]MACHOTE!Y:Y,0,0)="S",1.08,1))</f>
        <v>1</v>
      </c>
      <c r="I152" s="39">
        <f t="shared" si="10"/>
        <v>0</v>
      </c>
      <c r="J152" s="42">
        <f t="shared" si="11"/>
        <v>0</v>
      </c>
      <c r="K152" s="39">
        <f>OC!$B$6</f>
        <v>0</v>
      </c>
      <c r="L152" s="39">
        <f>OC!$B$7</f>
        <v>0</v>
      </c>
      <c r="M152" s="39">
        <f>OC!$B$2</f>
        <v>0</v>
      </c>
      <c r="N152" s="44">
        <f>OC!$B$3</f>
        <v>0</v>
      </c>
      <c r="O152" s="39">
        <f>OC!$B$5</f>
        <v>0</v>
      </c>
      <c r="P152" s="39">
        <f>OC!$B$8</f>
        <v>0</v>
      </c>
      <c r="Q152" s="39">
        <f>OC!$B$4</f>
        <v>0</v>
      </c>
      <c r="R152" s="43">
        <f>OC!J160</f>
        <v>0</v>
      </c>
      <c r="S152" s="43">
        <v>0</v>
      </c>
      <c r="T152" s="43">
        <f>OC!L160</f>
        <v>0</v>
      </c>
      <c r="U152" s="43">
        <f>OC!M160</f>
        <v>0</v>
      </c>
      <c r="V152" s="43">
        <f>OC!N160</f>
        <v>0</v>
      </c>
    </row>
    <row r="153" spans="1:22" s="31" customFormat="1" x14ac:dyDescent="0.3">
      <c r="A153" s="38">
        <f>OC!A161</f>
        <v>0</v>
      </c>
      <c r="B153" s="38">
        <f>OC!B161</f>
        <v>0</v>
      </c>
      <c r="C153" s="38">
        <f>OC!C161</f>
        <v>0</v>
      </c>
      <c r="D153" s="38">
        <f>OC!P161</f>
        <v>0</v>
      </c>
      <c r="E153" s="39">
        <f>OC!D161</f>
        <v>0</v>
      </c>
      <c r="F153" s="40">
        <f>OC!E161</f>
        <v>0</v>
      </c>
      <c r="G153" s="41">
        <f t="shared" si="9"/>
        <v>0</v>
      </c>
      <c r="H153" s="39">
        <f>IF(_xlfn.XLOOKUP(A153,[1]MACHOTE!A:A,[1]MACHOTE!V:V,0,0)="S",1.16,IF(_xlfn.XLOOKUP(A153,[1]MACHOTE!A:A,[1]MACHOTE!Y:Y,0,0)="S",1.08,1))</f>
        <v>1</v>
      </c>
      <c r="I153" s="39">
        <f t="shared" si="10"/>
        <v>0</v>
      </c>
      <c r="J153" s="42">
        <f t="shared" si="11"/>
        <v>0</v>
      </c>
      <c r="K153" s="39">
        <f>OC!$B$6</f>
        <v>0</v>
      </c>
      <c r="L153" s="39">
        <f>OC!$B$7</f>
        <v>0</v>
      </c>
      <c r="M153" s="39">
        <f>OC!$B$2</f>
        <v>0</v>
      </c>
      <c r="N153" s="44">
        <f>OC!$B$3</f>
        <v>0</v>
      </c>
      <c r="O153" s="39">
        <f>OC!$B$5</f>
        <v>0</v>
      </c>
      <c r="P153" s="39">
        <f>OC!$B$8</f>
        <v>0</v>
      </c>
      <c r="Q153" s="39">
        <f>OC!$B$4</f>
        <v>0</v>
      </c>
      <c r="R153" s="43">
        <f>OC!J161</f>
        <v>0</v>
      </c>
      <c r="S153" s="43">
        <v>0</v>
      </c>
      <c r="T153" s="43">
        <f>OC!L161</f>
        <v>0</v>
      </c>
      <c r="U153" s="43">
        <f>OC!M161</f>
        <v>0</v>
      </c>
      <c r="V153" s="43">
        <f>OC!N161</f>
        <v>0</v>
      </c>
    </row>
    <row r="154" spans="1:22" s="31" customFormat="1" x14ac:dyDescent="0.3">
      <c r="A154" s="38">
        <f>OC!A162</f>
        <v>0</v>
      </c>
      <c r="B154" s="38">
        <f>OC!B162</f>
        <v>0</v>
      </c>
      <c r="C154" s="38">
        <f>OC!C162</f>
        <v>0</v>
      </c>
      <c r="D154" s="38">
        <f>OC!P162</f>
        <v>0</v>
      </c>
      <c r="E154" s="39">
        <f>OC!D162</f>
        <v>0</v>
      </c>
      <c r="F154" s="40">
        <f>OC!E162</f>
        <v>0</v>
      </c>
      <c r="G154" s="41">
        <f t="shared" si="9"/>
        <v>0</v>
      </c>
      <c r="H154" s="39">
        <f>IF(_xlfn.XLOOKUP(A154,[1]MACHOTE!A:A,[1]MACHOTE!V:V,0,0)="S",1.16,IF(_xlfn.XLOOKUP(A154,[1]MACHOTE!A:A,[1]MACHOTE!Y:Y,0,0)="S",1.08,1))</f>
        <v>1</v>
      </c>
      <c r="I154" s="39">
        <f t="shared" si="10"/>
        <v>0</v>
      </c>
      <c r="J154" s="42">
        <f t="shared" si="11"/>
        <v>0</v>
      </c>
      <c r="K154" s="39">
        <f>OC!$B$6</f>
        <v>0</v>
      </c>
      <c r="L154" s="39">
        <f>OC!$B$7</f>
        <v>0</v>
      </c>
      <c r="M154" s="39">
        <f>OC!$B$2</f>
        <v>0</v>
      </c>
      <c r="N154" s="44">
        <f>OC!$B$3</f>
        <v>0</v>
      </c>
      <c r="O154" s="39">
        <f>OC!$B$5</f>
        <v>0</v>
      </c>
      <c r="P154" s="39">
        <f>OC!$B$8</f>
        <v>0</v>
      </c>
      <c r="Q154" s="39">
        <f>OC!$B$4</f>
        <v>0</v>
      </c>
      <c r="R154" s="43">
        <f>OC!J162</f>
        <v>0</v>
      </c>
      <c r="S154" s="43">
        <v>0</v>
      </c>
      <c r="T154" s="43">
        <f>OC!L162</f>
        <v>0</v>
      </c>
      <c r="U154" s="43">
        <f>OC!M162</f>
        <v>0</v>
      </c>
      <c r="V154" s="43">
        <f>OC!N162</f>
        <v>0</v>
      </c>
    </row>
    <row r="155" spans="1:22" s="31" customFormat="1" x14ac:dyDescent="0.3">
      <c r="A155" s="38">
        <f>OC!A163</f>
        <v>0</v>
      </c>
      <c r="B155" s="38">
        <f>OC!B163</f>
        <v>0</v>
      </c>
      <c r="C155" s="38">
        <f>OC!C163</f>
        <v>0</v>
      </c>
      <c r="D155" s="38">
        <f>OC!P163</f>
        <v>0</v>
      </c>
      <c r="E155" s="39">
        <f>OC!D163</f>
        <v>0</v>
      </c>
      <c r="F155" s="40">
        <f>OC!E163</f>
        <v>0</v>
      </c>
      <c r="G155" s="41">
        <f t="shared" si="9"/>
        <v>0</v>
      </c>
      <c r="H155" s="39">
        <f>IF(_xlfn.XLOOKUP(A155,[1]MACHOTE!A:A,[1]MACHOTE!V:V,0,0)="S",1.16,IF(_xlfn.XLOOKUP(A155,[1]MACHOTE!A:A,[1]MACHOTE!Y:Y,0,0)="S",1.08,1))</f>
        <v>1</v>
      </c>
      <c r="I155" s="39">
        <f t="shared" si="10"/>
        <v>0</v>
      </c>
      <c r="J155" s="42">
        <f t="shared" si="11"/>
        <v>0</v>
      </c>
      <c r="K155" s="39">
        <f>OC!$B$6</f>
        <v>0</v>
      </c>
      <c r="L155" s="39">
        <f>OC!$B$7</f>
        <v>0</v>
      </c>
      <c r="M155" s="39">
        <f>OC!$B$2</f>
        <v>0</v>
      </c>
      <c r="N155" s="44">
        <f>OC!$B$3</f>
        <v>0</v>
      </c>
      <c r="O155" s="39">
        <f>OC!$B$5</f>
        <v>0</v>
      </c>
      <c r="P155" s="39">
        <f>OC!$B$8</f>
        <v>0</v>
      </c>
      <c r="Q155" s="39">
        <f>OC!$B$4</f>
        <v>0</v>
      </c>
      <c r="R155" s="43">
        <f>OC!J163</f>
        <v>0</v>
      </c>
      <c r="S155" s="43">
        <v>0</v>
      </c>
      <c r="T155" s="43">
        <f>OC!L163</f>
        <v>0</v>
      </c>
      <c r="U155" s="43">
        <f>OC!M163</f>
        <v>0</v>
      </c>
      <c r="V155" s="43">
        <f>OC!N163</f>
        <v>0</v>
      </c>
    </row>
    <row r="156" spans="1:22" s="31" customFormat="1" x14ac:dyDescent="0.3">
      <c r="A156" s="38">
        <f>OC!A164</f>
        <v>0</v>
      </c>
      <c r="B156" s="38">
        <f>OC!B164</f>
        <v>0</v>
      </c>
      <c r="C156" s="38">
        <f>OC!C164</f>
        <v>0</v>
      </c>
      <c r="D156" s="38">
        <f>OC!P164</f>
        <v>0</v>
      </c>
      <c r="E156" s="39">
        <f>OC!D164</f>
        <v>0</v>
      </c>
      <c r="F156" s="40">
        <f>OC!E164</f>
        <v>0</v>
      </c>
      <c r="G156" s="41">
        <f t="shared" si="9"/>
        <v>0</v>
      </c>
      <c r="H156" s="39">
        <f>IF(_xlfn.XLOOKUP(A156,[1]MACHOTE!A:A,[1]MACHOTE!V:V,0,0)="S",1.16,IF(_xlfn.XLOOKUP(A156,[1]MACHOTE!A:A,[1]MACHOTE!Y:Y,0,0)="S",1.08,1))</f>
        <v>1</v>
      </c>
      <c r="I156" s="39">
        <f t="shared" si="10"/>
        <v>0</v>
      </c>
      <c r="J156" s="42">
        <f t="shared" si="11"/>
        <v>0</v>
      </c>
      <c r="K156" s="39">
        <f>OC!$B$6</f>
        <v>0</v>
      </c>
      <c r="L156" s="39">
        <f>OC!$B$7</f>
        <v>0</v>
      </c>
      <c r="M156" s="39">
        <f>OC!$B$2</f>
        <v>0</v>
      </c>
      <c r="N156" s="44">
        <f>OC!$B$3</f>
        <v>0</v>
      </c>
      <c r="O156" s="39">
        <f>OC!$B$5</f>
        <v>0</v>
      </c>
      <c r="P156" s="39">
        <f>OC!$B$8</f>
        <v>0</v>
      </c>
      <c r="Q156" s="39">
        <f>OC!$B$4</f>
        <v>0</v>
      </c>
      <c r="R156" s="43">
        <f>OC!J164</f>
        <v>0</v>
      </c>
      <c r="S156" s="43">
        <v>0</v>
      </c>
      <c r="T156" s="43">
        <f>OC!L164</f>
        <v>0</v>
      </c>
      <c r="U156" s="43">
        <f>OC!M164</f>
        <v>0</v>
      </c>
      <c r="V156" s="43">
        <f>OC!N164</f>
        <v>0</v>
      </c>
    </row>
    <row r="157" spans="1:22" s="31" customFormat="1" x14ac:dyDescent="0.3">
      <c r="A157" s="38">
        <f>OC!A165</f>
        <v>0</v>
      </c>
      <c r="B157" s="38">
        <f>OC!B165</f>
        <v>0</v>
      </c>
      <c r="C157" s="38">
        <f>OC!C165</f>
        <v>0</v>
      </c>
      <c r="D157" s="38">
        <f>OC!P165</f>
        <v>0</v>
      </c>
      <c r="E157" s="39">
        <f>OC!D165</f>
        <v>0</v>
      </c>
      <c r="F157" s="40">
        <f>OC!E165</f>
        <v>0</v>
      </c>
      <c r="G157" s="41">
        <f t="shared" si="9"/>
        <v>0</v>
      </c>
      <c r="H157" s="39">
        <f>IF(_xlfn.XLOOKUP(A157,[1]MACHOTE!A:A,[1]MACHOTE!V:V,0,0)="S",1.16,IF(_xlfn.XLOOKUP(A157,[1]MACHOTE!A:A,[1]MACHOTE!Y:Y,0,0)="S",1.08,1))</f>
        <v>1</v>
      </c>
      <c r="I157" s="39">
        <f t="shared" si="10"/>
        <v>0</v>
      </c>
      <c r="J157" s="42">
        <f t="shared" si="11"/>
        <v>0</v>
      </c>
      <c r="K157" s="39">
        <f>OC!$B$6</f>
        <v>0</v>
      </c>
      <c r="L157" s="39">
        <f>OC!$B$7</f>
        <v>0</v>
      </c>
      <c r="M157" s="39">
        <f>OC!$B$2</f>
        <v>0</v>
      </c>
      <c r="N157" s="44">
        <f>OC!$B$3</f>
        <v>0</v>
      </c>
      <c r="O157" s="39">
        <f>OC!$B$5</f>
        <v>0</v>
      </c>
      <c r="P157" s="39">
        <f>OC!$B$8</f>
        <v>0</v>
      </c>
      <c r="Q157" s="39">
        <f>OC!$B$4</f>
        <v>0</v>
      </c>
      <c r="R157" s="43">
        <f>OC!J165</f>
        <v>0</v>
      </c>
      <c r="S157" s="43">
        <v>0</v>
      </c>
      <c r="T157" s="43">
        <f>OC!L165</f>
        <v>0</v>
      </c>
      <c r="U157" s="43">
        <f>OC!M165</f>
        <v>0</v>
      </c>
      <c r="V157" s="43">
        <f>OC!N165</f>
        <v>0</v>
      </c>
    </row>
    <row r="158" spans="1:22" s="31" customFormat="1" x14ac:dyDescent="0.3">
      <c r="A158" s="38">
        <f>OC!A166</f>
        <v>0</v>
      </c>
      <c r="B158" s="38">
        <f>OC!B166</f>
        <v>0</v>
      </c>
      <c r="C158" s="38">
        <f>OC!C166</f>
        <v>0</v>
      </c>
      <c r="D158" s="38">
        <f>OC!P166</f>
        <v>0</v>
      </c>
      <c r="E158" s="39">
        <f>OC!D166</f>
        <v>0</v>
      </c>
      <c r="F158" s="40">
        <f>OC!E166</f>
        <v>0</v>
      </c>
      <c r="G158" s="41">
        <f t="shared" si="9"/>
        <v>0</v>
      </c>
      <c r="H158" s="39">
        <f>IF(_xlfn.XLOOKUP(A158,[1]MACHOTE!A:A,[1]MACHOTE!V:V,0,0)="S",1.16,IF(_xlfn.XLOOKUP(A158,[1]MACHOTE!A:A,[1]MACHOTE!Y:Y,0,0)="S",1.08,1))</f>
        <v>1</v>
      </c>
      <c r="I158" s="39">
        <f t="shared" si="10"/>
        <v>0</v>
      </c>
      <c r="J158" s="42">
        <f t="shared" si="11"/>
        <v>0</v>
      </c>
      <c r="K158" s="39">
        <f>OC!$B$6</f>
        <v>0</v>
      </c>
      <c r="L158" s="39">
        <f>OC!$B$7</f>
        <v>0</v>
      </c>
      <c r="M158" s="39">
        <f>OC!$B$2</f>
        <v>0</v>
      </c>
      <c r="N158" s="44">
        <f>OC!$B$3</f>
        <v>0</v>
      </c>
      <c r="O158" s="39">
        <f>OC!$B$5</f>
        <v>0</v>
      </c>
      <c r="P158" s="39">
        <f>OC!$B$8</f>
        <v>0</v>
      </c>
      <c r="Q158" s="39">
        <f>OC!$B$4</f>
        <v>0</v>
      </c>
      <c r="R158" s="43">
        <f>OC!J166</f>
        <v>0</v>
      </c>
      <c r="S158" s="43">
        <v>0</v>
      </c>
      <c r="T158" s="43">
        <f>OC!L166</f>
        <v>0</v>
      </c>
      <c r="U158" s="43">
        <f>OC!M166</f>
        <v>0</v>
      </c>
      <c r="V158" s="43">
        <f>OC!N166</f>
        <v>0</v>
      </c>
    </row>
    <row r="159" spans="1:22" s="31" customFormat="1" x14ac:dyDescent="0.3">
      <c r="A159" s="38">
        <f>OC!A167</f>
        <v>0</v>
      </c>
      <c r="B159" s="38">
        <f>OC!B167</f>
        <v>0</v>
      </c>
      <c r="C159" s="38">
        <f>OC!C167</f>
        <v>0</v>
      </c>
      <c r="D159" s="38">
        <f>OC!P167</f>
        <v>0</v>
      </c>
      <c r="E159" s="39">
        <f>OC!D167</f>
        <v>0</v>
      </c>
      <c r="F159" s="40">
        <f>OC!E167</f>
        <v>0</v>
      </c>
      <c r="G159" s="41">
        <f t="shared" si="9"/>
        <v>0</v>
      </c>
      <c r="H159" s="39">
        <f>IF(_xlfn.XLOOKUP(A159,[1]MACHOTE!A:A,[1]MACHOTE!V:V,0,0)="S",1.16,IF(_xlfn.XLOOKUP(A159,[1]MACHOTE!A:A,[1]MACHOTE!Y:Y,0,0)="S",1.08,1))</f>
        <v>1</v>
      </c>
      <c r="I159" s="39">
        <f t="shared" si="10"/>
        <v>0</v>
      </c>
      <c r="J159" s="42">
        <f t="shared" si="11"/>
        <v>0</v>
      </c>
      <c r="K159" s="39">
        <f>OC!$B$6</f>
        <v>0</v>
      </c>
      <c r="L159" s="39">
        <f>OC!$B$7</f>
        <v>0</v>
      </c>
      <c r="M159" s="39">
        <f>OC!$B$2</f>
        <v>0</v>
      </c>
      <c r="N159" s="44">
        <f>OC!$B$3</f>
        <v>0</v>
      </c>
      <c r="O159" s="39">
        <f>OC!$B$5</f>
        <v>0</v>
      </c>
      <c r="P159" s="39">
        <f>OC!$B$8</f>
        <v>0</v>
      </c>
      <c r="Q159" s="39">
        <f>OC!$B$4</f>
        <v>0</v>
      </c>
      <c r="R159" s="43">
        <f>OC!J167</f>
        <v>0</v>
      </c>
      <c r="S159" s="43">
        <v>0</v>
      </c>
      <c r="T159" s="43">
        <f>OC!L167</f>
        <v>0</v>
      </c>
      <c r="U159" s="43">
        <f>OC!M167</f>
        <v>0</v>
      </c>
      <c r="V159" s="43">
        <f>OC!N167</f>
        <v>0</v>
      </c>
    </row>
    <row r="160" spans="1:22" s="31" customFormat="1" x14ac:dyDescent="0.3">
      <c r="A160" s="38">
        <f>OC!A168</f>
        <v>0</v>
      </c>
      <c r="B160" s="38">
        <f>OC!B168</f>
        <v>0</v>
      </c>
      <c r="C160" s="38">
        <f>OC!C168</f>
        <v>0</v>
      </c>
      <c r="D160" s="38">
        <f>OC!P168</f>
        <v>0</v>
      </c>
      <c r="E160" s="39">
        <f>OC!D168</f>
        <v>0</v>
      </c>
      <c r="F160" s="40">
        <f>OC!E168</f>
        <v>0</v>
      </c>
      <c r="G160" s="41">
        <f t="shared" si="9"/>
        <v>0</v>
      </c>
      <c r="H160" s="39">
        <f>IF(_xlfn.XLOOKUP(A160,[1]MACHOTE!A:A,[1]MACHOTE!V:V,0,0)="S",1.16,IF(_xlfn.XLOOKUP(A160,[1]MACHOTE!A:A,[1]MACHOTE!Y:Y,0,0)="S",1.08,1))</f>
        <v>1</v>
      </c>
      <c r="I160" s="39">
        <f t="shared" si="10"/>
        <v>0</v>
      </c>
      <c r="J160" s="42">
        <f t="shared" si="11"/>
        <v>0</v>
      </c>
      <c r="K160" s="39">
        <f>OC!$B$6</f>
        <v>0</v>
      </c>
      <c r="L160" s="39">
        <f>OC!$B$7</f>
        <v>0</v>
      </c>
      <c r="M160" s="39">
        <f>OC!$B$2</f>
        <v>0</v>
      </c>
      <c r="N160" s="44">
        <f>OC!$B$3</f>
        <v>0</v>
      </c>
      <c r="O160" s="39">
        <f>OC!$B$5</f>
        <v>0</v>
      </c>
      <c r="P160" s="39">
        <f>OC!$B$8</f>
        <v>0</v>
      </c>
      <c r="Q160" s="39">
        <f>OC!$B$4</f>
        <v>0</v>
      </c>
      <c r="R160" s="43">
        <f>OC!J168</f>
        <v>0</v>
      </c>
      <c r="S160" s="43">
        <v>0</v>
      </c>
      <c r="T160" s="43">
        <f>OC!L168</f>
        <v>0</v>
      </c>
      <c r="U160" s="43">
        <f>OC!M168</f>
        <v>0</v>
      </c>
      <c r="V160" s="43">
        <f>OC!N168</f>
        <v>0</v>
      </c>
    </row>
    <row r="161" spans="1:22" s="31" customFormat="1" x14ac:dyDescent="0.3">
      <c r="A161" s="38">
        <f>OC!A169</f>
        <v>0</v>
      </c>
      <c r="B161" s="38">
        <f>OC!B169</f>
        <v>0</v>
      </c>
      <c r="C161" s="38">
        <f>OC!C169</f>
        <v>0</v>
      </c>
      <c r="D161" s="38">
        <f>OC!P169</f>
        <v>0</v>
      </c>
      <c r="E161" s="39">
        <f>OC!D169</f>
        <v>0</v>
      </c>
      <c r="F161" s="40">
        <f>OC!E169</f>
        <v>0</v>
      </c>
      <c r="G161" s="41">
        <f t="shared" si="9"/>
        <v>0</v>
      </c>
      <c r="H161" s="39">
        <f>IF(_xlfn.XLOOKUP(A161,[1]MACHOTE!A:A,[1]MACHOTE!V:V,0,0)="S",1.16,IF(_xlfn.XLOOKUP(A161,[1]MACHOTE!A:A,[1]MACHOTE!Y:Y,0,0)="S",1.08,1))</f>
        <v>1</v>
      </c>
      <c r="I161" s="39">
        <f t="shared" si="10"/>
        <v>0</v>
      </c>
      <c r="J161" s="42">
        <f t="shared" si="11"/>
        <v>0</v>
      </c>
      <c r="K161" s="39">
        <f>OC!$B$6</f>
        <v>0</v>
      </c>
      <c r="L161" s="39">
        <f>OC!$B$7</f>
        <v>0</v>
      </c>
      <c r="M161" s="39">
        <f>OC!$B$2</f>
        <v>0</v>
      </c>
      <c r="N161" s="44">
        <f>OC!$B$3</f>
        <v>0</v>
      </c>
      <c r="O161" s="39">
        <f>OC!$B$5</f>
        <v>0</v>
      </c>
      <c r="P161" s="39">
        <f>OC!$B$8</f>
        <v>0</v>
      </c>
      <c r="Q161" s="39">
        <f>OC!$B$4</f>
        <v>0</v>
      </c>
      <c r="R161" s="43">
        <f>OC!J169</f>
        <v>0</v>
      </c>
      <c r="S161" s="43">
        <v>0</v>
      </c>
      <c r="T161" s="43">
        <f>OC!L169</f>
        <v>0</v>
      </c>
      <c r="U161" s="43">
        <f>OC!M169</f>
        <v>0</v>
      </c>
      <c r="V161" s="43">
        <f>OC!N169</f>
        <v>0</v>
      </c>
    </row>
    <row r="162" spans="1:22" s="31" customFormat="1" x14ac:dyDescent="0.3">
      <c r="A162" s="38">
        <f>OC!A170</f>
        <v>0</v>
      </c>
      <c r="B162" s="38">
        <f>OC!B170</f>
        <v>0</v>
      </c>
      <c r="C162" s="38">
        <f>OC!C170</f>
        <v>0</v>
      </c>
      <c r="D162" s="38">
        <f>OC!P170</f>
        <v>0</v>
      </c>
      <c r="E162" s="39">
        <f>OC!D170</f>
        <v>0</v>
      </c>
      <c r="F162" s="40">
        <f>OC!E170</f>
        <v>0</v>
      </c>
      <c r="G162" s="41">
        <f t="shared" si="9"/>
        <v>0</v>
      </c>
      <c r="H162" s="39">
        <f>IF(_xlfn.XLOOKUP(A162,[1]MACHOTE!A:A,[1]MACHOTE!V:V,0,0)="S",1.16,IF(_xlfn.XLOOKUP(A162,[1]MACHOTE!A:A,[1]MACHOTE!Y:Y,0,0)="S",1.08,1))</f>
        <v>1</v>
      </c>
      <c r="I162" s="39">
        <f t="shared" si="10"/>
        <v>0</v>
      </c>
      <c r="J162" s="42">
        <f t="shared" si="11"/>
        <v>0</v>
      </c>
      <c r="K162" s="39">
        <f>OC!$B$6</f>
        <v>0</v>
      </c>
      <c r="L162" s="39">
        <f>OC!$B$7</f>
        <v>0</v>
      </c>
      <c r="M162" s="39">
        <f>OC!$B$2</f>
        <v>0</v>
      </c>
      <c r="N162" s="44">
        <f>OC!$B$3</f>
        <v>0</v>
      </c>
      <c r="O162" s="39">
        <f>OC!$B$5</f>
        <v>0</v>
      </c>
      <c r="P162" s="39">
        <f>OC!$B$8</f>
        <v>0</v>
      </c>
      <c r="Q162" s="39">
        <f>OC!$B$4</f>
        <v>0</v>
      </c>
      <c r="R162" s="43">
        <f>OC!J170</f>
        <v>0</v>
      </c>
      <c r="S162" s="43">
        <v>0</v>
      </c>
      <c r="T162" s="43">
        <f>OC!L170</f>
        <v>0</v>
      </c>
      <c r="U162" s="43">
        <f>OC!M170</f>
        <v>0</v>
      </c>
      <c r="V162" s="43">
        <f>OC!N170</f>
        <v>0</v>
      </c>
    </row>
    <row r="163" spans="1:22" s="31" customFormat="1" x14ac:dyDescent="0.3">
      <c r="A163" s="38">
        <f>OC!A171</f>
        <v>0</v>
      </c>
      <c r="B163" s="38">
        <f>OC!B171</f>
        <v>0</v>
      </c>
      <c r="C163" s="38">
        <f>OC!C171</f>
        <v>0</v>
      </c>
      <c r="D163" s="38">
        <f>OC!P171</f>
        <v>0</v>
      </c>
      <c r="E163" s="39">
        <f>OC!D171</f>
        <v>0</v>
      </c>
      <c r="F163" s="40">
        <f>OC!E171</f>
        <v>0</v>
      </c>
      <c r="G163" s="41">
        <f t="shared" si="9"/>
        <v>0</v>
      </c>
      <c r="H163" s="39">
        <f>IF(_xlfn.XLOOKUP(A163,[1]MACHOTE!A:A,[1]MACHOTE!V:V,0,0)="S",1.16,IF(_xlfn.XLOOKUP(A163,[1]MACHOTE!A:A,[1]MACHOTE!Y:Y,0,0)="S",1.08,1))</f>
        <v>1</v>
      </c>
      <c r="I163" s="39">
        <f t="shared" si="10"/>
        <v>0</v>
      </c>
      <c r="J163" s="42">
        <f t="shared" si="11"/>
        <v>0</v>
      </c>
      <c r="K163" s="39">
        <f>OC!$B$6</f>
        <v>0</v>
      </c>
      <c r="L163" s="39">
        <f>OC!$B$7</f>
        <v>0</v>
      </c>
      <c r="M163" s="39">
        <f>OC!$B$2</f>
        <v>0</v>
      </c>
      <c r="N163" s="44">
        <f>OC!$B$3</f>
        <v>0</v>
      </c>
      <c r="O163" s="39">
        <f>OC!$B$5</f>
        <v>0</v>
      </c>
      <c r="P163" s="39">
        <f>OC!$B$8</f>
        <v>0</v>
      </c>
      <c r="Q163" s="39">
        <f>OC!$B$4</f>
        <v>0</v>
      </c>
      <c r="R163" s="43">
        <f>OC!J171</f>
        <v>0</v>
      </c>
      <c r="S163" s="43">
        <v>0</v>
      </c>
      <c r="T163" s="43">
        <f>OC!L171</f>
        <v>0</v>
      </c>
      <c r="U163" s="43">
        <f>OC!M171</f>
        <v>0</v>
      </c>
      <c r="V163" s="43">
        <f>OC!N171</f>
        <v>0</v>
      </c>
    </row>
    <row r="164" spans="1:22" s="31" customFormat="1" x14ac:dyDescent="0.3">
      <c r="A164" s="38">
        <f>OC!A172</f>
        <v>0</v>
      </c>
      <c r="B164" s="38">
        <f>OC!B172</f>
        <v>0</v>
      </c>
      <c r="C164" s="38">
        <f>OC!C172</f>
        <v>0</v>
      </c>
      <c r="D164" s="38">
        <f>OC!P172</f>
        <v>0</v>
      </c>
      <c r="E164" s="39">
        <f>OC!D172</f>
        <v>0</v>
      </c>
      <c r="F164" s="40">
        <f>OC!E172</f>
        <v>0</v>
      </c>
      <c r="G164" s="41">
        <f t="shared" si="9"/>
        <v>0</v>
      </c>
      <c r="H164" s="39">
        <f>IF(_xlfn.XLOOKUP(A164,[1]MACHOTE!A:A,[1]MACHOTE!V:V,0,0)="S",1.16,IF(_xlfn.XLOOKUP(A164,[1]MACHOTE!A:A,[1]MACHOTE!Y:Y,0,0)="S",1.08,1))</f>
        <v>1</v>
      </c>
      <c r="I164" s="39">
        <f t="shared" si="10"/>
        <v>0</v>
      </c>
      <c r="J164" s="42">
        <f t="shared" si="11"/>
        <v>0</v>
      </c>
      <c r="K164" s="39">
        <f>OC!$B$6</f>
        <v>0</v>
      </c>
      <c r="L164" s="39">
        <f>OC!$B$7</f>
        <v>0</v>
      </c>
      <c r="M164" s="39">
        <f>OC!$B$2</f>
        <v>0</v>
      </c>
      <c r="N164" s="44">
        <f>OC!$B$3</f>
        <v>0</v>
      </c>
      <c r="O164" s="39">
        <f>OC!$B$5</f>
        <v>0</v>
      </c>
      <c r="P164" s="39">
        <f>OC!$B$8</f>
        <v>0</v>
      </c>
      <c r="Q164" s="39">
        <f>OC!$B$4</f>
        <v>0</v>
      </c>
      <c r="R164" s="43">
        <f>OC!J172</f>
        <v>0</v>
      </c>
      <c r="S164" s="43">
        <v>0</v>
      </c>
      <c r="T164" s="43">
        <f>OC!L172</f>
        <v>0</v>
      </c>
      <c r="U164" s="43">
        <f>OC!M172</f>
        <v>0</v>
      </c>
      <c r="V164" s="43">
        <f>OC!N172</f>
        <v>0</v>
      </c>
    </row>
    <row r="165" spans="1:22" s="31" customFormat="1" x14ac:dyDescent="0.3">
      <c r="A165" s="38">
        <f>OC!A173</f>
        <v>0</v>
      </c>
      <c r="B165" s="38">
        <f>OC!B173</f>
        <v>0</v>
      </c>
      <c r="C165" s="38">
        <f>OC!C173</f>
        <v>0</v>
      </c>
      <c r="D165" s="38">
        <f>OC!P173</f>
        <v>0</v>
      </c>
      <c r="E165" s="39">
        <f>OC!D173</f>
        <v>0</v>
      </c>
      <c r="F165" s="40">
        <f>OC!E173</f>
        <v>0</v>
      </c>
      <c r="G165" s="41">
        <f t="shared" si="9"/>
        <v>0</v>
      </c>
      <c r="H165" s="39">
        <f>IF(_xlfn.XLOOKUP(A165,[1]MACHOTE!A:A,[1]MACHOTE!V:V,0,0)="S",1.16,IF(_xlfn.XLOOKUP(A165,[1]MACHOTE!A:A,[1]MACHOTE!Y:Y,0,0)="S",1.08,1))</f>
        <v>1</v>
      </c>
      <c r="I165" s="39">
        <f t="shared" si="10"/>
        <v>0</v>
      </c>
      <c r="J165" s="42">
        <f t="shared" si="11"/>
        <v>0</v>
      </c>
      <c r="K165" s="39">
        <f>OC!$B$6</f>
        <v>0</v>
      </c>
      <c r="L165" s="39">
        <f>OC!$B$7</f>
        <v>0</v>
      </c>
      <c r="M165" s="39">
        <f>OC!$B$2</f>
        <v>0</v>
      </c>
      <c r="N165" s="44">
        <f>OC!$B$3</f>
        <v>0</v>
      </c>
      <c r="O165" s="39">
        <f>OC!$B$5</f>
        <v>0</v>
      </c>
      <c r="P165" s="39">
        <f>OC!$B$8</f>
        <v>0</v>
      </c>
      <c r="Q165" s="39">
        <f>OC!$B$4</f>
        <v>0</v>
      </c>
      <c r="R165" s="43">
        <f>OC!J173</f>
        <v>0</v>
      </c>
      <c r="S165" s="43">
        <v>0</v>
      </c>
      <c r="T165" s="43">
        <f>OC!L173</f>
        <v>0</v>
      </c>
      <c r="U165" s="43">
        <f>OC!M173</f>
        <v>0</v>
      </c>
      <c r="V165" s="43">
        <f>OC!N173</f>
        <v>0</v>
      </c>
    </row>
    <row r="166" spans="1:22" s="31" customFormat="1" x14ac:dyDescent="0.3">
      <c r="A166" s="38">
        <f>OC!A174</f>
        <v>0</v>
      </c>
      <c r="B166" s="38">
        <f>OC!B174</f>
        <v>0</v>
      </c>
      <c r="C166" s="38">
        <f>OC!C174</f>
        <v>0</v>
      </c>
      <c r="D166" s="38">
        <f>OC!P174</f>
        <v>0</v>
      </c>
      <c r="E166" s="39">
        <f>OC!D174</f>
        <v>0</v>
      </c>
      <c r="F166" s="40">
        <f>OC!E174</f>
        <v>0</v>
      </c>
      <c r="G166" s="41">
        <f t="shared" si="9"/>
        <v>0</v>
      </c>
      <c r="H166" s="39">
        <f>IF(_xlfn.XLOOKUP(A166,[1]MACHOTE!A:A,[1]MACHOTE!V:V,0,0)="S",1.16,IF(_xlfn.XLOOKUP(A166,[1]MACHOTE!A:A,[1]MACHOTE!Y:Y,0,0)="S",1.08,1))</f>
        <v>1</v>
      </c>
      <c r="I166" s="39">
        <f t="shared" si="10"/>
        <v>0</v>
      </c>
      <c r="J166" s="42">
        <f t="shared" si="11"/>
        <v>0</v>
      </c>
      <c r="K166" s="39">
        <f>OC!$B$6</f>
        <v>0</v>
      </c>
      <c r="L166" s="39">
        <f>OC!$B$7</f>
        <v>0</v>
      </c>
      <c r="M166" s="39">
        <f>OC!$B$2</f>
        <v>0</v>
      </c>
      <c r="N166" s="44">
        <f>OC!$B$3</f>
        <v>0</v>
      </c>
      <c r="O166" s="39">
        <f>OC!$B$5</f>
        <v>0</v>
      </c>
      <c r="P166" s="39">
        <f>OC!$B$8</f>
        <v>0</v>
      </c>
      <c r="Q166" s="39">
        <f>OC!$B$4</f>
        <v>0</v>
      </c>
      <c r="R166" s="43">
        <f>OC!J174</f>
        <v>0</v>
      </c>
      <c r="S166" s="43">
        <v>0</v>
      </c>
      <c r="T166" s="43">
        <f>OC!L174</f>
        <v>0</v>
      </c>
      <c r="U166" s="43">
        <f>OC!M174</f>
        <v>0</v>
      </c>
      <c r="V166" s="43">
        <f>OC!N174</f>
        <v>0</v>
      </c>
    </row>
    <row r="167" spans="1:22" s="31" customFormat="1" x14ac:dyDescent="0.3">
      <c r="A167" s="38">
        <f>OC!A175</f>
        <v>0</v>
      </c>
      <c r="B167" s="38">
        <f>OC!B175</f>
        <v>0</v>
      </c>
      <c r="C167" s="38">
        <f>OC!C175</f>
        <v>0</v>
      </c>
      <c r="D167" s="38">
        <f>OC!P175</f>
        <v>0</v>
      </c>
      <c r="E167" s="39">
        <f>OC!D175</f>
        <v>0</v>
      </c>
      <c r="F167" s="40">
        <f>OC!E175</f>
        <v>0</v>
      </c>
      <c r="G167" s="41">
        <f t="shared" si="9"/>
        <v>0</v>
      </c>
      <c r="H167" s="39">
        <f>IF(_xlfn.XLOOKUP(A167,[1]MACHOTE!A:A,[1]MACHOTE!V:V,0,0)="S",1.16,IF(_xlfn.XLOOKUP(A167,[1]MACHOTE!A:A,[1]MACHOTE!Y:Y,0,0)="S",1.08,1))</f>
        <v>1</v>
      </c>
      <c r="I167" s="39">
        <f t="shared" si="10"/>
        <v>0</v>
      </c>
      <c r="J167" s="42">
        <f t="shared" si="11"/>
        <v>0</v>
      </c>
      <c r="K167" s="39">
        <f>OC!$B$6</f>
        <v>0</v>
      </c>
      <c r="L167" s="39">
        <f>OC!$B$7</f>
        <v>0</v>
      </c>
      <c r="M167" s="39">
        <f>OC!$B$2</f>
        <v>0</v>
      </c>
      <c r="N167" s="44">
        <f>OC!$B$3</f>
        <v>0</v>
      </c>
      <c r="O167" s="39">
        <f>OC!$B$5</f>
        <v>0</v>
      </c>
      <c r="P167" s="39">
        <f>OC!$B$8</f>
        <v>0</v>
      </c>
      <c r="Q167" s="39">
        <f>OC!$B$4</f>
        <v>0</v>
      </c>
      <c r="R167" s="43">
        <f>OC!J175</f>
        <v>0</v>
      </c>
      <c r="S167" s="43">
        <v>0</v>
      </c>
      <c r="T167" s="43">
        <f>OC!L175</f>
        <v>0</v>
      </c>
      <c r="U167" s="43">
        <f>OC!M175</f>
        <v>0</v>
      </c>
      <c r="V167" s="43">
        <f>OC!N175</f>
        <v>0</v>
      </c>
    </row>
    <row r="168" spans="1:22" s="31" customFormat="1" x14ac:dyDescent="0.3">
      <c r="A168" s="38">
        <f>OC!A176</f>
        <v>0</v>
      </c>
      <c r="B168" s="38">
        <f>OC!B176</f>
        <v>0</v>
      </c>
      <c r="C168" s="38">
        <f>OC!C176</f>
        <v>0</v>
      </c>
      <c r="D168" s="38">
        <f>OC!P176</f>
        <v>0</v>
      </c>
      <c r="E168" s="39">
        <f>OC!D176</f>
        <v>0</v>
      </c>
      <c r="F168" s="40">
        <f>OC!E176</f>
        <v>0</v>
      </c>
      <c r="G168" s="41">
        <f t="shared" si="9"/>
        <v>0</v>
      </c>
      <c r="H168" s="39">
        <f>IF(_xlfn.XLOOKUP(A168,[1]MACHOTE!A:A,[1]MACHOTE!V:V,0,0)="S",1.16,IF(_xlfn.XLOOKUP(A168,[1]MACHOTE!A:A,[1]MACHOTE!Y:Y,0,0)="S",1.08,1))</f>
        <v>1</v>
      </c>
      <c r="I168" s="39">
        <f t="shared" si="10"/>
        <v>0</v>
      </c>
      <c r="J168" s="42">
        <f t="shared" si="11"/>
        <v>0</v>
      </c>
      <c r="K168" s="39">
        <f>OC!$B$6</f>
        <v>0</v>
      </c>
      <c r="L168" s="39">
        <f>OC!$B$7</f>
        <v>0</v>
      </c>
      <c r="M168" s="39">
        <f>OC!$B$2</f>
        <v>0</v>
      </c>
      <c r="N168" s="44">
        <f>OC!$B$3</f>
        <v>0</v>
      </c>
      <c r="O168" s="39">
        <f>OC!$B$5</f>
        <v>0</v>
      </c>
      <c r="P168" s="39">
        <f>OC!$B$8</f>
        <v>0</v>
      </c>
      <c r="Q168" s="39">
        <f>OC!$B$4</f>
        <v>0</v>
      </c>
      <c r="R168" s="43">
        <f>OC!J176</f>
        <v>0</v>
      </c>
      <c r="S168" s="43">
        <v>0</v>
      </c>
      <c r="T168" s="43">
        <f>OC!L176</f>
        <v>0</v>
      </c>
      <c r="U168" s="43">
        <f>OC!M176</f>
        <v>0</v>
      </c>
      <c r="V168" s="43">
        <f>OC!N176</f>
        <v>0</v>
      </c>
    </row>
    <row r="169" spans="1:22" s="31" customFormat="1" x14ac:dyDescent="0.3">
      <c r="A169" s="38">
        <f>OC!A177</f>
        <v>0</v>
      </c>
      <c r="B169" s="38">
        <f>OC!B177</f>
        <v>0</v>
      </c>
      <c r="C169" s="38">
        <f>OC!C177</f>
        <v>0</v>
      </c>
      <c r="D169" s="38">
        <f>OC!P177</f>
        <v>0</v>
      </c>
      <c r="E169" s="39">
        <f>OC!D177</f>
        <v>0</v>
      </c>
      <c r="F169" s="40">
        <f>OC!E177</f>
        <v>0</v>
      </c>
      <c r="G169" s="41">
        <f t="shared" si="9"/>
        <v>0</v>
      </c>
      <c r="H169" s="39">
        <f>IF(_xlfn.XLOOKUP(A169,[1]MACHOTE!A:A,[1]MACHOTE!V:V,0,0)="S",1.16,IF(_xlfn.XLOOKUP(A169,[1]MACHOTE!A:A,[1]MACHOTE!Y:Y,0,0)="S",1.08,1))</f>
        <v>1</v>
      </c>
      <c r="I169" s="39">
        <f t="shared" si="10"/>
        <v>0</v>
      </c>
      <c r="J169" s="42">
        <f t="shared" si="11"/>
        <v>0</v>
      </c>
      <c r="K169" s="39">
        <f>OC!$B$6</f>
        <v>0</v>
      </c>
      <c r="L169" s="39">
        <f>OC!$B$7</f>
        <v>0</v>
      </c>
      <c r="M169" s="39">
        <f>OC!$B$2</f>
        <v>0</v>
      </c>
      <c r="N169" s="44">
        <f>OC!$B$3</f>
        <v>0</v>
      </c>
      <c r="O169" s="39">
        <f>OC!$B$5</f>
        <v>0</v>
      </c>
      <c r="P169" s="39">
        <f>OC!$B$8</f>
        <v>0</v>
      </c>
      <c r="Q169" s="39">
        <f>OC!$B$4</f>
        <v>0</v>
      </c>
      <c r="R169" s="43">
        <f>OC!J177</f>
        <v>0</v>
      </c>
      <c r="S169" s="43">
        <v>0</v>
      </c>
      <c r="T169" s="43">
        <f>OC!L177</f>
        <v>0</v>
      </c>
      <c r="U169" s="43">
        <f>OC!M177</f>
        <v>0</v>
      </c>
      <c r="V169" s="43">
        <f>OC!N177</f>
        <v>0</v>
      </c>
    </row>
    <row r="170" spans="1:22" s="31" customFormat="1" x14ac:dyDescent="0.3">
      <c r="A170" s="38">
        <f>OC!A178</f>
        <v>0</v>
      </c>
      <c r="B170" s="38">
        <f>OC!B178</f>
        <v>0</v>
      </c>
      <c r="C170" s="38">
        <f>OC!C178</f>
        <v>0</v>
      </c>
      <c r="D170" s="38">
        <f>OC!P178</f>
        <v>0</v>
      </c>
      <c r="E170" s="39">
        <f>OC!D178</f>
        <v>0</v>
      </c>
      <c r="F170" s="40">
        <f>OC!E178</f>
        <v>0</v>
      </c>
      <c r="G170" s="41">
        <f t="shared" si="9"/>
        <v>0</v>
      </c>
      <c r="H170" s="39">
        <f>IF(_xlfn.XLOOKUP(A170,[1]MACHOTE!A:A,[1]MACHOTE!V:V,0,0)="S",1.16,IF(_xlfn.XLOOKUP(A170,[1]MACHOTE!A:A,[1]MACHOTE!Y:Y,0,0)="S",1.08,1))</f>
        <v>1</v>
      </c>
      <c r="I170" s="39">
        <f t="shared" si="10"/>
        <v>0</v>
      </c>
      <c r="J170" s="42">
        <f t="shared" si="11"/>
        <v>0</v>
      </c>
      <c r="K170" s="39">
        <f>OC!$B$6</f>
        <v>0</v>
      </c>
      <c r="L170" s="39">
        <f>OC!$B$7</f>
        <v>0</v>
      </c>
      <c r="M170" s="39">
        <f>OC!$B$2</f>
        <v>0</v>
      </c>
      <c r="N170" s="44">
        <f>OC!$B$3</f>
        <v>0</v>
      </c>
      <c r="O170" s="39">
        <f>OC!$B$5</f>
        <v>0</v>
      </c>
      <c r="P170" s="39">
        <f>OC!$B$8</f>
        <v>0</v>
      </c>
      <c r="Q170" s="39">
        <f>OC!$B$4</f>
        <v>0</v>
      </c>
      <c r="R170" s="43">
        <f>OC!J178</f>
        <v>0</v>
      </c>
      <c r="S170" s="43">
        <v>0</v>
      </c>
      <c r="T170" s="43">
        <f>OC!L178</f>
        <v>0</v>
      </c>
      <c r="U170" s="43">
        <f>OC!M178</f>
        <v>0</v>
      </c>
      <c r="V170" s="43">
        <f>OC!N178</f>
        <v>0</v>
      </c>
    </row>
    <row r="171" spans="1:22" s="31" customFormat="1" x14ac:dyDescent="0.3">
      <c r="A171" s="38">
        <f>OC!A179</f>
        <v>0</v>
      </c>
      <c r="B171" s="38">
        <f>OC!B179</f>
        <v>0</v>
      </c>
      <c r="C171" s="38">
        <f>OC!C179</f>
        <v>0</v>
      </c>
      <c r="D171" s="38">
        <f>OC!P179</f>
        <v>0</v>
      </c>
      <c r="E171" s="39">
        <f>OC!D179</f>
        <v>0</v>
      </c>
      <c r="F171" s="40">
        <f>OC!E179</f>
        <v>0</v>
      </c>
      <c r="G171" s="41">
        <f t="shared" si="9"/>
        <v>0</v>
      </c>
      <c r="H171" s="39">
        <f>IF(_xlfn.XLOOKUP(A171,[1]MACHOTE!A:A,[1]MACHOTE!V:V,0,0)="S",1.16,IF(_xlfn.XLOOKUP(A171,[1]MACHOTE!A:A,[1]MACHOTE!Y:Y,0,0)="S",1.08,1))</f>
        <v>1</v>
      </c>
      <c r="I171" s="39">
        <f t="shared" si="10"/>
        <v>0</v>
      </c>
      <c r="J171" s="42">
        <f t="shared" si="11"/>
        <v>0</v>
      </c>
      <c r="K171" s="39">
        <f>OC!$B$6</f>
        <v>0</v>
      </c>
      <c r="L171" s="39">
        <f>OC!$B$7</f>
        <v>0</v>
      </c>
      <c r="M171" s="39">
        <f>OC!$B$2</f>
        <v>0</v>
      </c>
      <c r="N171" s="44">
        <f>OC!$B$3</f>
        <v>0</v>
      </c>
      <c r="O171" s="39">
        <f>OC!$B$5</f>
        <v>0</v>
      </c>
      <c r="P171" s="39">
        <f>OC!$B$8</f>
        <v>0</v>
      </c>
      <c r="Q171" s="39">
        <f>OC!$B$4</f>
        <v>0</v>
      </c>
      <c r="R171" s="43">
        <f>OC!J179</f>
        <v>0</v>
      </c>
      <c r="S171" s="43">
        <v>0</v>
      </c>
      <c r="T171" s="43">
        <f>OC!L179</f>
        <v>0</v>
      </c>
      <c r="U171" s="43">
        <f>OC!M179</f>
        <v>0</v>
      </c>
      <c r="V171" s="43">
        <f>OC!N179</f>
        <v>0</v>
      </c>
    </row>
    <row r="172" spans="1:22" s="31" customFormat="1" x14ac:dyDescent="0.3">
      <c r="A172" s="38">
        <f>OC!A180</f>
        <v>0</v>
      </c>
      <c r="B172" s="38">
        <f>OC!B180</f>
        <v>0</v>
      </c>
      <c r="C172" s="38">
        <f>OC!C180</f>
        <v>0</v>
      </c>
      <c r="D172" s="38">
        <f>OC!P180</f>
        <v>0</v>
      </c>
      <c r="E172" s="39">
        <f>OC!D180</f>
        <v>0</v>
      </c>
      <c r="F172" s="40">
        <f>OC!E180</f>
        <v>0</v>
      </c>
      <c r="G172" s="41">
        <f t="shared" si="9"/>
        <v>0</v>
      </c>
      <c r="H172" s="39">
        <f>IF(_xlfn.XLOOKUP(A172,[1]MACHOTE!A:A,[1]MACHOTE!V:V,0,0)="S",1.16,IF(_xlfn.XLOOKUP(A172,[1]MACHOTE!A:A,[1]MACHOTE!Y:Y,0,0)="S",1.08,1))</f>
        <v>1</v>
      </c>
      <c r="I172" s="39">
        <f t="shared" si="10"/>
        <v>0</v>
      </c>
      <c r="J172" s="42">
        <f t="shared" si="11"/>
        <v>0</v>
      </c>
      <c r="K172" s="39">
        <f>OC!$B$6</f>
        <v>0</v>
      </c>
      <c r="L172" s="39">
        <f>OC!$B$7</f>
        <v>0</v>
      </c>
      <c r="M172" s="39">
        <f>OC!$B$2</f>
        <v>0</v>
      </c>
      <c r="N172" s="44">
        <f>OC!$B$3</f>
        <v>0</v>
      </c>
      <c r="O172" s="39">
        <f>OC!$B$5</f>
        <v>0</v>
      </c>
      <c r="P172" s="39">
        <f>OC!$B$8</f>
        <v>0</v>
      </c>
      <c r="Q172" s="39">
        <f>OC!$B$4</f>
        <v>0</v>
      </c>
      <c r="R172" s="43">
        <f>OC!J180</f>
        <v>0</v>
      </c>
      <c r="S172" s="43">
        <v>0</v>
      </c>
      <c r="T172" s="43">
        <f>OC!L180</f>
        <v>0</v>
      </c>
      <c r="U172" s="43">
        <f>OC!M180</f>
        <v>0</v>
      </c>
      <c r="V172" s="43">
        <f>OC!N180</f>
        <v>0</v>
      </c>
    </row>
    <row r="173" spans="1:22" s="31" customFormat="1" x14ac:dyDescent="0.3">
      <c r="A173" s="38">
        <f>OC!A181</f>
        <v>0</v>
      </c>
      <c r="B173" s="38">
        <f>OC!B181</f>
        <v>0</v>
      </c>
      <c r="C173" s="38">
        <f>OC!C181</f>
        <v>0</v>
      </c>
      <c r="D173" s="38">
        <f>OC!P181</f>
        <v>0</v>
      </c>
      <c r="E173" s="39">
        <f>OC!D181</f>
        <v>0</v>
      </c>
      <c r="F173" s="40">
        <f>OC!E181</f>
        <v>0</v>
      </c>
      <c r="G173" s="41">
        <f t="shared" si="9"/>
        <v>0</v>
      </c>
      <c r="H173" s="39">
        <f>IF(_xlfn.XLOOKUP(A173,[1]MACHOTE!A:A,[1]MACHOTE!V:V,0,0)="S",1.16,IF(_xlfn.XLOOKUP(A173,[1]MACHOTE!A:A,[1]MACHOTE!Y:Y,0,0)="S",1.08,1))</f>
        <v>1</v>
      </c>
      <c r="I173" s="39">
        <f t="shared" si="10"/>
        <v>0</v>
      </c>
      <c r="J173" s="42">
        <f t="shared" si="11"/>
        <v>0</v>
      </c>
      <c r="K173" s="39">
        <f>OC!$B$6</f>
        <v>0</v>
      </c>
      <c r="L173" s="39">
        <f>OC!$B$7</f>
        <v>0</v>
      </c>
      <c r="M173" s="39">
        <f>OC!$B$2</f>
        <v>0</v>
      </c>
      <c r="N173" s="44">
        <f>OC!$B$3</f>
        <v>0</v>
      </c>
      <c r="O173" s="39">
        <f>OC!$B$5</f>
        <v>0</v>
      </c>
      <c r="P173" s="39">
        <f>OC!$B$8</f>
        <v>0</v>
      </c>
      <c r="Q173" s="39">
        <f>OC!$B$4</f>
        <v>0</v>
      </c>
      <c r="R173" s="43">
        <f>OC!J181</f>
        <v>0</v>
      </c>
      <c r="S173" s="43">
        <v>0</v>
      </c>
      <c r="T173" s="43">
        <f>OC!L181</f>
        <v>0</v>
      </c>
      <c r="U173" s="43">
        <f>OC!M181</f>
        <v>0</v>
      </c>
      <c r="V173" s="43">
        <f>OC!N181</f>
        <v>0</v>
      </c>
    </row>
    <row r="174" spans="1:22" s="31" customFormat="1" x14ac:dyDescent="0.3">
      <c r="A174" s="38">
        <f>OC!A182</f>
        <v>0</v>
      </c>
      <c r="B174" s="38">
        <f>OC!B182</f>
        <v>0</v>
      </c>
      <c r="C174" s="38">
        <f>OC!C182</f>
        <v>0</v>
      </c>
      <c r="D174" s="38">
        <f>OC!P182</f>
        <v>0</v>
      </c>
      <c r="E174" s="39">
        <f>OC!D182</f>
        <v>0</v>
      </c>
      <c r="F174" s="40">
        <f>OC!E182</f>
        <v>0</v>
      </c>
      <c r="G174" s="41">
        <f t="shared" si="9"/>
        <v>0</v>
      </c>
      <c r="H174" s="39">
        <f>IF(_xlfn.XLOOKUP(A174,[1]MACHOTE!A:A,[1]MACHOTE!V:V,0,0)="S",1.16,IF(_xlfn.XLOOKUP(A174,[1]MACHOTE!A:A,[1]MACHOTE!Y:Y,0,0)="S",1.08,1))</f>
        <v>1</v>
      </c>
      <c r="I174" s="39">
        <f t="shared" si="10"/>
        <v>0</v>
      </c>
      <c r="J174" s="42">
        <f t="shared" si="11"/>
        <v>0</v>
      </c>
      <c r="K174" s="39">
        <f>OC!$B$6</f>
        <v>0</v>
      </c>
      <c r="L174" s="39">
        <f>OC!$B$7</f>
        <v>0</v>
      </c>
      <c r="M174" s="39">
        <f>OC!$B$2</f>
        <v>0</v>
      </c>
      <c r="N174" s="44">
        <f>OC!$B$3</f>
        <v>0</v>
      </c>
      <c r="O174" s="39">
        <f>OC!$B$5</f>
        <v>0</v>
      </c>
      <c r="P174" s="39">
        <f>OC!$B$8</f>
        <v>0</v>
      </c>
      <c r="Q174" s="39">
        <f>OC!$B$4</f>
        <v>0</v>
      </c>
      <c r="R174" s="43">
        <f>OC!J182</f>
        <v>0</v>
      </c>
      <c r="S174" s="43">
        <v>0</v>
      </c>
      <c r="T174" s="43">
        <f>OC!L182</f>
        <v>0</v>
      </c>
      <c r="U174" s="43">
        <f>OC!M182</f>
        <v>0</v>
      </c>
      <c r="V174" s="43">
        <f>OC!N182</f>
        <v>0</v>
      </c>
    </row>
    <row r="175" spans="1:22" s="31" customFormat="1" x14ac:dyDescent="0.3">
      <c r="A175" s="38">
        <f>OC!A183</f>
        <v>0</v>
      </c>
      <c r="B175" s="38">
        <f>OC!B183</f>
        <v>0</v>
      </c>
      <c r="C175" s="38">
        <f>OC!C183</f>
        <v>0</v>
      </c>
      <c r="D175" s="38">
        <f>OC!P183</f>
        <v>0</v>
      </c>
      <c r="E175" s="39">
        <f>OC!D183</f>
        <v>0</v>
      </c>
      <c r="F175" s="40">
        <f>OC!E183</f>
        <v>0</v>
      </c>
      <c r="G175" s="41">
        <f t="shared" si="9"/>
        <v>0</v>
      </c>
      <c r="H175" s="39">
        <f>IF(_xlfn.XLOOKUP(A175,[1]MACHOTE!A:A,[1]MACHOTE!V:V,0,0)="S",1.16,IF(_xlfn.XLOOKUP(A175,[1]MACHOTE!A:A,[1]MACHOTE!Y:Y,0,0)="S",1.08,1))</f>
        <v>1</v>
      </c>
      <c r="I175" s="39">
        <f t="shared" si="10"/>
        <v>0</v>
      </c>
      <c r="J175" s="42">
        <f t="shared" si="11"/>
        <v>0</v>
      </c>
      <c r="K175" s="39">
        <f>OC!$B$6</f>
        <v>0</v>
      </c>
      <c r="L175" s="39">
        <f>OC!$B$7</f>
        <v>0</v>
      </c>
      <c r="M175" s="39">
        <f>OC!$B$2</f>
        <v>0</v>
      </c>
      <c r="N175" s="44">
        <f>OC!$B$3</f>
        <v>0</v>
      </c>
      <c r="O175" s="39">
        <f>OC!$B$5</f>
        <v>0</v>
      </c>
      <c r="P175" s="39">
        <f>OC!$B$8</f>
        <v>0</v>
      </c>
      <c r="Q175" s="39">
        <f>OC!$B$4</f>
        <v>0</v>
      </c>
      <c r="R175" s="43">
        <f>OC!J183</f>
        <v>0</v>
      </c>
      <c r="S175" s="43">
        <v>0</v>
      </c>
      <c r="T175" s="43">
        <f>OC!L183</f>
        <v>0</v>
      </c>
      <c r="U175" s="43">
        <f>OC!M183</f>
        <v>0</v>
      </c>
      <c r="V175" s="43">
        <f>OC!N183</f>
        <v>0</v>
      </c>
    </row>
    <row r="176" spans="1:22" s="31" customFormat="1" x14ac:dyDescent="0.3">
      <c r="A176" s="38">
        <f>OC!A184</f>
        <v>0</v>
      </c>
      <c r="B176" s="38">
        <f>OC!B184</f>
        <v>0</v>
      </c>
      <c r="C176" s="38">
        <f>OC!C184</f>
        <v>0</v>
      </c>
      <c r="D176" s="38">
        <f>OC!P184</f>
        <v>0</v>
      </c>
      <c r="E176" s="39">
        <f>OC!D184</f>
        <v>0</v>
      </c>
      <c r="F176" s="40">
        <f>OC!E184</f>
        <v>0</v>
      </c>
      <c r="G176" s="41">
        <f t="shared" si="9"/>
        <v>0</v>
      </c>
      <c r="H176" s="39">
        <f>IF(_xlfn.XLOOKUP(A176,[1]MACHOTE!A:A,[1]MACHOTE!V:V,0,0)="S",1.16,IF(_xlfn.XLOOKUP(A176,[1]MACHOTE!A:A,[1]MACHOTE!Y:Y,0,0)="S",1.08,1))</f>
        <v>1</v>
      </c>
      <c r="I176" s="39">
        <f t="shared" si="10"/>
        <v>0</v>
      </c>
      <c r="J176" s="42">
        <f t="shared" si="11"/>
        <v>0</v>
      </c>
      <c r="K176" s="39">
        <f>OC!$B$6</f>
        <v>0</v>
      </c>
      <c r="L176" s="39">
        <f>OC!$B$7</f>
        <v>0</v>
      </c>
      <c r="M176" s="39">
        <f>OC!$B$2</f>
        <v>0</v>
      </c>
      <c r="N176" s="44">
        <f>OC!$B$3</f>
        <v>0</v>
      </c>
      <c r="O176" s="39">
        <f>OC!$B$5</f>
        <v>0</v>
      </c>
      <c r="P176" s="39">
        <f>OC!$B$8</f>
        <v>0</v>
      </c>
      <c r="Q176" s="39">
        <f>OC!$B$4</f>
        <v>0</v>
      </c>
      <c r="R176" s="43">
        <f>OC!J184</f>
        <v>0</v>
      </c>
      <c r="S176" s="43">
        <v>0</v>
      </c>
      <c r="T176" s="43">
        <f>OC!L184</f>
        <v>0</v>
      </c>
      <c r="U176" s="43">
        <f>OC!M184</f>
        <v>0</v>
      </c>
      <c r="V176" s="43">
        <f>OC!N184</f>
        <v>0</v>
      </c>
    </row>
    <row r="177" spans="1:22" s="31" customFormat="1" x14ac:dyDescent="0.3">
      <c r="A177" s="38">
        <f>OC!A185</f>
        <v>0</v>
      </c>
      <c r="B177" s="38">
        <f>OC!B185</f>
        <v>0</v>
      </c>
      <c r="C177" s="38">
        <f>OC!C185</f>
        <v>0</v>
      </c>
      <c r="D177" s="38">
        <f>OC!P185</f>
        <v>0</v>
      </c>
      <c r="E177" s="39">
        <f>OC!D185</f>
        <v>0</v>
      </c>
      <c r="F177" s="40">
        <f>OC!E185</f>
        <v>0</v>
      </c>
      <c r="G177" s="41">
        <f t="shared" si="9"/>
        <v>0</v>
      </c>
      <c r="H177" s="39">
        <f>IF(_xlfn.XLOOKUP(A177,[1]MACHOTE!A:A,[1]MACHOTE!V:V,0,0)="S",1.16,IF(_xlfn.XLOOKUP(A177,[1]MACHOTE!A:A,[1]MACHOTE!Y:Y,0,0)="S",1.08,1))</f>
        <v>1</v>
      </c>
      <c r="I177" s="39">
        <f t="shared" si="10"/>
        <v>0</v>
      </c>
      <c r="J177" s="42">
        <f t="shared" si="11"/>
        <v>0</v>
      </c>
      <c r="K177" s="39">
        <f>OC!$B$6</f>
        <v>0</v>
      </c>
      <c r="L177" s="39">
        <f>OC!$B$7</f>
        <v>0</v>
      </c>
      <c r="M177" s="39">
        <f>OC!$B$2</f>
        <v>0</v>
      </c>
      <c r="N177" s="44">
        <f>OC!$B$3</f>
        <v>0</v>
      </c>
      <c r="O177" s="39">
        <f>OC!$B$5</f>
        <v>0</v>
      </c>
      <c r="P177" s="39">
        <f>OC!$B$8</f>
        <v>0</v>
      </c>
      <c r="Q177" s="39">
        <f>OC!$B$4</f>
        <v>0</v>
      </c>
      <c r="R177" s="43">
        <f>OC!J185</f>
        <v>0</v>
      </c>
      <c r="S177" s="43">
        <v>0</v>
      </c>
      <c r="T177" s="43">
        <f>OC!L185</f>
        <v>0</v>
      </c>
      <c r="U177" s="43">
        <f>OC!M185</f>
        <v>0</v>
      </c>
      <c r="V177" s="43">
        <f>OC!N185</f>
        <v>0</v>
      </c>
    </row>
    <row r="178" spans="1:22" s="31" customFormat="1" x14ac:dyDescent="0.3">
      <c r="A178" s="38">
        <f>OC!A186</f>
        <v>0</v>
      </c>
      <c r="B178" s="38">
        <f>OC!B186</f>
        <v>0</v>
      </c>
      <c r="C178" s="38">
        <f>OC!C186</f>
        <v>0</v>
      </c>
      <c r="D178" s="38">
        <f>OC!P186</f>
        <v>0</v>
      </c>
      <c r="E178" s="39">
        <f>OC!D186</f>
        <v>0</v>
      </c>
      <c r="F178" s="40">
        <f>OC!E186</f>
        <v>0</v>
      </c>
      <c r="G178" s="41">
        <f t="shared" si="9"/>
        <v>0</v>
      </c>
      <c r="H178" s="39">
        <f>IF(_xlfn.XLOOKUP(A178,[1]MACHOTE!A:A,[1]MACHOTE!V:V,0,0)="S",1.16,IF(_xlfn.XLOOKUP(A178,[1]MACHOTE!A:A,[1]MACHOTE!Y:Y,0,0)="S",1.08,1))</f>
        <v>1</v>
      </c>
      <c r="I178" s="39">
        <f t="shared" si="10"/>
        <v>0</v>
      </c>
      <c r="J178" s="42">
        <f t="shared" si="11"/>
        <v>0</v>
      </c>
      <c r="K178" s="39">
        <f>OC!$B$6</f>
        <v>0</v>
      </c>
      <c r="L178" s="39">
        <f>OC!$B$7</f>
        <v>0</v>
      </c>
      <c r="M178" s="39">
        <f>OC!$B$2</f>
        <v>0</v>
      </c>
      <c r="N178" s="44">
        <f>OC!$B$3</f>
        <v>0</v>
      </c>
      <c r="O178" s="39">
        <f>OC!$B$5</f>
        <v>0</v>
      </c>
      <c r="P178" s="39">
        <f>OC!$B$8</f>
        <v>0</v>
      </c>
      <c r="Q178" s="39">
        <f>OC!$B$4</f>
        <v>0</v>
      </c>
      <c r="R178" s="43">
        <f>OC!J186</f>
        <v>0</v>
      </c>
      <c r="S178" s="43">
        <v>0</v>
      </c>
      <c r="T178" s="43">
        <f>OC!L186</f>
        <v>0</v>
      </c>
      <c r="U178" s="43">
        <f>OC!M186</f>
        <v>0</v>
      </c>
      <c r="V178" s="43">
        <f>OC!N186</f>
        <v>0</v>
      </c>
    </row>
    <row r="179" spans="1:22" s="31" customFormat="1" x14ac:dyDescent="0.3">
      <c r="A179" s="38">
        <f>OC!A187</f>
        <v>0</v>
      </c>
      <c r="B179" s="38">
        <f>OC!B187</f>
        <v>0</v>
      </c>
      <c r="C179" s="38">
        <f>OC!C187</f>
        <v>0</v>
      </c>
      <c r="D179" s="38">
        <f>OC!P187</f>
        <v>0</v>
      </c>
      <c r="E179" s="39">
        <f>OC!D187</f>
        <v>0</v>
      </c>
      <c r="F179" s="40">
        <f>OC!E187</f>
        <v>0</v>
      </c>
      <c r="G179" s="41">
        <f t="shared" si="9"/>
        <v>0</v>
      </c>
      <c r="H179" s="39">
        <f>IF(_xlfn.XLOOKUP(A179,[1]MACHOTE!A:A,[1]MACHOTE!V:V,0,0)="S",1.16,IF(_xlfn.XLOOKUP(A179,[1]MACHOTE!A:A,[1]MACHOTE!Y:Y,0,0)="S",1.08,1))</f>
        <v>1</v>
      </c>
      <c r="I179" s="39">
        <f t="shared" si="10"/>
        <v>0</v>
      </c>
      <c r="J179" s="42">
        <f t="shared" si="11"/>
        <v>0</v>
      </c>
      <c r="K179" s="39">
        <f>OC!$B$6</f>
        <v>0</v>
      </c>
      <c r="L179" s="39">
        <f>OC!$B$7</f>
        <v>0</v>
      </c>
      <c r="M179" s="39">
        <f>OC!$B$2</f>
        <v>0</v>
      </c>
      <c r="N179" s="44">
        <f>OC!$B$3</f>
        <v>0</v>
      </c>
      <c r="O179" s="39">
        <f>OC!$B$5</f>
        <v>0</v>
      </c>
      <c r="P179" s="39">
        <f>OC!$B$8</f>
        <v>0</v>
      </c>
      <c r="Q179" s="39">
        <f>OC!$B$4</f>
        <v>0</v>
      </c>
      <c r="R179" s="43">
        <f>OC!J187</f>
        <v>0</v>
      </c>
      <c r="S179" s="43">
        <v>0</v>
      </c>
      <c r="T179" s="43">
        <f>OC!L187</f>
        <v>0</v>
      </c>
      <c r="U179" s="43">
        <f>OC!M187</f>
        <v>0</v>
      </c>
      <c r="V179" s="43">
        <f>OC!N187</f>
        <v>0</v>
      </c>
    </row>
    <row r="180" spans="1:22" s="31" customFormat="1" x14ac:dyDescent="0.3">
      <c r="A180" s="38">
        <f>OC!A188</f>
        <v>0</v>
      </c>
      <c r="B180" s="38">
        <f>OC!B188</f>
        <v>0</v>
      </c>
      <c r="C180" s="38">
        <f>OC!C188</f>
        <v>0</v>
      </c>
      <c r="D180" s="38">
        <f>OC!P188</f>
        <v>0</v>
      </c>
      <c r="E180" s="39">
        <f>OC!D188</f>
        <v>0</v>
      </c>
      <c r="F180" s="40">
        <f>OC!E188</f>
        <v>0</v>
      </c>
      <c r="G180" s="41">
        <f t="shared" si="9"/>
        <v>0</v>
      </c>
      <c r="H180" s="39">
        <f>IF(_xlfn.XLOOKUP(A180,[1]MACHOTE!A:A,[1]MACHOTE!V:V,0,0)="S",1.16,IF(_xlfn.XLOOKUP(A180,[1]MACHOTE!A:A,[1]MACHOTE!Y:Y,0,0)="S",1.08,1))</f>
        <v>1</v>
      </c>
      <c r="I180" s="39">
        <f t="shared" si="10"/>
        <v>0</v>
      </c>
      <c r="J180" s="42">
        <f t="shared" si="11"/>
        <v>0</v>
      </c>
      <c r="K180" s="39">
        <f>OC!$B$6</f>
        <v>0</v>
      </c>
      <c r="L180" s="39">
        <f>OC!$B$7</f>
        <v>0</v>
      </c>
      <c r="M180" s="39">
        <f>OC!$B$2</f>
        <v>0</v>
      </c>
      <c r="N180" s="44">
        <f>OC!$B$3</f>
        <v>0</v>
      </c>
      <c r="O180" s="39">
        <f>OC!$B$5</f>
        <v>0</v>
      </c>
      <c r="P180" s="39">
        <f>OC!$B$8</f>
        <v>0</v>
      </c>
      <c r="Q180" s="39">
        <f>OC!$B$4</f>
        <v>0</v>
      </c>
      <c r="R180" s="43">
        <f>OC!J188</f>
        <v>0</v>
      </c>
      <c r="S180" s="43">
        <v>0</v>
      </c>
      <c r="T180" s="43">
        <f>OC!L188</f>
        <v>0</v>
      </c>
      <c r="U180" s="43">
        <f>OC!M188</f>
        <v>0</v>
      </c>
      <c r="V180" s="43">
        <f>OC!N188</f>
        <v>0</v>
      </c>
    </row>
    <row r="181" spans="1:22" s="31" customFormat="1" x14ac:dyDescent="0.3">
      <c r="A181" s="38">
        <f>OC!A189</f>
        <v>0</v>
      </c>
      <c r="B181" s="38">
        <f>OC!B189</f>
        <v>0</v>
      </c>
      <c r="C181" s="38">
        <f>OC!C189</f>
        <v>0</v>
      </c>
      <c r="D181" s="38">
        <f>OC!P189</f>
        <v>0</v>
      </c>
      <c r="E181" s="39">
        <f>OC!D189</f>
        <v>0</v>
      </c>
      <c r="F181" s="40">
        <f>OC!E189</f>
        <v>0</v>
      </c>
      <c r="G181" s="41">
        <f t="shared" si="9"/>
        <v>0</v>
      </c>
      <c r="H181" s="39">
        <f>IF(_xlfn.XLOOKUP(A181,[1]MACHOTE!A:A,[1]MACHOTE!V:V,0,0)="S",1.16,IF(_xlfn.XLOOKUP(A181,[1]MACHOTE!A:A,[1]MACHOTE!Y:Y,0,0)="S",1.08,1))</f>
        <v>1</v>
      </c>
      <c r="I181" s="39">
        <f t="shared" si="10"/>
        <v>0</v>
      </c>
      <c r="J181" s="42">
        <f t="shared" si="11"/>
        <v>0</v>
      </c>
      <c r="K181" s="39">
        <f>OC!$B$6</f>
        <v>0</v>
      </c>
      <c r="L181" s="39">
        <f>OC!$B$7</f>
        <v>0</v>
      </c>
      <c r="M181" s="39">
        <f>OC!$B$2</f>
        <v>0</v>
      </c>
      <c r="N181" s="44">
        <f>OC!$B$3</f>
        <v>0</v>
      </c>
      <c r="O181" s="39">
        <f>OC!$B$5</f>
        <v>0</v>
      </c>
      <c r="P181" s="39">
        <f>OC!$B$8</f>
        <v>0</v>
      </c>
      <c r="Q181" s="39">
        <f>OC!$B$4</f>
        <v>0</v>
      </c>
      <c r="R181" s="43">
        <f>OC!J189</f>
        <v>0</v>
      </c>
      <c r="S181" s="43">
        <v>0</v>
      </c>
      <c r="T181" s="43">
        <f>OC!L189</f>
        <v>0</v>
      </c>
      <c r="U181" s="43">
        <f>OC!M189</f>
        <v>0</v>
      </c>
      <c r="V181" s="43">
        <f>OC!N189</f>
        <v>0</v>
      </c>
    </row>
    <row r="182" spans="1:22" s="31" customFormat="1" x14ac:dyDescent="0.3">
      <c r="A182" s="38">
        <f>OC!A190</f>
        <v>0</v>
      </c>
      <c r="B182" s="38">
        <f>OC!B190</f>
        <v>0</v>
      </c>
      <c r="C182" s="38">
        <f>OC!C190</f>
        <v>0</v>
      </c>
      <c r="D182" s="38">
        <f>OC!P190</f>
        <v>0</v>
      </c>
      <c r="E182" s="39">
        <f>OC!D190</f>
        <v>0</v>
      </c>
      <c r="F182" s="40">
        <f>OC!E190</f>
        <v>0</v>
      </c>
      <c r="G182" s="41">
        <f t="shared" si="9"/>
        <v>0</v>
      </c>
      <c r="H182" s="39">
        <f>IF(_xlfn.XLOOKUP(A182,[1]MACHOTE!A:A,[1]MACHOTE!V:V,0,0)="S",1.16,IF(_xlfn.XLOOKUP(A182,[1]MACHOTE!A:A,[1]MACHOTE!Y:Y,0,0)="S",1.08,1))</f>
        <v>1</v>
      </c>
      <c r="I182" s="39">
        <f t="shared" si="10"/>
        <v>0</v>
      </c>
      <c r="J182" s="42">
        <f t="shared" si="11"/>
        <v>0</v>
      </c>
      <c r="K182" s="39">
        <f>OC!$B$6</f>
        <v>0</v>
      </c>
      <c r="L182" s="39">
        <f>OC!$B$7</f>
        <v>0</v>
      </c>
      <c r="M182" s="39">
        <f>OC!$B$2</f>
        <v>0</v>
      </c>
      <c r="N182" s="44">
        <f>OC!$B$3</f>
        <v>0</v>
      </c>
      <c r="O182" s="39">
        <f>OC!$B$5</f>
        <v>0</v>
      </c>
      <c r="P182" s="39">
        <f>OC!$B$8</f>
        <v>0</v>
      </c>
      <c r="Q182" s="39">
        <f>OC!$B$4</f>
        <v>0</v>
      </c>
      <c r="R182" s="43">
        <f>OC!J190</f>
        <v>0</v>
      </c>
      <c r="S182" s="43">
        <v>0</v>
      </c>
      <c r="T182" s="43">
        <f>OC!L190</f>
        <v>0</v>
      </c>
      <c r="U182" s="43">
        <f>OC!M190</f>
        <v>0</v>
      </c>
      <c r="V182" s="43">
        <f>OC!N190</f>
        <v>0</v>
      </c>
    </row>
    <row r="183" spans="1:22" s="31" customFormat="1" x14ac:dyDescent="0.3">
      <c r="A183" s="38">
        <f>OC!A191</f>
        <v>0</v>
      </c>
      <c r="B183" s="38">
        <f>OC!B191</f>
        <v>0</v>
      </c>
      <c r="C183" s="38">
        <f>OC!C191</f>
        <v>0</v>
      </c>
      <c r="D183" s="38">
        <f>OC!P191</f>
        <v>0</v>
      </c>
      <c r="E183" s="39">
        <f>OC!D191</f>
        <v>0</v>
      </c>
      <c r="F183" s="40">
        <f>OC!E191</f>
        <v>0</v>
      </c>
      <c r="G183" s="41">
        <f t="shared" si="9"/>
        <v>0</v>
      </c>
      <c r="H183" s="39">
        <f>IF(_xlfn.XLOOKUP(A183,[1]MACHOTE!A:A,[1]MACHOTE!V:V,0,0)="S",1.16,IF(_xlfn.XLOOKUP(A183,[1]MACHOTE!A:A,[1]MACHOTE!Y:Y,0,0)="S",1.08,1))</f>
        <v>1</v>
      </c>
      <c r="I183" s="39">
        <f t="shared" si="10"/>
        <v>0</v>
      </c>
      <c r="J183" s="42">
        <f t="shared" si="11"/>
        <v>0</v>
      </c>
      <c r="K183" s="39">
        <f>OC!$B$6</f>
        <v>0</v>
      </c>
      <c r="L183" s="39">
        <f>OC!$B$7</f>
        <v>0</v>
      </c>
      <c r="M183" s="39">
        <f>OC!$B$2</f>
        <v>0</v>
      </c>
      <c r="N183" s="44">
        <f>OC!$B$3</f>
        <v>0</v>
      </c>
      <c r="O183" s="39">
        <f>OC!$B$5</f>
        <v>0</v>
      </c>
      <c r="P183" s="39">
        <f>OC!$B$8</f>
        <v>0</v>
      </c>
      <c r="Q183" s="39">
        <f>OC!$B$4</f>
        <v>0</v>
      </c>
      <c r="R183" s="43">
        <f>OC!J191</f>
        <v>0</v>
      </c>
      <c r="S183" s="43">
        <v>0</v>
      </c>
      <c r="T183" s="43">
        <f>OC!L191</f>
        <v>0</v>
      </c>
      <c r="U183" s="43">
        <f>OC!M191</f>
        <v>0</v>
      </c>
      <c r="V183" s="43">
        <f>OC!N191</f>
        <v>0</v>
      </c>
    </row>
    <row r="184" spans="1:22" s="31" customFormat="1" x14ac:dyDescent="0.3">
      <c r="A184" s="38">
        <f>OC!A192</f>
        <v>0</v>
      </c>
      <c r="B184" s="38">
        <f>OC!B192</f>
        <v>0</v>
      </c>
      <c r="C184" s="38">
        <f>OC!C192</f>
        <v>0</v>
      </c>
      <c r="D184" s="38">
        <f>OC!P192</f>
        <v>0</v>
      </c>
      <c r="E184" s="39">
        <f>OC!D192</f>
        <v>0</v>
      </c>
      <c r="F184" s="40">
        <f>OC!E192</f>
        <v>0</v>
      </c>
      <c r="G184" s="41">
        <f t="shared" si="9"/>
        <v>0</v>
      </c>
      <c r="H184" s="39">
        <f>IF(_xlfn.XLOOKUP(A184,[1]MACHOTE!A:A,[1]MACHOTE!V:V,0,0)="S",1.16,IF(_xlfn.XLOOKUP(A184,[1]MACHOTE!A:A,[1]MACHOTE!Y:Y,0,0)="S",1.08,1))</f>
        <v>1</v>
      </c>
      <c r="I184" s="39">
        <f t="shared" si="10"/>
        <v>0</v>
      </c>
      <c r="J184" s="42">
        <f t="shared" si="11"/>
        <v>0</v>
      </c>
      <c r="K184" s="39">
        <f>OC!$B$6</f>
        <v>0</v>
      </c>
      <c r="L184" s="39">
        <f>OC!$B$7</f>
        <v>0</v>
      </c>
      <c r="M184" s="39">
        <f>OC!$B$2</f>
        <v>0</v>
      </c>
      <c r="N184" s="44">
        <f>OC!$B$3</f>
        <v>0</v>
      </c>
      <c r="O184" s="39">
        <f>OC!$B$5</f>
        <v>0</v>
      </c>
      <c r="P184" s="39">
        <f>OC!$B$8</f>
        <v>0</v>
      </c>
      <c r="Q184" s="39">
        <f>OC!$B$4</f>
        <v>0</v>
      </c>
      <c r="R184" s="43">
        <f>OC!J192</f>
        <v>0</v>
      </c>
      <c r="S184" s="43">
        <v>0</v>
      </c>
      <c r="T184" s="43">
        <f>OC!L192</f>
        <v>0</v>
      </c>
      <c r="U184" s="43">
        <f>OC!M192</f>
        <v>0</v>
      </c>
      <c r="V184" s="43">
        <f>OC!N192</f>
        <v>0</v>
      </c>
    </row>
    <row r="185" spans="1:22" s="31" customFormat="1" x14ac:dyDescent="0.3">
      <c r="A185" s="38">
        <f>OC!A193</f>
        <v>0</v>
      </c>
      <c r="B185" s="38">
        <f>OC!B193</f>
        <v>0</v>
      </c>
      <c r="C185" s="38">
        <f>OC!C193</f>
        <v>0</v>
      </c>
      <c r="D185" s="38">
        <f>OC!P193</f>
        <v>0</v>
      </c>
      <c r="E185" s="39">
        <f>OC!D193</f>
        <v>0</v>
      </c>
      <c r="F185" s="40">
        <f>OC!E193</f>
        <v>0</v>
      </c>
      <c r="G185" s="41">
        <f t="shared" si="9"/>
        <v>0</v>
      </c>
      <c r="H185" s="39">
        <f>IF(_xlfn.XLOOKUP(A185,[1]MACHOTE!A:A,[1]MACHOTE!V:V,0,0)="S",1.16,IF(_xlfn.XLOOKUP(A185,[1]MACHOTE!A:A,[1]MACHOTE!Y:Y,0,0)="S",1.08,1))</f>
        <v>1</v>
      </c>
      <c r="I185" s="39">
        <f t="shared" si="10"/>
        <v>0</v>
      </c>
      <c r="J185" s="42">
        <f t="shared" si="11"/>
        <v>0</v>
      </c>
      <c r="K185" s="39">
        <f>OC!$B$6</f>
        <v>0</v>
      </c>
      <c r="L185" s="39">
        <f>OC!$B$7</f>
        <v>0</v>
      </c>
      <c r="M185" s="39">
        <f>OC!$B$2</f>
        <v>0</v>
      </c>
      <c r="N185" s="44">
        <f>OC!$B$3</f>
        <v>0</v>
      </c>
      <c r="O185" s="39">
        <f>OC!$B$5</f>
        <v>0</v>
      </c>
      <c r="P185" s="39">
        <f>OC!$B$8</f>
        <v>0</v>
      </c>
      <c r="Q185" s="39">
        <f>OC!$B$4</f>
        <v>0</v>
      </c>
      <c r="R185" s="43">
        <f>OC!J193</f>
        <v>0</v>
      </c>
      <c r="S185" s="43">
        <v>0</v>
      </c>
      <c r="T185" s="43">
        <f>OC!L193</f>
        <v>0</v>
      </c>
      <c r="U185" s="43">
        <f>OC!M193</f>
        <v>0</v>
      </c>
      <c r="V185" s="43">
        <f>OC!N193</f>
        <v>0</v>
      </c>
    </row>
    <row r="186" spans="1:22" s="31" customFormat="1" x14ac:dyDescent="0.3">
      <c r="A186" s="38">
        <f>OC!A194</f>
        <v>0</v>
      </c>
      <c r="B186" s="38">
        <f>OC!B194</f>
        <v>0</v>
      </c>
      <c r="C186" s="38">
        <f>OC!C194</f>
        <v>0</v>
      </c>
      <c r="D186" s="38">
        <f>OC!P194</f>
        <v>0</v>
      </c>
      <c r="E186" s="39">
        <f>OC!D194</f>
        <v>0</v>
      </c>
      <c r="F186" s="40">
        <f>OC!E194</f>
        <v>0</v>
      </c>
      <c r="G186" s="41">
        <f t="shared" si="9"/>
        <v>0</v>
      </c>
      <c r="H186" s="39">
        <f>IF(_xlfn.XLOOKUP(A186,[1]MACHOTE!A:A,[1]MACHOTE!V:V,0,0)="S",1.16,IF(_xlfn.XLOOKUP(A186,[1]MACHOTE!A:A,[1]MACHOTE!Y:Y,0,0)="S",1.08,1))</f>
        <v>1</v>
      </c>
      <c r="I186" s="39">
        <f t="shared" si="10"/>
        <v>0</v>
      </c>
      <c r="J186" s="42">
        <f t="shared" si="11"/>
        <v>0</v>
      </c>
      <c r="K186" s="39">
        <f>OC!$B$6</f>
        <v>0</v>
      </c>
      <c r="L186" s="39">
        <f>OC!$B$7</f>
        <v>0</v>
      </c>
      <c r="M186" s="39">
        <f>OC!$B$2</f>
        <v>0</v>
      </c>
      <c r="N186" s="44">
        <f>OC!$B$3</f>
        <v>0</v>
      </c>
      <c r="O186" s="39">
        <f>OC!$B$5</f>
        <v>0</v>
      </c>
      <c r="P186" s="39">
        <f>OC!$B$8</f>
        <v>0</v>
      </c>
      <c r="Q186" s="39">
        <f>OC!$B$4</f>
        <v>0</v>
      </c>
      <c r="R186" s="43">
        <f>OC!J194</f>
        <v>0</v>
      </c>
      <c r="S186" s="43">
        <v>0</v>
      </c>
      <c r="T186" s="43">
        <f>OC!L194</f>
        <v>0</v>
      </c>
      <c r="U186" s="43">
        <f>OC!M194</f>
        <v>0</v>
      </c>
      <c r="V186" s="43">
        <f>OC!N194</f>
        <v>0</v>
      </c>
    </row>
    <row r="187" spans="1:22" s="31" customFormat="1" x14ac:dyDescent="0.3">
      <c r="A187" s="38">
        <f>OC!A195</f>
        <v>0</v>
      </c>
      <c r="B187" s="38">
        <f>OC!B195</f>
        <v>0</v>
      </c>
      <c r="C187" s="38">
        <f>OC!C195</f>
        <v>0</v>
      </c>
      <c r="D187" s="38">
        <f>OC!P195</f>
        <v>0</v>
      </c>
      <c r="E187" s="39">
        <f>OC!D195</f>
        <v>0</v>
      </c>
      <c r="F187" s="40">
        <f>OC!E195</f>
        <v>0</v>
      </c>
      <c r="G187" s="41">
        <f t="shared" si="9"/>
        <v>0</v>
      </c>
      <c r="H187" s="39">
        <f>IF(_xlfn.XLOOKUP(A187,[1]MACHOTE!A:A,[1]MACHOTE!V:V,0,0)="S",1.16,IF(_xlfn.XLOOKUP(A187,[1]MACHOTE!A:A,[1]MACHOTE!Y:Y,0,0)="S",1.08,1))</f>
        <v>1</v>
      </c>
      <c r="I187" s="39">
        <f t="shared" si="10"/>
        <v>0</v>
      </c>
      <c r="J187" s="42">
        <f t="shared" si="11"/>
        <v>0</v>
      </c>
      <c r="K187" s="39">
        <f>OC!$B$6</f>
        <v>0</v>
      </c>
      <c r="L187" s="39">
        <f>OC!$B$7</f>
        <v>0</v>
      </c>
      <c r="M187" s="39">
        <f>OC!$B$2</f>
        <v>0</v>
      </c>
      <c r="N187" s="44">
        <f>OC!$B$3</f>
        <v>0</v>
      </c>
      <c r="O187" s="39">
        <f>OC!$B$5</f>
        <v>0</v>
      </c>
      <c r="P187" s="39">
        <f>OC!$B$8</f>
        <v>0</v>
      </c>
      <c r="Q187" s="39">
        <f>OC!$B$4</f>
        <v>0</v>
      </c>
      <c r="R187" s="43">
        <f>OC!J195</f>
        <v>0</v>
      </c>
      <c r="S187" s="43">
        <v>0</v>
      </c>
      <c r="T187" s="43">
        <f>OC!L195</f>
        <v>0</v>
      </c>
      <c r="U187" s="43">
        <f>OC!M195</f>
        <v>0</v>
      </c>
      <c r="V187" s="43">
        <f>OC!N195</f>
        <v>0</v>
      </c>
    </row>
    <row r="188" spans="1:22" s="31" customFormat="1" x14ac:dyDescent="0.3">
      <c r="A188" s="38">
        <f>OC!A196</f>
        <v>0</v>
      </c>
      <c r="B188" s="38">
        <f>OC!B196</f>
        <v>0</v>
      </c>
      <c r="C188" s="38">
        <f>OC!C196</f>
        <v>0</v>
      </c>
      <c r="D188" s="38">
        <f>OC!P196</f>
        <v>0</v>
      </c>
      <c r="E188" s="39">
        <f>OC!D196</f>
        <v>0</v>
      </c>
      <c r="F188" s="40">
        <f>OC!E196</f>
        <v>0</v>
      </c>
      <c r="G188" s="41">
        <f t="shared" si="9"/>
        <v>0</v>
      </c>
      <c r="H188" s="39">
        <f>IF(_xlfn.XLOOKUP(A188,[1]MACHOTE!A:A,[1]MACHOTE!V:V,0,0)="S",1.16,IF(_xlfn.XLOOKUP(A188,[1]MACHOTE!A:A,[1]MACHOTE!Y:Y,0,0)="S",1.08,1))</f>
        <v>1</v>
      </c>
      <c r="I188" s="39">
        <f t="shared" si="10"/>
        <v>0</v>
      </c>
      <c r="J188" s="42">
        <f t="shared" si="11"/>
        <v>0</v>
      </c>
      <c r="K188" s="39">
        <f>OC!$B$6</f>
        <v>0</v>
      </c>
      <c r="L188" s="39">
        <f>OC!$B$7</f>
        <v>0</v>
      </c>
      <c r="M188" s="39">
        <f>OC!$B$2</f>
        <v>0</v>
      </c>
      <c r="N188" s="44">
        <f>OC!$B$3</f>
        <v>0</v>
      </c>
      <c r="O188" s="39">
        <f>OC!$B$5</f>
        <v>0</v>
      </c>
      <c r="P188" s="39">
        <f>OC!$B$8</f>
        <v>0</v>
      </c>
      <c r="Q188" s="39">
        <f>OC!$B$4</f>
        <v>0</v>
      </c>
      <c r="R188" s="43">
        <f>OC!J196</f>
        <v>0</v>
      </c>
      <c r="S188" s="43">
        <v>0</v>
      </c>
      <c r="T188" s="43">
        <f>OC!L196</f>
        <v>0</v>
      </c>
      <c r="U188" s="43">
        <f>OC!M196</f>
        <v>0</v>
      </c>
      <c r="V188" s="43">
        <f>OC!N196</f>
        <v>0</v>
      </c>
    </row>
    <row r="189" spans="1:22" s="31" customFormat="1" x14ac:dyDescent="0.3">
      <c r="A189" s="38">
        <f>OC!A197</f>
        <v>0</v>
      </c>
      <c r="B189" s="38">
        <f>OC!B197</f>
        <v>0</v>
      </c>
      <c r="C189" s="38">
        <f>OC!C197</f>
        <v>0</v>
      </c>
      <c r="D189" s="38">
        <f>OC!P197</f>
        <v>0</v>
      </c>
      <c r="E189" s="39">
        <f>OC!D197</f>
        <v>0</v>
      </c>
      <c r="F189" s="40">
        <f>OC!E197</f>
        <v>0</v>
      </c>
      <c r="G189" s="41">
        <f t="shared" si="9"/>
        <v>0</v>
      </c>
      <c r="H189" s="39">
        <f>IF(_xlfn.XLOOKUP(A189,[1]MACHOTE!A:A,[1]MACHOTE!V:V,0,0)="S",1.16,IF(_xlfn.XLOOKUP(A189,[1]MACHOTE!A:A,[1]MACHOTE!Y:Y,0,0)="S",1.08,1))</f>
        <v>1</v>
      </c>
      <c r="I189" s="39">
        <f t="shared" si="10"/>
        <v>0</v>
      </c>
      <c r="J189" s="42">
        <f t="shared" si="11"/>
        <v>0</v>
      </c>
      <c r="K189" s="39">
        <f>OC!$B$6</f>
        <v>0</v>
      </c>
      <c r="L189" s="39">
        <f>OC!$B$7</f>
        <v>0</v>
      </c>
      <c r="M189" s="39">
        <f>OC!$B$2</f>
        <v>0</v>
      </c>
      <c r="N189" s="44">
        <f>OC!$B$3</f>
        <v>0</v>
      </c>
      <c r="O189" s="39">
        <f>OC!$B$5</f>
        <v>0</v>
      </c>
      <c r="P189" s="39">
        <f>OC!$B$8</f>
        <v>0</v>
      </c>
      <c r="Q189" s="39">
        <f>OC!$B$4</f>
        <v>0</v>
      </c>
      <c r="R189" s="43">
        <f>OC!J197</f>
        <v>0</v>
      </c>
      <c r="S189" s="43">
        <v>0</v>
      </c>
      <c r="T189" s="43">
        <f>OC!L197</f>
        <v>0</v>
      </c>
      <c r="U189" s="43">
        <f>OC!M197</f>
        <v>0</v>
      </c>
      <c r="V189" s="43">
        <f>OC!N197</f>
        <v>0</v>
      </c>
    </row>
    <row r="190" spans="1:22" s="31" customFormat="1" x14ac:dyDescent="0.3">
      <c r="A190" s="38">
        <f>OC!A198</f>
        <v>0</v>
      </c>
      <c r="B190" s="38">
        <f>OC!B198</f>
        <v>0</v>
      </c>
      <c r="C190" s="38">
        <f>OC!C198</f>
        <v>0</v>
      </c>
      <c r="D190" s="38">
        <f>OC!P198</f>
        <v>0</v>
      </c>
      <c r="E190" s="39">
        <f>OC!D198</f>
        <v>0</v>
      </c>
      <c r="F190" s="40">
        <f>OC!E198</f>
        <v>0</v>
      </c>
      <c r="G190" s="41">
        <f t="shared" si="9"/>
        <v>0</v>
      </c>
      <c r="H190" s="39">
        <f>IF(_xlfn.XLOOKUP(A190,[1]MACHOTE!A:A,[1]MACHOTE!V:V,0,0)="S",1.16,IF(_xlfn.XLOOKUP(A190,[1]MACHOTE!A:A,[1]MACHOTE!Y:Y,0,0)="S",1.08,1))</f>
        <v>1</v>
      </c>
      <c r="I190" s="39">
        <f t="shared" si="10"/>
        <v>0</v>
      </c>
      <c r="J190" s="42">
        <f t="shared" si="11"/>
        <v>0</v>
      </c>
      <c r="K190" s="39">
        <f>OC!$B$6</f>
        <v>0</v>
      </c>
      <c r="L190" s="39">
        <f>OC!$B$7</f>
        <v>0</v>
      </c>
      <c r="M190" s="39">
        <f>OC!$B$2</f>
        <v>0</v>
      </c>
      <c r="N190" s="44">
        <f>OC!$B$3</f>
        <v>0</v>
      </c>
      <c r="O190" s="39">
        <f>OC!$B$5</f>
        <v>0</v>
      </c>
      <c r="P190" s="39">
        <f>OC!$B$8</f>
        <v>0</v>
      </c>
      <c r="Q190" s="39">
        <f>OC!$B$4</f>
        <v>0</v>
      </c>
      <c r="R190" s="43">
        <f>OC!J198</f>
        <v>0</v>
      </c>
      <c r="S190" s="43">
        <v>0</v>
      </c>
      <c r="T190" s="43">
        <f>OC!L198</f>
        <v>0</v>
      </c>
      <c r="U190" s="43">
        <f>OC!M198</f>
        <v>0</v>
      </c>
      <c r="V190" s="43">
        <f>OC!N198</f>
        <v>0</v>
      </c>
    </row>
    <row r="191" spans="1:22" s="31" customFormat="1" x14ac:dyDescent="0.3">
      <c r="A191" s="38">
        <f>OC!A199</f>
        <v>0</v>
      </c>
      <c r="B191" s="38">
        <f>OC!B199</f>
        <v>0</v>
      </c>
      <c r="C191" s="38">
        <f>OC!C199</f>
        <v>0</v>
      </c>
      <c r="D191" s="38">
        <f>OC!P199</f>
        <v>0</v>
      </c>
      <c r="E191" s="39">
        <f>OC!D199</f>
        <v>0</v>
      </c>
      <c r="F191" s="40">
        <f>OC!E199</f>
        <v>0</v>
      </c>
      <c r="G191" s="41">
        <f t="shared" si="9"/>
        <v>0</v>
      </c>
      <c r="H191" s="39">
        <f>IF(_xlfn.XLOOKUP(A191,[1]MACHOTE!A:A,[1]MACHOTE!V:V,0,0)="S",1.16,IF(_xlfn.XLOOKUP(A191,[1]MACHOTE!A:A,[1]MACHOTE!Y:Y,0,0)="S",1.08,1))</f>
        <v>1</v>
      </c>
      <c r="I191" s="39">
        <f t="shared" si="10"/>
        <v>0</v>
      </c>
      <c r="J191" s="42">
        <f t="shared" si="11"/>
        <v>0</v>
      </c>
      <c r="K191" s="39">
        <f>OC!$B$6</f>
        <v>0</v>
      </c>
      <c r="L191" s="39">
        <f>OC!$B$7</f>
        <v>0</v>
      </c>
      <c r="M191" s="39">
        <f>OC!$B$2</f>
        <v>0</v>
      </c>
      <c r="N191" s="44">
        <f>OC!$B$3</f>
        <v>0</v>
      </c>
      <c r="O191" s="39">
        <f>OC!$B$5</f>
        <v>0</v>
      </c>
      <c r="P191" s="39">
        <f>OC!$B$8</f>
        <v>0</v>
      </c>
      <c r="Q191" s="39">
        <f>OC!$B$4</f>
        <v>0</v>
      </c>
      <c r="R191" s="43">
        <f>OC!J199</f>
        <v>0</v>
      </c>
      <c r="S191" s="43">
        <v>0</v>
      </c>
      <c r="T191" s="43">
        <f>OC!L199</f>
        <v>0</v>
      </c>
      <c r="U191" s="43">
        <f>OC!M199</f>
        <v>0</v>
      </c>
      <c r="V191" s="43">
        <f>OC!N199</f>
        <v>0</v>
      </c>
    </row>
    <row r="192" spans="1:22" s="31" customFormat="1" x14ac:dyDescent="0.3">
      <c r="A192" s="38">
        <f>OC!A200</f>
        <v>0</v>
      </c>
      <c r="B192" s="38">
        <f>OC!B200</f>
        <v>0</v>
      </c>
      <c r="C192" s="38">
        <f>OC!C200</f>
        <v>0</v>
      </c>
      <c r="D192" s="38">
        <f>OC!P200</f>
        <v>0</v>
      </c>
      <c r="E192" s="39">
        <f>OC!D200</f>
        <v>0</v>
      </c>
      <c r="F192" s="40">
        <f>OC!E200</f>
        <v>0</v>
      </c>
      <c r="G192" s="41">
        <f t="shared" si="9"/>
        <v>0</v>
      </c>
      <c r="H192" s="39">
        <f>IF(_xlfn.XLOOKUP(A192,[1]MACHOTE!A:A,[1]MACHOTE!V:V,0,0)="S",1.16,IF(_xlfn.XLOOKUP(A192,[1]MACHOTE!A:A,[1]MACHOTE!Y:Y,0,0)="S",1.08,1))</f>
        <v>1</v>
      </c>
      <c r="I192" s="39">
        <f t="shared" si="10"/>
        <v>0</v>
      </c>
      <c r="J192" s="42">
        <f t="shared" si="11"/>
        <v>0</v>
      </c>
      <c r="K192" s="39">
        <f>OC!$B$6</f>
        <v>0</v>
      </c>
      <c r="L192" s="39">
        <f>OC!$B$7</f>
        <v>0</v>
      </c>
      <c r="M192" s="39">
        <f>OC!$B$2</f>
        <v>0</v>
      </c>
      <c r="N192" s="44">
        <f>OC!$B$3</f>
        <v>0</v>
      </c>
      <c r="O192" s="39">
        <f>OC!$B$5</f>
        <v>0</v>
      </c>
      <c r="P192" s="39">
        <f>OC!$B$8</f>
        <v>0</v>
      </c>
      <c r="Q192" s="39">
        <f>OC!$B$4</f>
        <v>0</v>
      </c>
      <c r="R192" s="43">
        <f>OC!J200</f>
        <v>0</v>
      </c>
      <c r="S192" s="43">
        <v>0</v>
      </c>
      <c r="T192" s="43">
        <f>OC!L200</f>
        <v>0</v>
      </c>
      <c r="U192" s="43">
        <f>OC!M200</f>
        <v>0</v>
      </c>
      <c r="V192" s="43">
        <f>OC!N200</f>
        <v>0</v>
      </c>
    </row>
    <row r="193" spans="1:22" s="31" customFormat="1" x14ac:dyDescent="0.3">
      <c r="A193" s="38">
        <f>OC!A201</f>
        <v>0</v>
      </c>
      <c r="B193" s="38">
        <f>OC!B201</f>
        <v>0</v>
      </c>
      <c r="C193" s="38">
        <f>OC!C201</f>
        <v>0</v>
      </c>
      <c r="D193" s="38">
        <f>OC!P201</f>
        <v>0</v>
      </c>
      <c r="E193" s="39">
        <f>OC!D201</f>
        <v>0</v>
      </c>
      <c r="F193" s="40">
        <f>OC!E201</f>
        <v>0</v>
      </c>
      <c r="G193" s="41">
        <f t="shared" si="9"/>
        <v>0</v>
      </c>
      <c r="H193" s="39">
        <f>IF(_xlfn.XLOOKUP(A193,[1]MACHOTE!A:A,[1]MACHOTE!V:V,0,0)="S",1.16,IF(_xlfn.XLOOKUP(A193,[1]MACHOTE!A:A,[1]MACHOTE!Y:Y,0,0)="S",1.08,1))</f>
        <v>1</v>
      </c>
      <c r="I193" s="39">
        <f t="shared" si="10"/>
        <v>0</v>
      </c>
      <c r="J193" s="42">
        <f t="shared" si="11"/>
        <v>0</v>
      </c>
      <c r="K193" s="39">
        <f>OC!$B$6</f>
        <v>0</v>
      </c>
      <c r="L193" s="39">
        <f>OC!$B$7</f>
        <v>0</v>
      </c>
      <c r="M193" s="39">
        <f>OC!$B$2</f>
        <v>0</v>
      </c>
      <c r="N193" s="44">
        <f>OC!$B$3</f>
        <v>0</v>
      </c>
      <c r="O193" s="39">
        <f>OC!$B$5</f>
        <v>0</v>
      </c>
      <c r="P193" s="39">
        <f>OC!$B$8</f>
        <v>0</v>
      </c>
      <c r="Q193" s="39">
        <f>OC!$B$4</f>
        <v>0</v>
      </c>
      <c r="R193" s="43">
        <f>OC!J201</f>
        <v>0</v>
      </c>
      <c r="S193" s="43">
        <v>0</v>
      </c>
      <c r="T193" s="43">
        <f>OC!L201</f>
        <v>0</v>
      </c>
      <c r="U193" s="43">
        <f>OC!M201</f>
        <v>0</v>
      </c>
      <c r="V193" s="43">
        <f>OC!N201</f>
        <v>0</v>
      </c>
    </row>
    <row r="194" spans="1:22" s="31" customFormat="1" x14ac:dyDescent="0.3">
      <c r="A194" s="38">
        <f>OC!A202</f>
        <v>0</v>
      </c>
      <c r="B194" s="38">
        <f>OC!B202</f>
        <v>0</v>
      </c>
      <c r="C194" s="38">
        <f>OC!C202</f>
        <v>0</v>
      </c>
      <c r="D194" s="38">
        <f>OC!P202</f>
        <v>0</v>
      </c>
      <c r="E194" s="39">
        <f>OC!D202</f>
        <v>0</v>
      </c>
      <c r="F194" s="40">
        <f>OC!E202</f>
        <v>0</v>
      </c>
      <c r="G194" s="41">
        <f t="shared" si="9"/>
        <v>0</v>
      </c>
      <c r="H194" s="39">
        <f>IF(_xlfn.XLOOKUP(A194,[1]MACHOTE!A:A,[1]MACHOTE!V:V,0,0)="S",1.16,IF(_xlfn.XLOOKUP(A194,[1]MACHOTE!A:A,[1]MACHOTE!Y:Y,0,0)="S",1.08,1))</f>
        <v>1</v>
      </c>
      <c r="I194" s="39">
        <f t="shared" si="10"/>
        <v>0</v>
      </c>
      <c r="J194" s="42">
        <f t="shared" si="11"/>
        <v>0</v>
      </c>
      <c r="K194" s="39">
        <f>OC!$B$6</f>
        <v>0</v>
      </c>
      <c r="L194" s="39">
        <f>OC!$B$7</f>
        <v>0</v>
      </c>
      <c r="M194" s="39">
        <f>OC!$B$2</f>
        <v>0</v>
      </c>
      <c r="N194" s="44">
        <f>OC!$B$3</f>
        <v>0</v>
      </c>
      <c r="O194" s="39">
        <f>OC!$B$5</f>
        <v>0</v>
      </c>
      <c r="P194" s="39">
        <f>OC!$B$8</f>
        <v>0</v>
      </c>
      <c r="Q194" s="39">
        <f>OC!$B$4</f>
        <v>0</v>
      </c>
      <c r="R194" s="43">
        <f>OC!J202</f>
        <v>0</v>
      </c>
      <c r="S194" s="43">
        <v>0</v>
      </c>
      <c r="T194" s="43">
        <f>OC!L202</f>
        <v>0</v>
      </c>
      <c r="U194" s="43">
        <f>OC!M202</f>
        <v>0</v>
      </c>
      <c r="V194" s="43">
        <f>OC!N202</f>
        <v>0</v>
      </c>
    </row>
    <row r="195" spans="1:22" s="31" customFormat="1" x14ac:dyDescent="0.3">
      <c r="A195" s="38">
        <f>OC!A203</f>
        <v>0</v>
      </c>
      <c r="B195" s="38">
        <f>OC!B203</f>
        <v>0</v>
      </c>
      <c r="C195" s="38">
        <f>OC!C203</f>
        <v>0</v>
      </c>
      <c r="D195" s="38">
        <f>OC!P203</f>
        <v>0</v>
      </c>
      <c r="E195" s="39">
        <f>OC!D203</f>
        <v>0</v>
      </c>
      <c r="F195" s="40">
        <f>OC!E203</f>
        <v>0</v>
      </c>
      <c r="G195" s="41">
        <f t="shared" si="9"/>
        <v>0</v>
      </c>
      <c r="H195" s="39">
        <f>IF(_xlfn.XLOOKUP(A195,[1]MACHOTE!A:A,[1]MACHOTE!V:V,0,0)="S",1.16,IF(_xlfn.XLOOKUP(A195,[1]MACHOTE!A:A,[1]MACHOTE!Y:Y,0,0)="S",1.08,1))</f>
        <v>1</v>
      </c>
      <c r="I195" s="39">
        <f t="shared" si="10"/>
        <v>0</v>
      </c>
      <c r="J195" s="42">
        <f t="shared" si="11"/>
        <v>0</v>
      </c>
      <c r="K195" s="39">
        <f>OC!$B$6</f>
        <v>0</v>
      </c>
      <c r="L195" s="39">
        <f>OC!$B$7</f>
        <v>0</v>
      </c>
      <c r="M195" s="39">
        <f>OC!$B$2</f>
        <v>0</v>
      </c>
      <c r="N195" s="44">
        <f>OC!$B$3</f>
        <v>0</v>
      </c>
      <c r="O195" s="39">
        <f>OC!$B$5</f>
        <v>0</v>
      </c>
      <c r="P195" s="39">
        <f>OC!$B$8</f>
        <v>0</v>
      </c>
      <c r="Q195" s="39">
        <f>OC!$B$4</f>
        <v>0</v>
      </c>
      <c r="R195" s="43">
        <f>OC!J203</f>
        <v>0</v>
      </c>
      <c r="S195" s="43">
        <v>0</v>
      </c>
      <c r="T195" s="43">
        <f>OC!L203</f>
        <v>0</v>
      </c>
      <c r="U195" s="43">
        <f>OC!M203</f>
        <v>0</v>
      </c>
      <c r="V195" s="43">
        <f>OC!N203</f>
        <v>0</v>
      </c>
    </row>
    <row r="196" spans="1:22" s="31" customFormat="1" x14ac:dyDescent="0.3">
      <c r="A196" s="38">
        <f>OC!A204</f>
        <v>0</v>
      </c>
      <c r="B196" s="38">
        <f>OC!B204</f>
        <v>0</v>
      </c>
      <c r="C196" s="38">
        <f>OC!C204</f>
        <v>0</v>
      </c>
      <c r="D196" s="38">
        <f>OC!P204</f>
        <v>0</v>
      </c>
      <c r="E196" s="39">
        <f>OC!D204</f>
        <v>0</v>
      </c>
      <c r="F196" s="40">
        <f>OC!E204</f>
        <v>0</v>
      </c>
      <c r="G196" s="41">
        <f t="shared" si="9"/>
        <v>0</v>
      </c>
      <c r="H196" s="39">
        <f>IF(_xlfn.XLOOKUP(A196,[1]MACHOTE!A:A,[1]MACHOTE!V:V,0,0)="S",1.16,IF(_xlfn.XLOOKUP(A196,[1]MACHOTE!A:A,[1]MACHOTE!Y:Y,0,0)="S",1.08,1))</f>
        <v>1</v>
      </c>
      <c r="I196" s="39">
        <f t="shared" si="10"/>
        <v>0</v>
      </c>
      <c r="J196" s="42">
        <f t="shared" si="11"/>
        <v>0</v>
      </c>
      <c r="K196" s="39">
        <f>OC!$B$6</f>
        <v>0</v>
      </c>
      <c r="L196" s="39">
        <f>OC!$B$7</f>
        <v>0</v>
      </c>
      <c r="M196" s="39">
        <f>OC!$B$2</f>
        <v>0</v>
      </c>
      <c r="N196" s="44">
        <f>OC!$B$3</f>
        <v>0</v>
      </c>
      <c r="O196" s="39">
        <f>OC!$B$5</f>
        <v>0</v>
      </c>
      <c r="P196" s="39">
        <f>OC!$B$8</f>
        <v>0</v>
      </c>
      <c r="Q196" s="39">
        <f>OC!$B$4</f>
        <v>0</v>
      </c>
      <c r="R196" s="43">
        <f>OC!J204</f>
        <v>0</v>
      </c>
      <c r="S196" s="43">
        <v>0</v>
      </c>
      <c r="T196" s="43">
        <f>OC!L204</f>
        <v>0</v>
      </c>
      <c r="U196" s="43">
        <f>OC!M204</f>
        <v>0</v>
      </c>
      <c r="V196" s="43">
        <f>OC!N204</f>
        <v>0</v>
      </c>
    </row>
    <row r="197" spans="1:22" s="31" customFormat="1" x14ac:dyDescent="0.3">
      <c r="A197" s="38">
        <f>OC!A205</f>
        <v>0</v>
      </c>
      <c r="B197" s="38">
        <f>OC!B205</f>
        <v>0</v>
      </c>
      <c r="C197" s="38">
        <f>OC!C205</f>
        <v>0</v>
      </c>
      <c r="D197" s="38">
        <f>OC!P205</f>
        <v>0</v>
      </c>
      <c r="E197" s="39">
        <f>OC!D205</f>
        <v>0</v>
      </c>
      <c r="F197" s="40">
        <f>OC!E205</f>
        <v>0</v>
      </c>
      <c r="G197" s="41">
        <f t="shared" si="9"/>
        <v>0</v>
      </c>
      <c r="H197" s="39">
        <f>IF(_xlfn.XLOOKUP(A197,[1]MACHOTE!A:A,[1]MACHOTE!V:V,0,0)="S",1.16,IF(_xlfn.XLOOKUP(A197,[1]MACHOTE!A:A,[1]MACHOTE!Y:Y,0,0)="S",1.08,1))</f>
        <v>1</v>
      </c>
      <c r="I197" s="39">
        <f t="shared" si="10"/>
        <v>0</v>
      </c>
      <c r="J197" s="42">
        <f t="shared" si="11"/>
        <v>0</v>
      </c>
      <c r="K197" s="39">
        <f>OC!$B$6</f>
        <v>0</v>
      </c>
      <c r="L197" s="39">
        <f>OC!$B$7</f>
        <v>0</v>
      </c>
      <c r="M197" s="39">
        <f>OC!$B$2</f>
        <v>0</v>
      </c>
      <c r="N197" s="44">
        <f>OC!$B$3</f>
        <v>0</v>
      </c>
      <c r="O197" s="39">
        <f>OC!$B$5</f>
        <v>0</v>
      </c>
      <c r="P197" s="39">
        <f>OC!$B$8</f>
        <v>0</v>
      </c>
      <c r="Q197" s="39">
        <f>OC!$B$4</f>
        <v>0</v>
      </c>
      <c r="R197" s="43">
        <f>OC!J205</f>
        <v>0</v>
      </c>
      <c r="S197" s="43">
        <v>0</v>
      </c>
      <c r="T197" s="43">
        <f>OC!L205</f>
        <v>0</v>
      </c>
      <c r="U197" s="43">
        <f>OC!M205</f>
        <v>0</v>
      </c>
      <c r="V197" s="43">
        <f>OC!N205</f>
        <v>0</v>
      </c>
    </row>
    <row r="198" spans="1:22" s="31" customFormat="1" x14ac:dyDescent="0.3">
      <c r="A198" s="38">
        <f>OC!A206</f>
        <v>0</v>
      </c>
      <c r="B198" s="38">
        <f>OC!B206</f>
        <v>0</v>
      </c>
      <c r="C198" s="38">
        <f>OC!C206</f>
        <v>0</v>
      </c>
      <c r="D198" s="38">
        <f>OC!P206</f>
        <v>0</v>
      </c>
      <c r="E198" s="39">
        <f>OC!D206</f>
        <v>0</v>
      </c>
      <c r="F198" s="40">
        <f>OC!E206</f>
        <v>0</v>
      </c>
      <c r="G198" s="41">
        <f t="shared" si="9"/>
        <v>0</v>
      </c>
      <c r="H198" s="39">
        <f>IF(_xlfn.XLOOKUP(A198,[1]MACHOTE!A:A,[1]MACHOTE!V:V,0,0)="S",1.16,IF(_xlfn.XLOOKUP(A198,[1]MACHOTE!A:A,[1]MACHOTE!Y:Y,0,0)="S",1.08,1))</f>
        <v>1</v>
      </c>
      <c r="I198" s="39">
        <f t="shared" si="10"/>
        <v>0</v>
      </c>
      <c r="J198" s="42">
        <f t="shared" si="11"/>
        <v>0</v>
      </c>
      <c r="K198" s="39">
        <f>OC!$B$6</f>
        <v>0</v>
      </c>
      <c r="L198" s="39">
        <f>OC!$B$7</f>
        <v>0</v>
      </c>
      <c r="M198" s="39">
        <f>OC!$B$2</f>
        <v>0</v>
      </c>
      <c r="N198" s="44">
        <f>OC!$B$3</f>
        <v>0</v>
      </c>
      <c r="O198" s="39">
        <f>OC!$B$5</f>
        <v>0</v>
      </c>
      <c r="P198" s="39">
        <f>OC!$B$8</f>
        <v>0</v>
      </c>
      <c r="Q198" s="39">
        <f>OC!$B$4</f>
        <v>0</v>
      </c>
      <c r="R198" s="43">
        <f>OC!J206</f>
        <v>0</v>
      </c>
      <c r="S198" s="43">
        <v>0</v>
      </c>
      <c r="T198" s="43">
        <f>OC!L206</f>
        <v>0</v>
      </c>
      <c r="U198" s="43">
        <f>OC!M206</f>
        <v>0</v>
      </c>
      <c r="V198" s="43">
        <f>OC!N206</f>
        <v>0</v>
      </c>
    </row>
    <row r="199" spans="1:22" s="31" customFormat="1" x14ac:dyDescent="0.3">
      <c r="A199" s="38">
        <f>OC!A207</f>
        <v>0</v>
      </c>
      <c r="B199" s="38">
        <f>OC!B207</f>
        <v>0</v>
      </c>
      <c r="C199" s="38">
        <f>OC!C207</f>
        <v>0</v>
      </c>
      <c r="D199" s="38">
        <f>OC!P207</f>
        <v>0</v>
      </c>
      <c r="E199" s="39">
        <f>OC!D207</f>
        <v>0</v>
      </c>
      <c r="F199" s="40">
        <f>OC!E207</f>
        <v>0</v>
      </c>
      <c r="G199" s="41">
        <f t="shared" si="9"/>
        <v>0</v>
      </c>
      <c r="H199" s="39">
        <f>IF(_xlfn.XLOOKUP(A199,[1]MACHOTE!A:A,[1]MACHOTE!V:V,0,0)="S",1.16,IF(_xlfn.XLOOKUP(A199,[1]MACHOTE!A:A,[1]MACHOTE!Y:Y,0,0)="S",1.08,1))</f>
        <v>1</v>
      </c>
      <c r="I199" s="39">
        <f t="shared" si="10"/>
        <v>0</v>
      </c>
      <c r="J199" s="42">
        <f t="shared" si="11"/>
        <v>0</v>
      </c>
      <c r="K199" s="39">
        <f>OC!$B$6</f>
        <v>0</v>
      </c>
      <c r="L199" s="39">
        <f>OC!$B$7</f>
        <v>0</v>
      </c>
      <c r="M199" s="39">
        <f>OC!$B$2</f>
        <v>0</v>
      </c>
      <c r="N199" s="44">
        <f>OC!$B$3</f>
        <v>0</v>
      </c>
      <c r="O199" s="39">
        <f>OC!$B$5</f>
        <v>0</v>
      </c>
      <c r="P199" s="39">
        <f>OC!$B$8</f>
        <v>0</v>
      </c>
      <c r="Q199" s="39">
        <f>OC!$B$4</f>
        <v>0</v>
      </c>
      <c r="R199" s="43">
        <f>OC!J207</f>
        <v>0</v>
      </c>
      <c r="S199" s="43">
        <v>0</v>
      </c>
      <c r="T199" s="43">
        <f>OC!L207</f>
        <v>0</v>
      </c>
      <c r="U199" s="43">
        <f>OC!M207</f>
        <v>0</v>
      </c>
      <c r="V199" s="43">
        <f>OC!N207</f>
        <v>0</v>
      </c>
    </row>
    <row r="200" spans="1:22" s="31" customFormat="1" x14ac:dyDescent="0.3">
      <c r="A200" s="38">
        <f>OC!A208</f>
        <v>0</v>
      </c>
      <c r="B200" s="38">
        <f>OC!B208</f>
        <v>0</v>
      </c>
      <c r="C200" s="38">
        <f>OC!C208</f>
        <v>0</v>
      </c>
      <c r="D200" s="38">
        <f>OC!P208</f>
        <v>0</v>
      </c>
      <c r="E200" s="39">
        <f>OC!D208</f>
        <v>0</v>
      </c>
      <c r="F200" s="40">
        <f>OC!E208</f>
        <v>0</v>
      </c>
      <c r="G200" s="41">
        <f t="shared" si="9"/>
        <v>0</v>
      </c>
      <c r="H200" s="39">
        <f>IF(_xlfn.XLOOKUP(A200,[1]MACHOTE!A:A,[1]MACHOTE!V:V,0,0)="S",1.16,IF(_xlfn.XLOOKUP(A200,[1]MACHOTE!A:A,[1]MACHOTE!Y:Y,0,0)="S",1.08,1))</f>
        <v>1</v>
      </c>
      <c r="I200" s="39">
        <f t="shared" si="10"/>
        <v>0</v>
      </c>
      <c r="J200" s="42">
        <f t="shared" si="11"/>
        <v>0</v>
      </c>
      <c r="K200" s="39">
        <f>OC!$B$6</f>
        <v>0</v>
      </c>
      <c r="L200" s="39">
        <f>OC!$B$7</f>
        <v>0</v>
      </c>
      <c r="M200" s="39">
        <f>OC!$B$2</f>
        <v>0</v>
      </c>
      <c r="N200" s="44">
        <f>OC!$B$3</f>
        <v>0</v>
      </c>
      <c r="O200" s="39">
        <f>OC!$B$5</f>
        <v>0</v>
      </c>
      <c r="P200" s="39">
        <f>OC!$B$8</f>
        <v>0</v>
      </c>
      <c r="Q200" s="39">
        <f>OC!$B$4</f>
        <v>0</v>
      </c>
      <c r="R200" s="43">
        <f>OC!J208</f>
        <v>0</v>
      </c>
      <c r="S200" s="43">
        <v>0</v>
      </c>
      <c r="T200" s="43">
        <f>OC!L208</f>
        <v>0</v>
      </c>
      <c r="U200" s="43">
        <f>OC!M208</f>
        <v>0</v>
      </c>
      <c r="V200" s="43">
        <f>OC!N208</f>
        <v>0</v>
      </c>
    </row>
    <row r="201" spans="1:22" s="31" customFormat="1" x14ac:dyDescent="0.3">
      <c r="A201" s="38">
        <f>OC!A209</f>
        <v>0</v>
      </c>
      <c r="B201" s="38">
        <f>OC!B209</f>
        <v>0</v>
      </c>
      <c r="C201" s="38">
        <f>OC!C209</f>
        <v>0</v>
      </c>
      <c r="D201" s="38">
        <f>OC!P209</f>
        <v>0</v>
      </c>
      <c r="E201" s="39">
        <f>OC!D209</f>
        <v>0</v>
      </c>
      <c r="F201" s="40">
        <f>OC!E209</f>
        <v>0</v>
      </c>
      <c r="G201" s="41">
        <f t="shared" si="9"/>
        <v>0</v>
      </c>
      <c r="H201" s="39">
        <f>IF(_xlfn.XLOOKUP(A201,[1]MACHOTE!A:A,[1]MACHOTE!V:V,0,0)="S",1.16,IF(_xlfn.XLOOKUP(A201,[1]MACHOTE!A:A,[1]MACHOTE!Y:Y,0,0)="S",1.08,1))</f>
        <v>1</v>
      </c>
      <c r="I201" s="39">
        <f t="shared" si="10"/>
        <v>0</v>
      </c>
      <c r="J201" s="42">
        <f t="shared" si="11"/>
        <v>0</v>
      </c>
      <c r="K201" s="39">
        <f>OC!$B$6</f>
        <v>0</v>
      </c>
      <c r="L201" s="39">
        <f>OC!$B$7</f>
        <v>0</v>
      </c>
      <c r="M201" s="39">
        <f>OC!$B$2</f>
        <v>0</v>
      </c>
      <c r="N201" s="44">
        <f>OC!$B$3</f>
        <v>0</v>
      </c>
      <c r="O201" s="39">
        <f>OC!$B$5</f>
        <v>0</v>
      </c>
      <c r="P201" s="39">
        <f>OC!$B$8</f>
        <v>0</v>
      </c>
      <c r="Q201" s="39">
        <f>OC!$B$4</f>
        <v>0</v>
      </c>
      <c r="R201" s="43">
        <f>OC!J209</f>
        <v>0</v>
      </c>
      <c r="S201" s="43">
        <v>0</v>
      </c>
      <c r="T201" s="43">
        <f>OC!L209</f>
        <v>0</v>
      </c>
      <c r="U201" s="43">
        <f>OC!M209</f>
        <v>0</v>
      </c>
      <c r="V201" s="43">
        <f>OC!N209</f>
        <v>0</v>
      </c>
    </row>
    <row r="202" spans="1:22" s="31" customFormat="1" x14ac:dyDescent="0.3">
      <c r="A202" s="38">
        <f>OC!A210</f>
        <v>0</v>
      </c>
      <c r="B202" s="38">
        <f>OC!B210</f>
        <v>0</v>
      </c>
      <c r="C202" s="38">
        <f>OC!C210</f>
        <v>0</v>
      </c>
      <c r="D202" s="38">
        <f>OC!P210</f>
        <v>0</v>
      </c>
      <c r="E202" s="39">
        <f>OC!D210</f>
        <v>0</v>
      </c>
      <c r="F202" s="40">
        <f>OC!E210</f>
        <v>0</v>
      </c>
      <c r="G202" s="41">
        <f t="shared" si="9"/>
        <v>0</v>
      </c>
      <c r="H202" s="39">
        <f>IF(_xlfn.XLOOKUP(A202,[1]MACHOTE!A:A,[1]MACHOTE!V:V,0,0)="S",1.16,IF(_xlfn.XLOOKUP(A202,[1]MACHOTE!A:A,[1]MACHOTE!Y:Y,0,0)="S",1.08,1))</f>
        <v>1</v>
      </c>
      <c r="I202" s="39">
        <f t="shared" si="10"/>
        <v>0</v>
      </c>
      <c r="J202" s="42">
        <f t="shared" si="11"/>
        <v>0</v>
      </c>
      <c r="K202" s="39">
        <f>OC!$B$6</f>
        <v>0</v>
      </c>
      <c r="L202" s="39">
        <f>OC!$B$7</f>
        <v>0</v>
      </c>
      <c r="M202" s="39">
        <f>OC!$B$2</f>
        <v>0</v>
      </c>
      <c r="N202" s="44">
        <f>OC!$B$3</f>
        <v>0</v>
      </c>
      <c r="O202" s="39">
        <f>OC!$B$5</f>
        <v>0</v>
      </c>
      <c r="P202" s="39">
        <f>OC!$B$8</f>
        <v>0</v>
      </c>
      <c r="Q202" s="39">
        <f>OC!$B$4</f>
        <v>0</v>
      </c>
      <c r="R202" s="43">
        <f>OC!J210</f>
        <v>0</v>
      </c>
      <c r="S202" s="43">
        <v>0</v>
      </c>
      <c r="T202" s="43">
        <f>OC!L210</f>
        <v>0</v>
      </c>
      <c r="U202" s="43">
        <f>OC!M210</f>
        <v>0</v>
      </c>
      <c r="V202" s="43">
        <f>OC!N210</f>
        <v>0</v>
      </c>
    </row>
    <row r="203" spans="1:22" s="31" customFormat="1" x14ac:dyDescent="0.3">
      <c r="A203" s="38">
        <f>OC!A211</f>
        <v>0</v>
      </c>
      <c r="B203" s="38">
        <f>OC!B211</f>
        <v>0</v>
      </c>
      <c r="C203" s="38">
        <f>OC!C211</f>
        <v>0</v>
      </c>
      <c r="D203" s="38">
        <f>OC!P211</f>
        <v>0</v>
      </c>
      <c r="E203" s="39">
        <f>OC!D211</f>
        <v>0</v>
      </c>
      <c r="F203" s="40">
        <f>OC!E211</f>
        <v>0</v>
      </c>
      <c r="G203" s="41">
        <f t="shared" si="9"/>
        <v>0</v>
      </c>
      <c r="H203" s="39">
        <f>IF(_xlfn.XLOOKUP(A203,[1]MACHOTE!A:A,[1]MACHOTE!V:V,0,0)="S",1.16,IF(_xlfn.XLOOKUP(A203,[1]MACHOTE!A:A,[1]MACHOTE!Y:Y,0,0)="S",1.08,1))</f>
        <v>1</v>
      </c>
      <c r="I203" s="39">
        <f t="shared" si="10"/>
        <v>0</v>
      </c>
      <c r="J203" s="42">
        <f t="shared" si="11"/>
        <v>0</v>
      </c>
      <c r="K203" s="39">
        <f>OC!$B$6</f>
        <v>0</v>
      </c>
      <c r="L203" s="39">
        <f>OC!$B$7</f>
        <v>0</v>
      </c>
      <c r="M203" s="39">
        <f>OC!$B$2</f>
        <v>0</v>
      </c>
      <c r="N203" s="44">
        <f>OC!$B$3</f>
        <v>0</v>
      </c>
      <c r="O203" s="39">
        <f>OC!$B$5</f>
        <v>0</v>
      </c>
      <c r="P203" s="39">
        <f>OC!$B$8</f>
        <v>0</v>
      </c>
      <c r="Q203" s="39">
        <f>OC!$B$4</f>
        <v>0</v>
      </c>
      <c r="R203" s="43">
        <f>OC!J211</f>
        <v>0</v>
      </c>
      <c r="S203" s="43">
        <v>0</v>
      </c>
      <c r="T203" s="43">
        <f>OC!L211</f>
        <v>0</v>
      </c>
      <c r="U203" s="43">
        <f>OC!M211</f>
        <v>0</v>
      </c>
      <c r="V203" s="43">
        <f>OC!N211</f>
        <v>0</v>
      </c>
    </row>
    <row r="204" spans="1:22" s="31" customFormat="1" x14ac:dyDescent="0.3">
      <c r="A204" s="38">
        <f>OC!A212</f>
        <v>0</v>
      </c>
      <c r="B204" s="38">
        <f>OC!B212</f>
        <v>0</v>
      </c>
      <c r="C204" s="38">
        <f>OC!C212</f>
        <v>0</v>
      </c>
      <c r="D204" s="38">
        <f>OC!P212</f>
        <v>0</v>
      </c>
      <c r="E204" s="39">
        <f>OC!D212</f>
        <v>0</v>
      </c>
      <c r="F204" s="40">
        <f>OC!E212</f>
        <v>0</v>
      </c>
      <c r="G204" s="41">
        <f t="shared" si="9"/>
        <v>0</v>
      </c>
      <c r="H204" s="39">
        <f>IF(_xlfn.XLOOKUP(A204,[1]MACHOTE!A:A,[1]MACHOTE!V:V,0,0)="S",1.16,IF(_xlfn.XLOOKUP(A204,[1]MACHOTE!A:A,[1]MACHOTE!Y:Y,0,0)="S",1.08,1))</f>
        <v>1</v>
      </c>
      <c r="I204" s="39">
        <f t="shared" si="10"/>
        <v>0</v>
      </c>
      <c r="J204" s="42">
        <f t="shared" si="11"/>
        <v>0</v>
      </c>
      <c r="K204" s="39">
        <f>OC!$B$6</f>
        <v>0</v>
      </c>
      <c r="L204" s="39">
        <f>OC!$B$7</f>
        <v>0</v>
      </c>
      <c r="M204" s="39">
        <f>OC!$B$2</f>
        <v>0</v>
      </c>
      <c r="N204" s="44">
        <f>OC!$B$3</f>
        <v>0</v>
      </c>
      <c r="O204" s="39">
        <f>OC!$B$5</f>
        <v>0</v>
      </c>
      <c r="P204" s="39">
        <f>OC!$B$8</f>
        <v>0</v>
      </c>
      <c r="Q204" s="39">
        <f>OC!$B$4</f>
        <v>0</v>
      </c>
      <c r="R204" s="43">
        <f>OC!J212</f>
        <v>0</v>
      </c>
      <c r="S204" s="43">
        <v>0</v>
      </c>
      <c r="T204" s="43">
        <f>OC!L212</f>
        <v>0</v>
      </c>
      <c r="U204" s="43">
        <f>OC!M212</f>
        <v>0</v>
      </c>
      <c r="V204" s="43">
        <f>OC!N212</f>
        <v>0</v>
      </c>
    </row>
    <row r="205" spans="1:22" s="31" customFormat="1" x14ac:dyDescent="0.3">
      <c r="A205" s="38">
        <f>OC!A213</f>
        <v>0</v>
      </c>
      <c r="B205" s="38">
        <f>OC!B213</f>
        <v>0</v>
      </c>
      <c r="C205" s="38">
        <f>OC!C213</f>
        <v>0</v>
      </c>
      <c r="D205" s="38">
        <f>OC!P213</f>
        <v>0</v>
      </c>
      <c r="E205" s="39">
        <f>OC!D213</f>
        <v>0</v>
      </c>
      <c r="F205" s="40">
        <f>OC!E213</f>
        <v>0</v>
      </c>
      <c r="G205" s="41">
        <f t="shared" si="9"/>
        <v>0</v>
      </c>
      <c r="H205" s="39">
        <f>IF(_xlfn.XLOOKUP(A205,[1]MACHOTE!A:A,[1]MACHOTE!V:V,0,0)="S",1.16,IF(_xlfn.XLOOKUP(A205,[1]MACHOTE!A:A,[1]MACHOTE!Y:Y,0,0)="S",1.08,1))</f>
        <v>1</v>
      </c>
      <c r="I205" s="39">
        <f t="shared" si="10"/>
        <v>0</v>
      </c>
      <c r="J205" s="42">
        <f t="shared" si="11"/>
        <v>0</v>
      </c>
      <c r="K205" s="39">
        <f>OC!$B$6</f>
        <v>0</v>
      </c>
      <c r="L205" s="39">
        <f>OC!$B$7</f>
        <v>0</v>
      </c>
      <c r="M205" s="39">
        <f>OC!$B$2</f>
        <v>0</v>
      </c>
      <c r="N205" s="44">
        <f>OC!$B$3</f>
        <v>0</v>
      </c>
      <c r="O205" s="39">
        <f>OC!$B$5</f>
        <v>0</v>
      </c>
      <c r="P205" s="39">
        <f>OC!$B$8</f>
        <v>0</v>
      </c>
      <c r="Q205" s="39">
        <f>OC!$B$4</f>
        <v>0</v>
      </c>
      <c r="R205" s="43">
        <f>OC!J213</f>
        <v>0</v>
      </c>
      <c r="S205" s="43">
        <v>0</v>
      </c>
      <c r="T205" s="43">
        <f>OC!L213</f>
        <v>0</v>
      </c>
      <c r="U205" s="43">
        <f>OC!M213</f>
        <v>0</v>
      </c>
      <c r="V205" s="43">
        <f>OC!N213</f>
        <v>0</v>
      </c>
    </row>
    <row r="206" spans="1:22" s="31" customFormat="1" x14ac:dyDescent="0.3">
      <c r="A206" s="38">
        <f>OC!A214</f>
        <v>0</v>
      </c>
      <c r="B206" s="38">
        <f>OC!B214</f>
        <v>0</v>
      </c>
      <c r="C206" s="38">
        <f>OC!C214</f>
        <v>0</v>
      </c>
      <c r="D206" s="38">
        <f>OC!P214</f>
        <v>0</v>
      </c>
      <c r="E206" s="39">
        <f>OC!D214</f>
        <v>0</v>
      </c>
      <c r="F206" s="40">
        <f>OC!E214</f>
        <v>0</v>
      </c>
      <c r="G206" s="41">
        <f t="shared" si="9"/>
        <v>0</v>
      </c>
      <c r="H206" s="39">
        <f>IF(_xlfn.XLOOKUP(A206,[1]MACHOTE!A:A,[1]MACHOTE!V:V,0,0)="S",1.16,IF(_xlfn.XLOOKUP(A206,[1]MACHOTE!A:A,[1]MACHOTE!Y:Y,0,0)="S",1.08,1))</f>
        <v>1</v>
      </c>
      <c r="I206" s="39">
        <f t="shared" si="10"/>
        <v>0</v>
      </c>
      <c r="J206" s="42">
        <f t="shared" si="11"/>
        <v>0</v>
      </c>
      <c r="K206" s="39">
        <f>OC!$B$6</f>
        <v>0</v>
      </c>
      <c r="L206" s="39">
        <f>OC!$B$7</f>
        <v>0</v>
      </c>
      <c r="M206" s="39">
        <f>OC!$B$2</f>
        <v>0</v>
      </c>
      <c r="N206" s="44">
        <f>OC!$B$3</f>
        <v>0</v>
      </c>
      <c r="O206" s="39">
        <f>OC!$B$5</f>
        <v>0</v>
      </c>
      <c r="P206" s="39">
        <f>OC!$B$8</f>
        <v>0</v>
      </c>
      <c r="Q206" s="39">
        <f>OC!$B$4</f>
        <v>0</v>
      </c>
      <c r="R206" s="43">
        <f>OC!J214</f>
        <v>0</v>
      </c>
      <c r="S206" s="43">
        <v>0</v>
      </c>
      <c r="T206" s="43">
        <f>OC!L214</f>
        <v>0</v>
      </c>
      <c r="U206" s="43">
        <f>OC!M214</f>
        <v>0</v>
      </c>
      <c r="V206" s="43">
        <f>OC!N214</f>
        <v>0</v>
      </c>
    </row>
    <row r="207" spans="1:22" s="31" customFormat="1" x14ac:dyDescent="0.3">
      <c r="A207" s="38">
        <f>OC!A215</f>
        <v>0</v>
      </c>
      <c r="B207" s="38">
        <f>OC!B215</f>
        <v>0</v>
      </c>
      <c r="C207" s="38">
        <f>OC!C215</f>
        <v>0</v>
      </c>
      <c r="D207" s="38">
        <f>OC!P215</f>
        <v>0</v>
      </c>
      <c r="E207" s="39">
        <f>OC!D215</f>
        <v>0</v>
      </c>
      <c r="F207" s="40">
        <f>OC!E215</f>
        <v>0</v>
      </c>
      <c r="G207" s="41">
        <f t="shared" si="9"/>
        <v>0</v>
      </c>
      <c r="H207" s="39">
        <f>IF(_xlfn.XLOOKUP(A207,[1]MACHOTE!A:A,[1]MACHOTE!V:V,0,0)="S",1.16,IF(_xlfn.XLOOKUP(A207,[1]MACHOTE!A:A,[1]MACHOTE!Y:Y,0,0)="S",1.08,1))</f>
        <v>1</v>
      </c>
      <c r="I207" s="39">
        <f t="shared" si="10"/>
        <v>0</v>
      </c>
      <c r="J207" s="42">
        <f t="shared" si="11"/>
        <v>0</v>
      </c>
      <c r="K207" s="39">
        <f>OC!$B$6</f>
        <v>0</v>
      </c>
      <c r="L207" s="39">
        <f>OC!$B$7</f>
        <v>0</v>
      </c>
      <c r="M207" s="39">
        <f>OC!$B$2</f>
        <v>0</v>
      </c>
      <c r="N207" s="44">
        <f>OC!$B$3</f>
        <v>0</v>
      </c>
      <c r="O207" s="39">
        <f>OC!$B$5</f>
        <v>0</v>
      </c>
      <c r="P207" s="39">
        <f>OC!$B$8</f>
        <v>0</v>
      </c>
      <c r="Q207" s="39">
        <f>OC!$B$4</f>
        <v>0</v>
      </c>
      <c r="R207" s="43">
        <f>OC!J215</f>
        <v>0</v>
      </c>
      <c r="S207" s="43">
        <v>0</v>
      </c>
      <c r="T207" s="43">
        <f>OC!L215</f>
        <v>0</v>
      </c>
      <c r="U207" s="43">
        <f>OC!M215</f>
        <v>0</v>
      </c>
      <c r="V207" s="43">
        <f>OC!N215</f>
        <v>0</v>
      </c>
    </row>
    <row r="208" spans="1:22" s="31" customFormat="1" x14ac:dyDescent="0.3">
      <c r="A208" s="38">
        <f>OC!A216</f>
        <v>0</v>
      </c>
      <c r="B208" s="38">
        <f>OC!B216</f>
        <v>0</v>
      </c>
      <c r="C208" s="38">
        <f>OC!C216</f>
        <v>0</v>
      </c>
      <c r="D208" s="38">
        <f>OC!P216</f>
        <v>0</v>
      </c>
      <c r="E208" s="39">
        <f>OC!D216</f>
        <v>0</v>
      </c>
      <c r="F208" s="40">
        <f>OC!E216</f>
        <v>0</v>
      </c>
      <c r="G208" s="41">
        <f t="shared" ref="G208:G225" si="12">C208*F208</f>
        <v>0</v>
      </c>
      <c r="H208" s="39">
        <f>IF(_xlfn.XLOOKUP(A208,[1]MACHOTE!A:A,[1]MACHOTE!V:V,0,0)="S",1.16,IF(_xlfn.XLOOKUP(A208,[1]MACHOTE!A:A,[1]MACHOTE!Y:Y,0,0)="S",1.08,1))</f>
        <v>1</v>
      </c>
      <c r="I208" s="39">
        <f t="shared" ref="I208:I225" si="13">E208*C208</f>
        <v>0</v>
      </c>
      <c r="J208" s="42">
        <f t="shared" ref="J208:J225" si="14">G208-I208</f>
        <v>0</v>
      </c>
      <c r="K208" s="39">
        <f>OC!$B$6</f>
        <v>0</v>
      </c>
      <c r="L208" s="39">
        <f>OC!$B$7</f>
        <v>0</v>
      </c>
      <c r="M208" s="39">
        <f>OC!$B$2</f>
        <v>0</v>
      </c>
      <c r="N208" s="44">
        <f>OC!$B$3</f>
        <v>0</v>
      </c>
      <c r="O208" s="39">
        <f>OC!$B$5</f>
        <v>0</v>
      </c>
      <c r="P208" s="39">
        <f>OC!$B$8</f>
        <v>0</v>
      </c>
      <c r="Q208" s="39">
        <f>OC!$B$4</f>
        <v>0</v>
      </c>
      <c r="R208" s="43">
        <f>OC!J216</f>
        <v>0</v>
      </c>
      <c r="S208" s="43">
        <v>0</v>
      </c>
      <c r="T208" s="43">
        <f>OC!L216</f>
        <v>0</v>
      </c>
      <c r="U208" s="43">
        <f>OC!M216</f>
        <v>0</v>
      </c>
      <c r="V208" s="43">
        <f>OC!N216</f>
        <v>0</v>
      </c>
    </row>
    <row r="209" spans="1:22" s="31" customFormat="1" x14ac:dyDescent="0.3">
      <c r="A209" s="38">
        <f>OC!A217</f>
        <v>0</v>
      </c>
      <c r="B209" s="38">
        <f>OC!B217</f>
        <v>0</v>
      </c>
      <c r="C209" s="38">
        <f>OC!C217</f>
        <v>0</v>
      </c>
      <c r="D209" s="38">
        <f>OC!P217</f>
        <v>0</v>
      </c>
      <c r="E209" s="39">
        <f>OC!D217</f>
        <v>0</v>
      </c>
      <c r="F209" s="40">
        <f>OC!E217</f>
        <v>0</v>
      </c>
      <c r="G209" s="41">
        <f t="shared" si="12"/>
        <v>0</v>
      </c>
      <c r="H209" s="39">
        <f>IF(_xlfn.XLOOKUP(A209,[1]MACHOTE!A:A,[1]MACHOTE!V:V,0,0)="S",1.16,IF(_xlfn.XLOOKUP(A209,[1]MACHOTE!A:A,[1]MACHOTE!Y:Y,0,0)="S",1.08,1))</f>
        <v>1</v>
      </c>
      <c r="I209" s="39">
        <f t="shared" si="13"/>
        <v>0</v>
      </c>
      <c r="J209" s="42">
        <f t="shared" si="14"/>
        <v>0</v>
      </c>
      <c r="K209" s="39">
        <f>OC!$B$6</f>
        <v>0</v>
      </c>
      <c r="L209" s="39">
        <f>OC!$B$7</f>
        <v>0</v>
      </c>
      <c r="M209" s="39">
        <f>OC!$B$2</f>
        <v>0</v>
      </c>
      <c r="N209" s="44">
        <f>OC!$B$3</f>
        <v>0</v>
      </c>
      <c r="O209" s="39">
        <f>OC!$B$5</f>
        <v>0</v>
      </c>
      <c r="P209" s="39">
        <f>OC!$B$8</f>
        <v>0</v>
      </c>
      <c r="Q209" s="39">
        <f>OC!$B$4</f>
        <v>0</v>
      </c>
      <c r="R209" s="43">
        <f>OC!J217</f>
        <v>0</v>
      </c>
      <c r="S209" s="43">
        <v>0</v>
      </c>
      <c r="T209" s="43">
        <f>OC!L217</f>
        <v>0</v>
      </c>
      <c r="U209" s="43">
        <f>OC!M217</f>
        <v>0</v>
      </c>
      <c r="V209" s="43">
        <f>OC!N217</f>
        <v>0</v>
      </c>
    </row>
    <row r="210" spans="1:22" s="31" customFormat="1" x14ac:dyDescent="0.3">
      <c r="A210" s="38">
        <f>OC!A218</f>
        <v>0</v>
      </c>
      <c r="B210" s="38">
        <f>OC!B218</f>
        <v>0</v>
      </c>
      <c r="C210" s="38">
        <f>OC!C218</f>
        <v>0</v>
      </c>
      <c r="D210" s="38">
        <f>OC!P218</f>
        <v>0</v>
      </c>
      <c r="E210" s="39">
        <f>OC!D218</f>
        <v>0</v>
      </c>
      <c r="F210" s="40">
        <f>OC!E218</f>
        <v>0</v>
      </c>
      <c r="G210" s="41">
        <f t="shared" si="12"/>
        <v>0</v>
      </c>
      <c r="H210" s="39">
        <f>IF(_xlfn.XLOOKUP(A210,[1]MACHOTE!A:A,[1]MACHOTE!V:V,0,0)="S",1.16,IF(_xlfn.XLOOKUP(A210,[1]MACHOTE!A:A,[1]MACHOTE!Y:Y,0,0)="S",1.08,1))</f>
        <v>1</v>
      </c>
      <c r="I210" s="39">
        <f t="shared" si="13"/>
        <v>0</v>
      </c>
      <c r="J210" s="42">
        <f t="shared" si="14"/>
        <v>0</v>
      </c>
      <c r="K210" s="39">
        <f>OC!$B$6</f>
        <v>0</v>
      </c>
      <c r="L210" s="39">
        <f>OC!$B$7</f>
        <v>0</v>
      </c>
      <c r="M210" s="39">
        <f>OC!$B$2</f>
        <v>0</v>
      </c>
      <c r="N210" s="44">
        <f>OC!$B$3</f>
        <v>0</v>
      </c>
      <c r="O210" s="39">
        <f>OC!$B$5</f>
        <v>0</v>
      </c>
      <c r="P210" s="39">
        <f>OC!$B$8</f>
        <v>0</v>
      </c>
      <c r="Q210" s="39">
        <f>OC!$B$4</f>
        <v>0</v>
      </c>
      <c r="R210" s="43">
        <f>OC!J218</f>
        <v>0</v>
      </c>
      <c r="S210" s="43">
        <v>0</v>
      </c>
      <c r="T210" s="43">
        <f>OC!L218</f>
        <v>0</v>
      </c>
      <c r="U210" s="43">
        <f>OC!M218</f>
        <v>0</v>
      </c>
      <c r="V210" s="43">
        <f>OC!N218</f>
        <v>0</v>
      </c>
    </row>
    <row r="211" spans="1:22" s="31" customFormat="1" x14ac:dyDescent="0.3">
      <c r="A211" s="38">
        <f>OC!A219</f>
        <v>0</v>
      </c>
      <c r="B211" s="38">
        <f>OC!B219</f>
        <v>0</v>
      </c>
      <c r="C211" s="38">
        <f>OC!C219</f>
        <v>0</v>
      </c>
      <c r="D211" s="38">
        <f>OC!P219</f>
        <v>0</v>
      </c>
      <c r="E211" s="39">
        <f>OC!D219</f>
        <v>0</v>
      </c>
      <c r="F211" s="40">
        <f>OC!E219</f>
        <v>0</v>
      </c>
      <c r="G211" s="41">
        <f t="shared" si="12"/>
        <v>0</v>
      </c>
      <c r="H211" s="39">
        <f>IF(_xlfn.XLOOKUP(A211,[1]MACHOTE!A:A,[1]MACHOTE!V:V,0,0)="S",1.16,IF(_xlfn.XLOOKUP(A211,[1]MACHOTE!A:A,[1]MACHOTE!Y:Y,0,0)="S",1.08,1))</f>
        <v>1</v>
      </c>
      <c r="I211" s="39">
        <f t="shared" si="13"/>
        <v>0</v>
      </c>
      <c r="J211" s="42">
        <f t="shared" si="14"/>
        <v>0</v>
      </c>
      <c r="K211" s="39">
        <f>OC!$B$6</f>
        <v>0</v>
      </c>
      <c r="L211" s="39">
        <f>OC!$B$7</f>
        <v>0</v>
      </c>
      <c r="M211" s="39">
        <f>OC!$B$2</f>
        <v>0</v>
      </c>
      <c r="N211" s="44">
        <f>OC!$B$3</f>
        <v>0</v>
      </c>
      <c r="O211" s="39">
        <f>OC!$B$5</f>
        <v>0</v>
      </c>
      <c r="P211" s="39">
        <f>OC!$B$8</f>
        <v>0</v>
      </c>
      <c r="Q211" s="39">
        <f>OC!$B$4</f>
        <v>0</v>
      </c>
      <c r="R211" s="43">
        <f>OC!J219</f>
        <v>0</v>
      </c>
      <c r="S211" s="43">
        <v>0</v>
      </c>
      <c r="T211" s="43">
        <f>OC!L219</f>
        <v>0</v>
      </c>
      <c r="U211" s="43">
        <f>OC!M219</f>
        <v>0</v>
      </c>
      <c r="V211" s="43">
        <f>OC!N219</f>
        <v>0</v>
      </c>
    </row>
    <row r="212" spans="1:22" s="31" customFormat="1" x14ac:dyDescent="0.3">
      <c r="A212" s="38">
        <f>OC!A220</f>
        <v>0</v>
      </c>
      <c r="B212" s="38">
        <f>OC!B220</f>
        <v>0</v>
      </c>
      <c r="C212" s="38">
        <f>OC!C220</f>
        <v>0</v>
      </c>
      <c r="D212" s="38">
        <f>OC!P220</f>
        <v>0</v>
      </c>
      <c r="E212" s="39">
        <f>OC!D220</f>
        <v>0</v>
      </c>
      <c r="F212" s="40">
        <f>OC!E220</f>
        <v>0</v>
      </c>
      <c r="G212" s="41">
        <f t="shared" si="12"/>
        <v>0</v>
      </c>
      <c r="H212" s="39">
        <f>IF(_xlfn.XLOOKUP(A212,[1]MACHOTE!A:A,[1]MACHOTE!V:V,0,0)="S",1.16,IF(_xlfn.XLOOKUP(A212,[1]MACHOTE!A:A,[1]MACHOTE!Y:Y,0,0)="S",1.08,1))</f>
        <v>1</v>
      </c>
      <c r="I212" s="39">
        <f t="shared" si="13"/>
        <v>0</v>
      </c>
      <c r="J212" s="42">
        <f t="shared" si="14"/>
        <v>0</v>
      </c>
      <c r="K212" s="39">
        <f>OC!$B$6</f>
        <v>0</v>
      </c>
      <c r="L212" s="39">
        <f>OC!$B$7</f>
        <v>0</v>
      </c>
      <c r="M212" s="39">
        <f>OC!$B$2</f>
        <v>0</v>
      </c>
      <c r="N212" s="44">
        <f>OC!$B$3</f>
        <v>0</v>
      </c>
      <c r="O212" s="39">
        <f>OC!$B$5</f>
        <v>0</v>
      </c>
      <c r="P212" s="39">
        <f>OC!$B$8</f>
        <v>0</v>
      </c>
      <c r="Q212" s="39">
        <f>OC!$B$4</f>
        <v>0</v>
      </c>
      <c r="R212" s="43">
        <f>OC!J220</f>
        <v>0</v>
      </c>
      <c r="S212" s="43">
        <v>0</v>
      </c>
      <c r="T212" s="43">
        <f>OC!L220</f>
        <v>0</v>
      </c>
      <c r="U212" s="43">
        <f>OC!M220</f>
        <v>0</v>
      </c>
      <c r="V212" s="43">
        <f>OC!N220</f>
        <v>0</v>
      </c>
    </row>
    <row r="213" spans="1:22" s="31" customFormat="1" x14ac:dyDescent="0.3">
      <c r="A213" s="38">
        <f>OC!A221</f>
        <v>0</v>
      </c>
      <c r="B213" s="38">
        <f>OC!B221</f>
        <v>0</v>
      </c>
      <c r="C213" s="38">
        <f>OC!C221</f>
        <v>0</v>
      </c>
      <c r="D213" s="38">
        <f>OC!P221</f>
        <v>0</v>
      </c>
      <c r="E213" s="39">
        <f>OC!D221</f>
        <v>0</v>
      </c>
      <c r="F213" s="40">
        <f>OC!E221</f>
        <v>0</v>
      </c>
      <c r="G213" s="41">
        <f t="shared" si="12"/>
        <v>0</v>
      </c>
      <c r="H213" s="39">
        <f>IF(_xlfn.XLOOKUP(A213,[1]MACHOTE!A:A,[1]MACHOTE!V:V,0,0)="S",1.16,IF(_xlfn.XLOOKUP(A213,[1]MACHOTE!A:A,[1]MACHOTE!Y:Y,0,0)="S",1.08,1))</f>
        <v>1</v>
      </c>
      <c r="I213" s="39">
        <f t="shared" si="13"/>
        <v>0</v>
      </c>
      <c r="J213" s="42">
        <f t="shared" si="14"/>
        <v>0</v>
      </c>
      <c r="K213" s="39">
        <f>OC!$B$6</f>
        <v>0</v>
      </c>
      <c r="L213" s="39">
        <f>OC!$B$7</f>
        <v>0</v>
      </c>
      <c r="M213" s="39">
        <f>OC!$B$2</f>
        <v>0</v>
      </c>
      <c r="N213" s="44">
        <f>OC!$B$3</f>
        <v>0</v>
      </c>
      <c r="O213" s="39">
        <f>OC!$B$5</f>
        <v>0</v>
      </c>
      <c r="P213" s="39">
        <f>OC!$B$8</f>
        <v>0</v>
      </c>
      <c r="Q213" s="39">
        <f>OC!$B$4</f>
        <v>0</v>
      </c>
      <c r="R213" s="43">
        <f>OC!J221</f>
        <v>0</v>
      </c>
      <c r="S213" s="43">
        <v>0</v>
      </c>
      <c r="T213" s="43">
        <f>OC!L221</f>
        <v>0</v>
      </c>
      <c r="U213" s="43">
        <f>OC!M221</f>
        <v>0</v>
      </c>
      <c r="V213" s="43">
        <f>OC!N221</f>
        <v>0</v>
      </c>
    </row>
    <row r="214" spans="1:22" s="31" customFormat="1" x14ac:dyDescent="0.3">
      <c r="A214" s="38">
        <f>OC!A222</f>
        <v>0</v>
      </c>
      <c r="B214" s="38">
        <f>OC!B222</f>
        <v>0</v>
      </c>
      <c r="C214" s="38">
        <f>OC!C222</f>
        <v>0</v>
      </c>
      <c r="D214" s="38">
        <f>OC!P222</f>
        <v>0</v>
      </c>
      <c r="E214" s="39">
        <f>OC!D222</f>
        <v>0</v>
      </c>
      <c r="F214" s="40">
        <f>OC!E222</f>
        <v>0</v>
      </c>
      <c r="G214" s="41">
        <f t="shared" si="12"/>
        <v>0</v>
      </c>
      <c r="H214" s="39">
        <f>IF(_xlfn.XLOOKUP(A214,[1]MACHOTE!A:A,[1]MACHOTE!V:V,0,0)="S",1.16,IF(_xlfn.XLOOKUP(A214,[1]MACHOTE!A:A,[1]MACHOTE!Y:Y,0,0)="S",1.08,1))</f>
        <v>1</v>
      </c>
      <c r="I214" s="39">
        <f t="shared" si="13"/>
        <v>0</v>
      </c>
      <c r="J214" s="42">
        <f t="shared" si="14"/>
        <v>0</v>
      </c>
      <c r="K214" s="39">
        <f>OC!$B$6</f>
        <v>0</v>
      </c>
      <c r="L214" s="39">
        <f>OC!$B$7</f>
        <v>0</v>
      </c>
      <c r="M214" s="39">
        <f>OC!$B$2</f>
        <v>0</v>
      </c>
      <c r="N214" s="44">
        <f>OC!$B$3</f>
        <v>0</v>
      </c>
      <c r="O214" s="39">
        <f>OC!$B$5</f>
        <v>0</v>
      </c>
      <c r="P214" s="39">
        <f>OC!$B$8</f>
        <v>0</v>
      </c>
      <c r="Q214" s="39">
        <f>OC!$B$4</f>
        <v>0</v>
      </c>
      <c r="R214" s="43">
        <f>OC!J222</f>
        <v>0</v>
      </c>
      <c r="S214" s="43">
        <v>0</v>
      </c>
      <c r="T214" s="43">
        <f>OC!L222</f>
        <v>0</v>
      </c>
      <c r="U214" s="43">
        <f>OC!M222</f>
        <v>0</v>
      </c>
      <c r="V214" s="43">
        <f>OC!N222</f>
        <v>0</v>
      </c>
    </row>
    <row r="215" spans="1:22" s="31" customFormat="1" x14ac:dyDescent="0.3">
      <c r="A215" s="38">
        <f>OC!A223</f>
        <v>0</v>
      </c>
      <c r="B215" s="38">
        <f>OC!B223</f>
        <v>0</v>
      </c>
      <c r="C215" s="38">
        <f>OC!C223</f>
        <v>0</v>
      </c>
      <c r="D215" s="38">
        <f>OC!P223</f>
        <v>0</v>
      </c>
      <c r="E215" s="39">
        <f>OC!D223</f>
        <v>0</v>
      </c>
      <c r="F215" s="40">
        <f>OC!E223</f>
        <v>0</v>
      </c>
      <c r="G215" s="41">
        <f t="shared" si="12"/>
        <v>0</v>
      </c>
      <c r="H215" s="39">
        <f>IF(_xlfn.XLOOKUP(A215,[1]MACHOTE!A:A,[1]MACHOTE!V:V,0,0)="S",1.16,IF(_xlfn.XLOOKUP(A215,[1]MACHOTE!A:A,[1]MACHOTE!Y:Y,0,0)="S",1.08,1))</f>
        <v>1</v>
      </c>
      <c r="I215" s="39">
        <f t="shared" si="13"/>
        <v>0</v>
      </c>
      <c r="J215" s="42">
        <f t="shared" si="14"/>
        <v>0</v>
      </c>
      <c r="K215" s="39">
        <f>OC!$B$6</f>
        <v>0</v>
      </c>
      <c r="L215" s="39">
        <f>OC!$B$7</f>
        <v>0</v>
      </c>
      <c r="M215" s="39">
        <f>OC!$B$2</f>
        <v>0</v>
      </c>
      <c r="N215" s="44">
        <f>OC!$B$3</f>
        <v>0</v>
      </c>
      <c r="O215" s="39">
        <f>OC!$B$5</f>
        <v>0</v>
      </c>
      <c r="P215" s="39">
        <f>OC!$B$8</f>
        <v>0</v>
      </c>
      <c r="Q215" s="39">
        <f>OC!$B$4</f>
        <v>0</v>
      </c>
      <c r="R215" s="43">
        <f>OC!J223</f>
        <v>0</v>
      </c>
      <c r="S215" s="43">
        <v>0</v>
      </c>
      <c r="T215" s="43">
        <f>OC!L223</f>
        <v>0</v>
      </c>
      <c r="U215" s="43">
        <f>OC!M223</f>
        <v>0</v>
      </c>
      <c r="V215" s="43">
        <f>OC!N223</f>
        <v>0</v>
      </c>
    </row>
    <row r="216" spans="1:22" s="31" customFormat="1" x14ac:dyDescent="0.3">
      <c r="A216" s="38">
        <f>OC!A224</f>
        <v>0</v>
      </c>
      <c r="B216" s="38">
        <f>OC!B224</f>
        <v>0</v>
      </c>
      <c r="C216" s="38">
        <f>OC!C224</f>
        <v>0</v>
      </c>
      <c r="D216" s="38">
        <f>OC!P224</f>
        <v>0</v>
      </c>
      <c r="E216" s="39">
        <f>OC!D224</f>
        <v>0</v>
      </c>
      <c r="F216" s="40">
        <f>OC!E224</f>
        <v>0</v>
      </c>
      <c r="G216" s="41">
        <f t="shared" si="12"/>
        <v>0</v>
      </c>
      <c r="H216" s="39">
        <f>IF(_xlfn.XLOOKUP(A216,[1]MACHOTE!A:A,[1]MACHOTE!V:V,0,0)="S",1.16,IF(_xlfn.XLOOKUP(A216,[1]MACHOTE!A:A,[1]MACHOTE!Y:Y,0,0)="S",1.08,1))</f>
        <v>1</v>
      </c>
      <c r="I216" s="39">
        <f t="shared" si="13"/>
        <v>0</v>
      </c>
      <c r="J216" s="42">
        <f t="shared" si="14"/>
        <v>0</v>
      </c>
      <c r="K216" s="39">
        <f>OC!$B$6</f>
        <v>0</v>
      </c>
      <c r="L216" s="39">
        <f>OC!$B$7</f>
        <v>0</v>
      </c>
      <c r="M216" s="39">
        <f>OC!$B$2</f>
        <v>0</v>
      </c>
      <c r="N216" s="44">
        <f>OC!$B$3</f>
        <v>0</v>
      </c>
      <c r="O216" s="39">
        <f>OC!$B$5</f>
        <v>0</v>
      </c>
      <c r="P216" s="39">
        <f>OC!$B$8</f>
        <v>0</v>
      </c>
      <c r="Q216" s="39">
        <f>OC!$B$4</f>
        <v>0</v>
      </c>
      <c r="R216" s="43">
        <f>OC!J224</f>
        <v>0</v>
      </c>
      <c r="S216" s="43">
        <v>0</v>
      </c>
      <c r="T216" s="43">
        <f>OC!L224</f>
        <v>0</v>
      </c>
      <c r="U216" s="43">
        <f>OC!M224</f>
        <v>0</v>
      </c>
      <c r="V216" s="43">
        <f>OC!N224</f>
        <v>0</v>
      </c>
    </row>
    <row r="217" spans="1:22" s="31" customFormat="1" x14ac:dyDescent="0.3">
      <c r="A217" s="38">
        <f>OC!A225</f>
        <v>0</v>
      </c>
      <c r="B217" s="38">
        <f>OC!B225</f>
        <v>0</v>
      </c>
      <c r="C217" s="38">
        <f>OC!C225</f>
        <v>0</v>
      </c>
      <c r="D217" s="38">
        <f>OC!P225</f>
        <v>0</v>
      </c>
      <c r="E217" s="39">
        <f>OC!D225</f>
        <v>0</v>
      </c>
      <c r="F217" s="40">
        <f>OC!E225</f>
        <v>0</v>
      </c>
      <c r="G217" s="41">
        <f t="shared" si="12"/>
        <v>0</v>
      </c>
      <c r="H217" s="39">
        <f>IF(_xlfn.XLOOKUP(A217,[1]MACHOTE!A:A,[1]MACHOTE!V:V,0,0)="S",1.16,IF(_xlfn.XLOOKUP(A217,[1]MACHOTE!A:A,[1]MACHOTE!Y:Y,0,0)="S",1.08,1))</f>
        <v>1</v>
      </c>
      <c r="I217" s="39">
        <f t="shared" si="13"/>
        <v>0</v>
      </c>
      <c r="J217" s="42">
        <f t="shared" si="14"/>
        <v>0</v>
      </c>
      <c r="K217" s="39">
        <f>OC!$B$6</f>
        <v>0</v>
      </c>
      <c r="L217" s="39">
        <f>OC!$B$7</f>
        <v>0</v>
      </c>
      <c r="M217" s="39">
        <f>OC!$B$2</f>
        <v>0</v>
      </c>
      <c r="N217" s="44">
        <f>OC!$B$3</f>
        <v>0</v>
      </c>
      <c r="O217" s="39">
        <f>OC!$B$5</f>
        <v>0</v>
      </c>
      <c r="P217" s="39">
        <f>OC!$B$8</f>
        <v>0</v>
      </c>
      <c r="Q217" s="39">
        <f>OC!$B$4</f>
        <v>0</v>
      </c>
      <c r="R217" s="43">
        <f>OC!J225</f>
        <v>0</v>
      </c>
      <c r="S217" s="43">
        <v>0</v>
      </c>
      <c r="T217" s="43">
        <f>OC!L225</f>
        <v>0</v>
      </c>
      <c r="U217" s="43">
        <f>OC!M225</f>
        <v>0</v>
      </c>
      <c r="V217" s="43">
        <f>OC!N225</f>
        <v>0</v>
      </c>
    </row>
    <row r="218" spans="1:22" s="31" customFormat="1" x14ac:dyDescent="0.3">
      <c r="A218" s="38">
        <f>OC!A226</f>
        <v>0</v>
      </c>
      <c r="B218" s="38">
        <f>OC!B226</f>
        <v>0</v>
      </c>
      <c r="C218" s="38">
        <f>OC!C226</f>
        <v>0</v>
      </c>
      <c r="D218" s="38">
        <f>OC!P226</f>
        <v>0</v>
      </c>
      <c r="E218" s="39">
        <f>OC!D226</f>
        <v>0</v>
      </c>
      <c r="F218" s="40">
        <f>OC!E226</f>
        <v>0</v>
      </c>
      <c r="G218" s="41">
        <f t="shared" si="12"/>
        <v>0</v>
      </c>
      <c r="H218" s="39">
        <f>IF(_xlfn.XLOOKUP(A218,[1]MACHOTE!A:A,[1]MACHOTE!V:V,0,0)="S",1.16,IF(_xlfn.XLOOKUP(A218,[1]MACHOTE!A:A,[1]MACHOTE!Y:Y,0,0)="S",1.08,1))</f>
        <v>1</v>
      </c>
      <c r="I218" s="39">
        <f t="shared" si="13"/>
        <v>0</v>
      </c>
      <c r="J218" s="42">
        <f t="shared" si="14"/>
        <v>0</v>
      </c>
      <c r="K218" s="39">
        <f>OC!$B$6</f>
        <v>0</v>
      </c>
      <c r="L218" s="39">
        <f>OC!$B$7</f>
        <v>0</v>
      </c>
      <c r="M218" s="39">
        <f>OC!$B$2</f>
        <v>0</v>
      </c>
      <c r="N218" s="44">
        <f>OC!$B$3</f>
        <v>0</v>
      </c>
      <c r="O218" s="39">
        <f>OC!$B$5</f>
        <v>0</v>
      </c>
      <c r="P218" s="39">
        <f>OC!$B$8</f>
        <v>0</v>
      </c>
      <c r="Q218" s="39">
        <f>OC!$B$4</f>
        <v>0</v>
      </c>
      <c r="R218" s="43">
        <f>OC!J226</f>
        <v>0</v>
      </c>
      <c r="S218" s="43">
        <v>0</v>
      </c>
      <c r="T218" s="43">
        <f>OC!L226</f>
        <v>0</v>
      </c>
      <c r="U218" s="43">
        <f>OC!M226</f>
        <v>0</v>
      </c>
      <c r="V218" s="43">
        <f>OC!N226</f>
        <v>0</v>
      </c>
    </row>
    <row r="219" spans="1:22" s="31" customFormat="1" x14ac:dyDescent="0.3">
      <c r="A219" s="38">
        <f>OC!A227</f>
        <v>0</v>
      </c>
      <c r="B219" s="38">
        <f>OC!B227</f>
        <v>0</v>
      </c>
      <c r="C219" s="38">
        <f>OC!C227</f>
        <v>0</v>
      </c>
      <c r="D219" s="38">
        <f>OC!P227</f>
        <v>0</v>
      </c>
      <c r="E219" s="39">
        <f>OC!D227</f>
        <v>0</v>
      </c>
      <c r="F219" s="40">
        <f>OC!E227</f>
        <v>0</v>
      </c>
      <c r="G219" s="41">
        <f t="shared" si="12"/>
        <v>0</v>
      </c>
      <c r="H219" s="39">
        <f>IF(_xlfn.XLOOKUP(A219,[1]MACHOTE!A:A,[1]MACHOTE!V:V,0,0)="S",1.16,IF(_xlfn.XLOOKUP(A219,[1]MACHOTE!A:A,[1]MACHOTE!Y:Y,0,0)="S",1.08,1))</f>
        <v>1</v>
      </c>
      <c r="I219" s="39">
        <f t="shared" si="13"/>
        <v>0</v>
      </c>
      <c r="J219" s="42">
        <f t="shared" si="14"/>
        <v>0</v>
      </c>
      <c r="K219" s="39">
        <f>OC!$B$6</f>
        <v>0</v>
      </c>
      <c r="L219" s="39">
        <f>OC!$B$7</f>
        <v>0</v>
      </c>
      <c r="M219" s="39">
        <f>OC!$B$2</f>
        <v>0</v>
      </c>
      <c r="N219" s="44">
        <f>OC!$B$3</f>
        <v>0</v>
      </c>
      <c r="O219" s="39">
        <f>OC!$B$5</f>
        <v>0</v>
      </c>
      <c r="P219" s="39">
        <f>OC!$B$8</f>
        <v>0</v>
      </c>
      <c r="Q219" s="39">
        <f>OC!$B$4</f>
        <v>0</v>
      </c>
      <c r="R219" s="43">
        <f>OC!J227</f>
        <v>0</v>
      </c>
      <c r="S219" s="43">
        <v>0</v>
      </c>
      <c r="T219" s="43">
        <f>OC!L227</f>
        <v>0</v>
      </c>
      <c r="U219" s="43">
        <f>OC!M227</f>
        <v>0</v>
      </c>
      <c r="V219" s="43">
        <f>OC!N227</f>
        <v>0</v>
      </c>
    </row>
    <row r="220" spans="1:22" s="31" customFormat="1" x14ac:dyDescent="0.3">
      <c r="A220" s="38">
        <f>OC!A228</f>
        <v>0</v>
      </c>
      <c r="B220" s="38">
        <f>OC!B228</f>
        <v>0</v>
      </c>
      <c r="C220" s="38">
        <f>OC!C228</f>
        <v>0</v>
      </c>
      <c r="D220" s="38">
        <f>OC!P228</f>
        <v>0</v>
      </c>
      <c r="E220" s="39">
        <f>OC!D228</f>
        <v>0</v>
      </c>
      <c r="F220" s="40">
        <f>OC!E228</f>
        <v>0</v>
      </c>
      <c r="G220" s="41">
        <f t="shared" si="12"/>
        <v>0</v>
      </c>
      <c r="H220" s="39">
        <f>IF(_xlfn.XLOOKUP(A220,[1]MACHOTE!A:A,[1]MACHOTE!V:V,0,0)="S",1.16,IF(_xlfn.XLOOKUP(A220,[1]MACHOTE!A:A,[1]MACHOTE!Y:Y,0,0)="S",1.08,1))</f>
        <v>1</v>
      </c>
      <c r="I220" s="39">
        <f t="shared" si="13"/>
        <v>0</v>
      </c>
      <c r="J220" s="42">
        <f t="shared" si="14"/>
        <v>0</v>
      </c>
      <c r="K220" s="39">
        <f>OC!$B$6</f>
        <v>0</v>
      </c>
      <c r="L220" s="39">
        <f>OC!$B$7</f>
        <v>0</v>
      </c>
      <c r="M220" s="39">
        <f>OC!$B$2</f>
        <v>0</v>
      </c>
      <c r="N220" s="44">
        <f>OC!$B$3</f>
        <v>0</v>
      </c>
      <c r="O220" s="39">
        <f>OC!$B$5</f>
        <v>0</v>
      </c>
      <c r="P220" s="39">
        <f>OC!$B$8</f>
        <v>0</v>
      </c>
      <c r="Q220" s="39">
        <f>OC!$B$4</f>
        <v>0</v>
      </c>
      <c r="R220" s="43">
        <f>OC!J228</f>
        <v>0</v>
      </c>
      <c r="S220" s="43">
        <v>0</v>
      </c>
      <c r="T220" s="43">
        <f>OC!L228</f>
        <v>0</v>
      </c>
      <c r="U220" s="43">
        <f>OC!M228</f>
        <v>0</v>
      </c>
      <c r="V220" s="43">
        <f>OC!N228</f>
        <v>0</v>
      </c>
    </row>
    <row r="221" spans="1:22" s="31" customFormat="1" x14ac:dyDescent="0.3">
      <c r="A221" s="38">
        <f>OC!A229</f>
        <v>0</v>
      </c>
      <c r="B221" s="38">
        <f>OC!B229</f>
        <v>0</v>
      </c>
      <c r="C221" s="38">
        <f>OC!C229</f>
        <v>0</v>
      </c>
      <c r="D221" s="38">
        <f>OC!P229</f>
        <v>0</v>
      </c>
      <c r="E221" s="39">
        <f>OC!D229</f>
        <v>0</v>
      </c>
      <c r="F221" s="40">
        <f>OC!E229</f>
        <v>0</v>
      </c>
      <c r="G221" s="41">
        <f t="shared" si="12"/>
        <v>0</v>
      </c>
      <c r="H221" s="39">
        <f>IF(_xlfn.XLOOKUP(A221,[1]MACHOTE!A:A,[1]MACHOTE!V:V,0,0)="S",1.16,IF(_xlfn.XLOOKUP(A221,[1]MACHOTE!A:A,[1]MACHOTE!Y:Y,0,0)="S",1.08,1))</f>
        <v>1</v>
      </c>
      <c r="I221" s="39">
        <f t="shared" si="13"/>
        <v>0</v>
      </c>
      <c r="J221" s="42">
        <f t="shared" si="14"/>
        <v>0</v>
      </c>
      <c r="K221" s="39">
        <f>OC!$B$6</f>
        <v>0</v>
      </c>
      <c r="L221" s="39">
        <f>OC!$B$7</f>
        <v>0</v>
      </c>
      <c r="M221" s="39">
        <f>OC!$B$2</f>
        <v>0</v>
      </c>
      <c r="N221" s="44">
        <f>OC!$B$3</f>
        <v>0</v>
      </c>
      <c r="O221" s="39">
        <f>OC!$B$5</f>
        <v>0</v>
      </c>
      <c r="P221" s="39">
        <f>OC!$B$8</f>
        <v>0</v>
      </c>
      <c r="Q221" s="39">
        <f>OC!$B$4</f>
        <v>0</v>
      </c>
      <c r="R221" s="43">
        <f>OC!J229</f>
        <v>0</v>
      </c>
      <c r="S221" s="43">
        <v>0</v>
      </c>
      <c r="T221" s="43">
        <f>OC!L229</f>
        <v>0</v>
      </c>
      <c r="U221" s="43">
        <f>OC!M229</f>
        <v>0</v>
      </c>
      <c r="V221" s="43">
        <f>OC!N229</f>
        <v>0</v>
      </c>
    </row>
    <row r="222" spans="1:22" s="31" customFormat="1" x14ac:dyDescent="0.3">
      <c r="A222" s="38">
        <f>OC!A230</f>
        <v>0</v>
      </c>
      <c r="B222" s="38">
        <f>OC!B230</f>
        <v>0</v>
      </c>
      <c r="C222" s="38">
        <f>OC!C230</f>
        <v>0</v>
      </c>
      <c r="D222" s="38">
        <f>OC!P230</f>
        <v>0</v>
      </c>
      <c r="E222" s="39">
        <f>OC!D230</f>
        <v>0</v>
      </c>
      <c r="F222" s="40">
        <f>OC!E230</f>
        <v>0</v>
      </c>
      <c r="G222" s="41">
        <f t="shared" si="12"/>
        <v>0</v>
      </c>
      <c r="H222" s="39">
        <f>IF(_xlfn.XLOOKUP(A222,[1]MACHOTE!A:A,[1]MACHOTE!V:V,0,0)="S",1.16,IF(_xlfn.XLOOKUP(A222,[1]MACHOTE!A:A,[1]MACHOTE!Y:Y,0,0)="S",1.08,1))</f>
        <v>1</v>
      </c>
      <c r="I222" s="39">
        <f t="shared" si="13"/>
        <v>0</v>
      </c>
      <c r="J222" s="42">
        <f t="shared" si="14"/>
        <v>0</v>
      </c>
      <c r="K222" s="39">
        <f>OC!$B$6</f>
        <v>0</v>
      </c>
      <c r="L222" s="39">
        <f>OC!$B$7</f>
        <v>0</v>
      </c>
      <c r="M222" s="39">
        <f>OC!$B$2</f>
        <v>0</v>
      </c>
      <c r="N222" s="44">
        <f>OC!$B$3</f>
        <v>0</v>
      </c>
      <c r="O222" s="39">
        <f>OC!$B$5</f>
        <v>0</v>
      </c>
      <c r="P222" s="39">
        <f>OC!$B$8</f>
        <v>0</v>
      </c>
      <c r="Q222" s="39">
        <f>OC!$B$4</f>
        <v>0</v>
      </c>
      <c r="R222" s="43">
        <f>OC!J230</f>
        <v>0</v>
      </c>
      <c r="S222" s="43">
        <v>0</v>
      </c>
      <c r="T222" s="43">
        <f>OC!L230</f>
        <v>0</v>
      </c>
      <c r="U222" s="43">
        <f>OC!M230</f>
        <v>0</v>
      </c>
      <c r="V222" s="43">
        <f>OC!N230</f>
        <v>0</v>
      </c>
    </row>
    <row r="223" spans="1:22" s="31" customFormat="1" x14ac:dyDescent="0.3">
      <c r="A223" s="38">
        <f>OC!A231</f>
        <v>0</v>
      </c>
      <c r="B223" s="38">
        <f>OC!B231</f>
        <v>0</v>
      </c>
      <c r="C223" s="38">
        <f>OC!C231</f>
        <v>0</v>
      </c>
      <c r="D223" s="38">
        <f>OC!P231</f>
        <v>0</v>
      </c>
      <c r="E223" s="39">
        <f>OC!D231</f>
        <v>0</v>
      </c>
      <c r="F223" s="40">
        <f>OC!E231</f>
        <v>0</v>
      </c>
      <c r="G223" s="41">
        <f t="shared" si="12"/>
        <v>0</v>
      </c>
      <c r="H223" s="39">
        <f>IF(_xlfn.XLOOKUP(A223,[1]MACHOTE!A:A,[1]MACHOTE!V:V,0,0)="S",1.16,IF(_xlfn.XLOOKUP(A223,[1]MACHOTE!A:A,[1]MACHOTE!Y:Y,0,0)="S",1.08,1))</f>
        <v>1</v>
      </c>
      <c r="I223" s="39">
        <f t="shared" si="13"/>
        <v>0</v>
      </c>
      <c r="J223" s="42">
        <f t="shared" si="14"/>
        <v>0</v>
      </c>
      <c r="K223" s="39">
        <f>OC!$B$6</f>
        <v>0</v>
      </c>
      <c r="L223" s="39">
        <f>OC!$B$7</f>
        <v>0</v>
      </c>
      <c r="M223" s="39">
        <f>OC!$B$2</f>
        <v>0</v>
      </c>
      <c r="N223" s="44">
        <f>OC!$B$3</f>
        <v>0</v>
      </c>
      <c r="O223" s="39">
        <f>OC!$B$5</f>
        <v>0</v>
      </c>
      <c r="P223" s="39">
        <f>OC!$B$8</f>
        <v>0</v>
      </c>
      <c r="Q223" s="39">
        <f>OC!$B$4</f>
        <v>0</v>
      </c>
      <c r="R223" s="43">
        <f>OC!J231</f>
        <v>0</v>
      </c>
      <c r="S223" s="43">
        <v>0</v>
      </c>
      <c r="T223" s="43">
        <f>OC!L231</f>
        <v>0</v>
      </c>
      <c r="U223" s="43">
        <f>OC!M231</f>
        <v>0</v>
      </c>
      <c r="V223" s="43">
        <f>OC!N231</f>
        <v>0</v>
      </c>
    </row>
    <row r="224" spans="1:22" s="31" customFormat="1" x14ac:dyDescent="0.3">
      <c r="A224" s="38">
        <f>OC!A232</f>
        <v>0</v>
      </c>
      <c r="B224" s="38">
        <f>OC!B232</f>
        <v>0</v>
      </c>
      <c r="C224" s="38">
        <f>OC!C232</f>
        <v>0</v>
      </c>
      <c r="D224" s="38">
        <f>OC!P232</f>
        <v>0</v>
      </c>
      <c r="E224" s="39">
        <f>OC!D232</f>
        <v>0</v>
      </c>
      <c r="F224" s="40">
        <f>OC!E232</f>
        <v>0</v>
      </c>
      <c r="G224" s="41">
        <f t="shared" si="12"/>
        <v>0</v>
      </c>
      <c r="H224" s="39">
        <f>IF(_xlfn.XLOOKUP(A224,[1]MACHOTE!A:A,[1]MACHOTE!V:V,0,0)="S",1.16,IF(_xlfn.XLOOKUP(A224,[1]MACHOTE!A:A,[1]MACHOTE!Y:Y,0,0)="S",1.08,1))</f>
        <v>1</v>
      </c>
      <c r="I224" s="39">
        <f t="shared" si="13"/>
        <v>0</v>
      </c>
      <c r="J224" s="42">
        <f t="shared" si="14"/>
        <v>0</v>
      </c>
      <c r="K224" s="39">
        <f>OC!$B$6</f>
        <v>0</v>
      </c>
      <c r="L224" s="39">
        <f>OC!$B$7</f>
        <v>0</v>
      </c>
      <c r="M224" s="39">
        <f>OC!$B$2</f>
        <v>0</v>
      </c>
      <c r="N224" s="44">
        <f>OC!$B$3</f>
        <v>0</v>
      </c>
      <c r="O224" s="39">
        <f>OC!$B$5</f>
        <v>0</v>
      </c>
      <c r="P224" s="39">
        <f>OC!$B$8</f>
        <v>0</v>
      </c>
      <c r="Q224" s="39">
        <f>OC!$B$4</f>
        <v>0</v>
      </c>
      <c r="R224" s="43">
        <f>OC!J232</f>
        <v>0</v>
      </c>
      <c r="S224" s="43">
        <v>0</v>
      </c>
      <c r="T224" s="43">
        <f>OC!L232</f>
        <v>0</v>
      </c>
      <c r="U224" s="43">
        <f>OC!M232</f>
        <v>0</v>
      </c>
      <c r="V224" s="43">
        <f>OC!N232</f>
        <v>0</v>
      </c>
    </row>
    <row r="225" spans="1:22" s="31" customFormat="1" x14ac:dyDescent="0.3">
      <c r="A225" s="38">
        <f>OC!A233</f>
        <v>0</v>
      </c>
      <c r="B225" s="38">
        <f>OC!B233</f>
        <v>0</v>
      </c>
      <c r="C225" s="38">
        <f>OC!C233</f>
        <v>0</v>
      </c>
      <c r="D225" s="38">
        <f>OC!P233</f>
        <v>0</v>
      </c>
      <c r="E225" s="39">
        <f>OC!D233</f>
        <v>0</v>
      </c>
      <c r="F225" s="40">
        <f>OC!E233</f>
        <v>0</v>
      </c>
      <c r="G225" s="41">
        <f t="shared" si="12"/>
        <v>0</v>
      </c>
      <c r="H225" s="39">
        <f>IF(_xlfn.XLOOKUP(A225,[1]MACHOTE!A:A,[1]MACHOTE!V:V,0,0)="S",1.16,IF(_xlfn.XLOOKUP(A225,[1]MACHOTE!A:A,[1]MACHOTE!Y:Y,0,0)="S",1.08,1))</f>
        <v>1</v>
      </c>
      <c r="I225" s="39">
        <f t="shared" si="13"/>
        <v>0</v>
      </c>
      <c r="J225" s="42">
        <f t="shared" si="14"/>
        <v>0</v>
      </c>
      <c r="K225" s="39">
        <f>OC!$B$6</f>
        <v>0</v>
      </c>
      <c r="L225" s="39">
        <f>OC!$B$7</f>
        <v>0</v>
      </c>
      <c r="M225" s="39">
        <f>OC!$B$2</f>
        <v>0</v>
      </c>
      <c r="N225" s="44">
        <f>OC!$B$3</f>
        <v>0</v>
      </c>
      <c r="O225" s="39">
        <f>OC!$B$5</f>
        <v>0</v>
      </c>
      <c r="P225" s="39">
        <f>OC!$B$8</f>
        <v>0</v>
      </c>
      <c r="Q225" s="39">
        <f>OC!$B$4</f>
        <v>0</v>
      </c>
      <c r="R225" s="43">
        <f>OC!J233</f>
        <v>0</v>
      </c>
      <c r="S225" s="43">
        <v>0</v>
      </c>
      <c r="T225" s="43">
        <f>OC!L233</f>
        <v>0</v>
      </c>
      <c r="U225" s="43">
        <f>OC!M233</f>
        <v>0</v>
      </c>
      <c r="V225" s="43">
        <f>OC!N233</f>
        <v>0</v>
      </c>
    </row>
  </sheetData>
  <pageMargins left="0.7" right="0.7" top="0.75" bottom="0.75" header="0.3" footer="0.3"/>
  <pageSetup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5078-5684-4600-9345-933AA5473F15}">
  <dimension ref="A1:Y2048"/>
  <sheetViews>
    <sheetView topLeftCell="A2024" zoomScale="80" zoomScaleNormal="80" workbookViewId="0">
      <selection sqref="A1:Y2048"/>
    </sheetView>
  </sheetViews>
  <sheetFormatPr baseColWidth="10" defaultRowHeight="14.4" x14ac:dyDescent="0.3"/>
  <cols>
    <col min="1" max="1" width="20.5546875" style="31" bestFit="1" customWidth="1"/>
    <col min="2" max="2" width="9.109375" style="31" customWidth="1"/>
    <col min="3" max="3" width="129.44140625" style="31" bestFit="1" customWidth="1"/>
    <col min="4" max="256" width="9.109375" style="31" customWidth="1"/>
    <col min="257" max="257" width="20.5546875" style="31" bestFit="1" customWidth="1"/>
    <col min="258" max="258" width="9.109375" style="31" customWidth="1"/>
    <col min="259" max="259" width="129.44140625" style="31" bestFit="1" customWidth="1"/>
    <col min="260" max="512" width="9.109375" style="31" customWidth="1"/>
    <col min="513" max="513" width="20.5546875" style="31" bestFit="1" customWidth="1"/>
    <col min="514" max="514" width="9.109375" style="31" customWidth="1"/>
    <col min="515" max="515" width="129.44140625" style="31" bestFit="1" customWidth="1"/>
    <col min="516" max="768" width="9.109375" style="31" customWidth="1"/>
    <col min="769" max="769" width="20.5546875" style="31" bestFit="1" customWidth="1"/>
    <col min="770" max="770" width="9.109375" style="31" customWidth="1"/>
    <col min="771" max="771" width="129.44140625" style="31" bestFit="1" customWidth="1"/>
    <col min="772" max="1024" width="9.109375" style="31" customWidth="1"/>
    <col min="1025" max="1025" width="20.5546875" style="31" bestFit="1" customWidth="1"/>
    <col min="1026" max="1026" width="9.109375" style="31" customWidth="1"/>
    <col min="1027" max="1027" width="129.44140625" style="31" bestFit="1" customWidth="1"/>
    <col min="1028" max="1280" width="9.109375" style="31" customWidth="1"/>
    <col min="1281" max="1281" width="20.5546875" style="31" bestFit="1" customWidth="1"/>
    <col min="1282" max="1282" width="9.109375" style="31" customWidth="1"/>
    <col min="1283" max="1283" width="129.44140625" style="31" bestFit="1" customWidth="1"/>
    <col min="1284" max="1536" width="9.109375" style="31" customWidth="1"/>
    <col min="1537" max="1537" width="20.5546875" style="31" bestFit="1" customWidth="1"/>
    <col min="1538" max="1538" width="9.109375" style="31" customWidth="1"/>
    <col min="1539" max="1539" width="129.44140625" style="31" bestFit="1" customWidth="1"/>
    <col min="1540" max="1792" width="9.109375" style="31" customWidth="1"/>
    <col min="1793" max="1793" width="20.5546875" style="31" bestFit="1" customWidth="1"/>
    <col min="1794" max="1794" width="9.109375" style="31" customWidth="1"/>
    <col min="1795" max="1795" width="129.44140625" style="31" bestFit="1" customWidth="1"/>
    <col min="1796" max="2048" width="9.109375" style="31" customWidth="1"/>
    <col min="2049" max="2049" width="20.5546875" style="31" bestFit="1" customWidth="1"/>
    <col min="2050" max="2050" width="9.109375" style="31" customWidth="1"/>
    <col min="2051" max="2051" width="129.44140625" style="31" bestFit="1" customWidth="1"/>
    <col min="2052" max="2304" width="9.109375" style="31" customWidth="1"/>
    <col min="2305" max="2305" width="20.5546875" style="31" bestFit="1" customWidth="1"/>
    <col min="2306" max="2306" width="9.109375" style="31" customWidth="1"/>
    <col min="2307" max="2307" width="129.44140625" style="31" bestFit="1" customWidth="1"/>
    <col min="2308" max="2560" width="9.109375" style="31" customWidth="1"/>
    <col min="2561" max="2561" width="20.5546875" style="31" bestFit="1" customWidth="1"/>
    <col min="2562" max="2562" width="9.109375" style="31" customWidth="1"/>
    <col min="2563" max="2563" width="129.44140625" style="31" bestFit="1" customWidth="1"/>
    <col min="2564" max="2816" width="9.109375" style="31" customWidth="1"/>
    <col min="2817" max="2817" width="20.5546875" style="31" bestFit="1" customWidth="1"/>
    <col min="2818" max="2818" width="9.109375" style="31" customWidth="1"/>
    <col min="2819" max="2819" width="129.44140625" style="31" bestFit="1" customWidth="1"/>
    <col min="2820" max="3072" width="9.109375" style="31" customWidth="1"/>
    <col min="3073" max="3073" width="20.5546875" style="31" bestFit="1" customWidth="1"/>
    <col min="3074" max="3074" width="9.109375" style="31" customWidth="1"/>
    <col min="3075" max="3075" width="129.44140625" style="31" bestFit="1" customWidth="1"/>
    <col min="3076" max="3328" width="9.109375" style="31" customWidth="1"/>
    <col min="3329" max="3329" width="20.5546875" style="31" bestFit="1" customWidth="1"/>
    <col min="3330" max="3330" width="9.109375" style="31" customWidth="1"/>
    <col min="3331" max="3331" width="129.44140625" style="31" bestFit="1" customWidth="1"/>
    <col min="3332" max="3584" width="9.109375" style="31" customWidth="1"/>
    <col min="3585" max="3585" width="20.5546875" style="31" bestFit="1" customWidth="1"/>
    <col min="3586" max="3586" width="9.109375" style="31" customWidth="1"/>
    <col min="3587" max="3587" width="129.44140625" style="31" bestFit="1" customWidth="1"/>
    <col min="3588" max="3840" width="9.109375" style="31" customWidth="1"/>
    <col min="3841" max="3841" width="20.5546875" style="31" bestFit="1" customWidth="1"/>
    <col min="3842" max="3842" width="9.109375" style="31" customWidth="1"/>
    <col min="3843" max="3843" width="129.44140625" style="31" bestFit="1" customWidth="1"/>
    <col min="3844" max="4096" width="9.109375" style="31" customWidth="1"/>
    <col min="4097" max="4097" width="20.5546875" style="31" bestFit="1" customWidth="1"/>
    <col min="4098" max="4098" width="9.109375" style="31" customWidth="1"/>
    <col min="4099" max="4099" width="129.44140625" style="31" bestFit="1" customWidth="1"/>
    <col min="4100" max="4352" width="9.109375" style="31" customWidth="1"/>
    <col min="4353" max="4353" width="20.5546875" style="31" bestFit="1" customWidth="1"/>
    <col min="4354" max="4354" width="9.109375" style="31" customWidth="1"/>
    <col min="4355" max="4355" width="129.44140625" style="31" bestFit="1" customWidth="1"/>
    <col min="4356" max="4608" width="9.109375" style="31" customWidth="1"/>
    <col min="4609" max="4609" width="20.5546875" style="31" bestFit="1" customWidth="1"/>
    <col min="4610" max="4610" width="9.109375" style="31" customWidth="1"/>
    <col min="4611" max="4611" width="129.44140625" style="31" bestFit="1" customWidth="1"/>
    <col min="4612" max="4864" width="9.109375" style="31" customWidth="1"/>
    <col min="4865" max="4865" width="20.5546875" style="31" bestFit="1" customWidth="1"/>
    <col min="4866" max="4866" width="9.109375" style="31" customWidth="1"/>
    <col min="4867" max="4867" width="129.44140625" style="31" bestFit="1" customWidth="1"/>
    <col min="4868" max="5120" width="9.109375" style="31" customWidth="1"/>
    <col min="5121" max="5121" width="20.5546875" style="31" bestFit="1" customWidth="1"/>
    <col min="5122" max="5122" width="9.109375" style="31" customWidth="1"/>
    <col min="5123" max="5123" width="129.44140625" style="31" bestFit="1" customWidth="1"/>
    <col min="5124" max="5376" width="9.109375" style="31" customWidth="1"/>
    <col min="5377" max="5377" width="20.5546875" style="31" bestFit="1" customWidth="1"/>
    <col min="5378" max="5378" width="9.109375" style="31" customWidth="1"/>
    <col min="5379" max="5379" width="129.44140625" style="31" bestFit="1" customWidth="1"/>
    <col min="5380" max="5632" width="9.109375" style="31" customWidth="1"/>
    <col min="5633" max="5633" width="20.5546875" style="31" bestFit="1" customWidth="1"/>
    <col min="5634" max="5634" width="9.109375" style="31" customWidth="1"/>
    <col min="5635" max="5635" width="129.44140625" style="31" bestFit="1" customWidth="1"/>
    <col min="5636" max="5888" width="9.109375" style="31" customWidth="1"/>
    <col min="5889" max="5889" width="20.5546875" style="31" bestFit="1" customWidth="1"/>
    <col min="5890" max="5890" width="9.109375" style="31" customWidth="1"/>
    <col min="5891" max="5891" width="129.44140625" style="31" bestFit="1" customWidth="1"/>
    <col min="5892" max="6144" width="9.109375" style="31" customWidth="1"/>
    <col min="6145" max="6145" width="20.5546875" style="31" bestFit="1" customWidth="1"/>
    <col min="6146" max="6146" width="9.109375" style="31" customWidth="1"/>
    <col min="6147" max="6147" width="129.44140625" style="31" bestFit="1" customWidth="1"/>
    <col min="6148" max="6400" width="9.109375" style="31" customWidth="1"/>
    <col min="6401" max="6401" width="20.5546875" style="31" bestFit="1" customWidth="1"/>
    <col min="6402" max="6402" width="9.109375" style="31" customWidth="1"/>
    <col min="6403" max="6403" width="129.44140625" style="31" bestFit="1" customWidth="1"/>
    <col min="6404" max="6656" width="9.109375" style="31" customWidth="1"/>
    <col min="6657" max="6657" width="20.5546875" style="31" bestFit="1" customWidth="1"/>
    <col min="6658" max="6658" width="9.109375" style="31" customWidth="1"/>
    <col min="6659" max="6659" width="129.44140625" style="31" bestFit="1" customWidth="1"/>
    <col min="6660" max="6912" width="9.109375" style="31" customWidth="1"/>
    <col min="6913" max="6913" width="20.5546875" style="31" bestFit="1" customWidth="1"/>
    <col min="6914" max="6914" width="9.109375" style="31" customWidth="1"/>
    <col min="6915" max="6915" width="129.44140625" style="31" bestFit="1" customWidth="1"/>
    <col min="6916" max="7168" width="9.109375" style="31" customWidth="1"/>
    <col min="7169" max="7169" width="20.5546875" style="31" bestFit="1" customWidth="1"/>
    <col min="7170" max="7170" width="9.109375" style="31" customWidth="1"/>
    <col min="7171" max="7171" width="129.44140625" style="31" bestFit="1" customWidth="1"/>
    <col min="7172" max="7424" width="9.109375" style="31" customWidth="1"/>
    <col min="7425" max="7425" width="20.5546875" style="31" bestFit="1" customWidth="1"/>
    <col min="7426" max="7426" width="9.109375" style="31" customWidth="1"/>
    <col min="7427" max="7427" width="129.44140625" style="31" bestFit="1" customWidth="1"/>
    <col min="7428" max="7680" width="9.109375" style="31" customWidth="1"/>
    <col min="7681" max="7681" width="20.5546875" style="31" bestFit="1" customWidth="1"/>
    <col min="7682" max="7682" width="9.109375" style="31" customWidth="1"/>
    <col min="7683" max="7683" width="129.44140625" style="31" bestFit="1" customWidth="1"/>
    <col min="7684" max="7936" width="9.109375" style="31" customWidth="1"/>
    <col min="7937" max="7937" width="20.5546875" style="31" bestFit="1" customWidth="1"/>
    <col min="7938" max="7938" width="9.109375" style="31" customWidth="1"/>
    <col min="7939" max="7939" width="129.44140625" style="31" bestFit="1" customWidth="1"/>
    <col min="7940" max="8192" width="9.109375" style="31" customWidth="1"/>
    <col min="8193" max="8193" width="20.5546875" style="31" bestFit="1" customWidth="1"/>
    <col min="8194" max="8194" width="9.109375" style="31" customWidth="1"/>
    <col min="8195" max="8195" width="129.44140625" style="31" bestFit="1" customWidth="1"/>
    <col min="8196" max="8448" width="9.109375" style="31" customWidth="1"/>
    <col min="8449" max="8449" width="20.5546875" style="31" bestFit="1" customWidth="1"/>
    <col min="8450" max="8450" width="9.109375" style="31" customWidth="1"/>
    <col min="8451" max="8451" width="129.44140625" style="31" bestFit="1" customWidth="1"/>
    <col min="8452" max="8704" width="9.109375" style="31" customWidth="1"/>
    <col min="8705" max="8705" width="20.5546875" style="31" bestFit="1" customWidth="1"/>
    <col min="8706" max="8706" width="9.109375" style="31" customWidth="1"/>
    <col min="8707" max="8707" width="129.44140625" style="31" bestFit="1" customWidth="1"/>
    <col min="8708" max="8960" width="9.109375" style="31" customWidth="1"/>
    <col min="8961" max="8961" width="20.5546875" style="31" bestFit="1" customWidth="1"/>
    <col min="8962" max="8962" width="9.109375" style="31" customWidth="1"/>
    <col min="8963" max="8963" width="129.44140625" style="31" bestFit="1" customWidth="1"/>
    <col min="8964" max="9216" width="9.109375" style="31" customWidth="1"/>
    <col min="9217" max="9217" width="20.5546875" style="31" bestFit="1" customWidth="1"/>
    <col min="9218" max="9218" width="9.109375" style="31" customWidth="1"/>
    <col min="9219" max="9219" width="129.44140625" style="31" bestFit="1" customWidth="1"/>
    <col min="9220" max="9472" width="9.109375" style="31" customWidth="1"/>
    <col min="9473" max="9473" width="20.5546875" style="31" bestFit="1" customWidth="1"/>
    <col min="9474" max="9474" width="9.109375" style="31" customWidth="1"/>
    <col min="9475" max="9475" width="129.44140625" style="31" bestFit="1" customWidth="1"/>
    <col min="9476" max="9728" width="9.109375" style="31" customWidth="1"/>
    <col min="9729" max="9729" width="20.5546875" style="31" bestFit="1" customWidth="1"/>
    <col min="9730" max="9730" width="9.109375" style="31" customWidth="1"/>
    <col min="9731" max="9731" width="129.44140625" style="31" bestFit="1" customWidth="1"/>
    <col min="9732" max="9984" width="9.109375" style="31" customWidth="1"/>
    <col min="9985" max="9985" width="20.5546875" style="31" bestFit="1" customWidth="1"/>
    <col min="9986" max="9986" width="9.109375" style="31" customWidth="1"/>
    <col min="9987" max="9987" width="129.44140625" style="31" bestFit="1" customWidth="1"/>
    <col min="9988" max="10240" width="9.109375" style="31" customWidth="1"/>
    <col min="10241" max="10241" width="20.5546875" style="31" bestFit="1" customWidth="1"/>
    <col min="10242" max="10242" width="9.109375" style="31" customWidth="1"/>
    <col min="10243" max="10243" width="129.44140625" style="31" bestFit="1" customWidth="1"/>
    <col min="10244" max="10496" width="9.109375" style="31" customWidth="1"/>
    <col min="10497" max="10497" width="20.5546875" style="31" bestFit="1" customWidth="1"/>
    <col min="10498" max="10498" width="9.109375" style="31" customWidth="1"/>
    <col min="10499" max="10499" width="129.44140625" style="31" bestFit="1" customWidth="1"/>
    <col min="10500" max="10752" width="9.109375" style="31" customWidth="1"/>
    <col min="10753" max="10753" width="20.5546875" style="31" bestFit="1" customWidth="1"/>
    <col min="10754" max="10754" width="9.109375" style="31" customWidth="1"/>
    <col min="10755" max="10755" width="129.44140625" style="31" bestFit="1" customWidth="1"/>
    <col min="10756" max="11008" width="9.109375" style="31" customWidth="1"/>
    <col min="11009" max="11009" width="20.5546875" style="31" bestFit="1" customWidth="1"/>
    <col min="11010" max="11010" width="9.109375" style="31" customWidth="1"/>
    <col min="11011" max="11011" width="129.44140625" style="31" bestFit="1" customWidth="1"/>
    <col min="11012" max="11264" width="9.109375" style="31" customWidth="1"/>
    <col min="11265" max="11265" width="20.5546875" style="31" bestFit="1" customWidth="1"/>
    <col min="11266" max="11266" width="9.109375" style="31" customWidth="1"/>
    <col min="11267" max="11267" width="129.44140625" style="31" bestFit="1" customWidth="1"/>
    <col min="11268" max="11520" width="9.109375" style="31" customWidth="1"/>
    <col min="11521" max="11521" width="20.5546875" style="31" bestFit="1" customWidth="1"/>
    <col min="11522" max="11522" width="9.109375" style="31" customWidth="1"/>
    <col min="11523" max="11523" width="129.44140625" style="31" bestFit="1" customWidth="1"/>
    <col min="11524" max="11776" width="9.109375" style="31" customWidth="1"/>
    <col min="11777" max="11777" width="20.5546875" style="31" bestFit="1" customWidth="1"/>
    <col min="11778" max="11778" width="9.109375" style="31" customWidth="1"/>
    <col min="11779" max="11779" width="129.44140625" style="31" bestFit="1" customWidth="1"/>
    <col min="11780" max="12032" width="9.109375" style="31" customWidth="1"/>
    <col min="12033" max="12033" width="20.5546875" style="31" bestFit="1" customWidth="1"/>
    <col min="12034" max="12034" width="9.109375" style="31" customWidth="1"/>
    <col min="12035" max="12035" width="129.44140625" style="31" bestFit="1" customWidth="1"/>
    <col min="12036" max="12288" width="9.109375" style="31" customWidth="1"/>
    <col min="12289" max="12289" width="20.5546875" style="31" bestFit="1" customWidth="1"/>
    <col min="12290" max="12290" width="9.109375" style="31" customWidth="1"/>
    <col min="12291" max="12291" width="129.44140625" style="31" bestFit="1" customWidth="1"/>
    <col min="12292" max="12544" width="9.109375" style="31" customWidth="1"/>
    <col min="12545" max="12545" width="20.5546875" style="31" bestFit="1" customWidth="1"/>
    <col min="12546" max="12546" width="9.109375" style="31" customWidth="1"/>
    <col min="12547" max="12547" width="129.44140625" style="31" bestFit="1" customWidth="1"/>
    <col min="12548" max="12800" width="9.109375" style="31" customWidth="1"/>
    <col min="12801" max="12801" width="20.5546875" style="31" bestFit="1" customWidth="1"/>
    <col min="12802" max="12802" width="9.109375" style="31" customWidth="1"/>
    <col min="12803" max="12803" width="129.44140625" style="31" bestFit="1" customWidth="1"/>
    <col min="12804" max="13056" width="9.109375" style="31" customWidth="1"/>
    <col min="13057" max="13057" width="20.5546875" style="31" bestFit="1" customWidth="1"/>
    <col min="13058" max="13058" width="9.109375" style="31" customWidth="1"/>
    <col min="13059" max="13059" width="129.44140625" style="31" bestFit="1" customWidth="1"/>
    <col min="13060" max="13312" width="9.109375" style="31" customWidth="1"/>
    <col min="13313" max="13313" width="20.5546875" style="31" bestFit="1" customWidth="1"/>
    <col min="13314" max="13314" width="9.109375" style="31" customWidth="1"/>
    <col min="13315" max="13315" width="129.44140625" style="31" bestFit="1" customWidth="1"/>
    <col min="13316" max="13568" width="9.109375" style="31" customWidth="1"/>
    <col min="13569" max="13569" width="20.5546875" style="31" bestFit="1" customWidth="1"/>
    <col min="13570" max="13570" width="9.109375" style="31" customWidth="1"/>
    <col min="13571" max="13571" width="129.44140625" style="31" bestFit="1" customWidth="1"/>
    <col min="13572" max="13824" width="9.109375" style="31" customWidth="1"/>
    <col min="13825" max="13825" width="20.5546875" style="31" bestFit="1" customWidth="1"/>
    <col min="13826" max="13826" width="9.109375" style="31" customWidth="1"/>
    <col min="13827" max="13827" width="129.44140625" style="31" bestFit="1" customWidth="1"/>
    <col min="13828" max="14080" width="9.109375" style="31" customWidth="1"/>
    <col min="14081" max="14081" width="20.5546875" style="31" bestFit="1" customWidth="1"/>
    <col min="14082" max="14082" width="9.109375" style="31" customWidth="1"/>
    <col min="14083" max="14083" width="129.44140625" style="31" bestFit="1" customWidth="1"/>
    <col min="14084" max="14336" width="9.109375" style="31" customWidth="1"/>
    <col min="14337" max="14337" width="20.5546875" style="31" bestFit="1" customWidth="1"/>
    <col min="14338" max="14338" width="9.109375" style="31" customWidth="1"/>
    <col min="14339" max="14339" width="129.44140625" style="31" bestFit="1" customWidth="1"/>
    <col min="14340" max="14592" width="9.109375" style="31" customWidth="1"/>
    <col min="14593" max="14593" width="20.5546875" style="31" bestFit="1" customWidth="1"/>
    <col min="14594" max="14594" width="9.109375" style="31" customWidth="1"/>
    <col min="14595" max="14595" width="129.44140625" style="31" bestFit="1" customWidth="1"/>
    <col min="14596" max="14848" width="9.109375" style="31" customWidth="1"/>
    <col min="14849" max="14849" width="20.5546875" style="31" bestFit="1" customWidth="1"/>
    <col min="14850" max="14850" width="9.109375" style="31" customWidth="1"/>
    <col min="14851" max="14851" width="129.44140625" style="31" bestFit="1" customWidth="1"/>
    <col min="14852" max="15104" width="9.109375" style="31" customWidth="1"/>
    <col min="15105" max="15105" width="20.5546875" style="31" bestFit="1" customWidth="1"/>
    <col min="15106" max="15106" width="9.109375" style="31" customWidth="1"/>
    <col min="15107" max="15107" width="129.44140625" style="31" bestFit="1" customWidth="1"/>
    <col min="15108" max="15360" width="9.109375" style="31" customWidth="1"/>
    <col min="15361" max="15361" width="20.5546875" style="31" bestFit="1" customWidth="1"/>
    <col min="15362" max="15362" width="9.109375" style="31" customWidth="1"/>
    <col min="15363" max="15363" width="129.44140625" style="31" bestFit="1" customWidth="1"/>
    <col min="15364" max="15616" width="9.109375" style="31" customWidth="1"/>
    <col min="15617" max="15617" width="20.5546875" style="31" bestFit="1" customWidth="1"/>
    <col min="15618" max="15618" width="9.109375" style="31" customWidth="1"/>
    <col min="15619" max="15619" width="129.44140625" style="31" bestFit="1" customWidth="1"/>
    <col min="15620" max="15872" width="9.109375" style="31" customWidth="1"/>
    <col min="15873" max="15873" width="20.5546875" style="31" bestFit="1" customWidth="1"/>
    <col min="15874" max="15874" width="9.109375" style="31" customWidth="1"/>
    <col min="15875" max="15875" width="129.44140625" style="31" bestFit="1" customWidth="1"/>
    <col min="15876" max="16128" width="9.109375" style="31" customWidth="1"/>
    <col min="16129" max="16129" width="20.5546875" style="31" bestFit="1" customWidth="1"/>
    <col min="16130" max="16130" width="9.109375" style="31" customWidth="1"/>
    <col min="16131" max="16131" width="129.44140625" style="31" bestFit="1" customWidth="1"/>
    <col min="16132" max="16384" width="9.109375" style="31" customWidth="1"/>
  </cols>
  <sheetData>
    <row r="1" spans="1:25" x14ac:dyDescent="0.3">
      <c r="A1" s="84" t="s">
        <v>18</v>
      </c>
      <c r="B1" s="84" t="s">
        <v>19</v>
      </c>
      <c r="C1" s="84" t="s">
        <v>20</v>
      </c>
      <c r="D1" s="84" t="s">
        <v>21</v>
      </c>
      <c r="E1" s="84" t="s">
        <v>22</v>
      </c>
      <c r="F1" s="84" t="s">
        <v>23</v>
      </c>
      <c r="G1" s="84" t="s">
        <v>24</v>
      </c>
      <c r="H1" s="84" t="s">
        <v>25</v>
      </c>
      <c r="I1" s="84" t="s">
        <v>26</v>
      </c>
      <c r="J1" s="84" t="s">
        <v>27</v>
      </c>
      <c r="K1" s="84" t="s">
        <v>28</v>
      </c>
      <c r="L1" s="84" t="s">
        <v>29</v>
      </c>
      <c r="M1" s="84" t="s">
        <v>30</v>
      </c>
      <c r="N1" s="84" t="s">
        <v>31</v>
      </c>
      <c r="O1" s="84" t="s">
        <v>32</v>
      </c>
      <c r="P1" s="84" t="s">
        <v>33</v>
      </c>
      <c r="Q1" s="84" t="s">
        <v>34</v>
      </c>
      <c r="R1" s="84" t="s">
        <v>35</v>
      </c>
      <c r="S1" s="84" t="s">
        <v>36</v>
      </c>
      <c r="T1" s="84" t="s">
        <v>37</v>
      </c>
      <c r="U1" s="84" t="s">
        <v>38</v>
      </c>
      <c r="V1" s="84" t="s">
        <v>39</v>
      </c>
      <c r="W1" s="84" t="s">
        <v>40</v>
      </c>
      <c r="X1" s="84" t="s">
        <v>41</v>
      </c>
      <c r="Y1" s="84" t="s">
        <v>42</v>
      </c>
    </row>
    <row r="2" spans="1:25" x14ac:dyDescent="0.3">
      <c r="A2" s="16">
        <v>780083142506</v>
      </c>
      <c r="B2" s="81" t="s">
        <v>43</v>
      </c>
      <c r="C2" s="81" t="s">
        <v>44</v>
      </c>
      <c r="D2" s="81" t="s">
        <v>45</v>
      </c>
      <c r="E2" s="81" t="s">
        <v>2179</v>
      </c>
      <c r="F2" s="81" t="s">
        <v>2180</v>
      </c>
      <c r="G2" s="81" t="s">
        <v>4560</v>
      </c>
      <c r="H2" s="81" t="s">
        <v>2181</v>
      </c>
      <c r="I2" s="81" t="s">
        <v>2647</v>
      </c>
      <c r="J2" s="81" t="s">
        <v>2186</v>
      </c>
      <c r="K2" s="81" t="s">
        <v>2647</v>
      </c>
      <c r="L2" s="81" t="s">
        <v>2392</v>
      </c>
      <c r="M2" s="81" t="s">
        <v>2647</v>
      </c>
      <c r="N2" s="81" t="s">
        <v>2231</v>
      </c>
      <c r="O2" s="81" t="s">
        <v>2187</v>
      </c>
      <c r="P2" s="81" t="s">
        <v>2187</v>
      </c>
      <c r="Q2" s="81" t="s">
        <v>4446</v>
      </c>
      <c r="R2" s="81" t="s">
        <v>46</v>
      </c>
      <c r="S2" s="81" t="s">
        <v>47</v>
      </c>
      <c r="T2" s="81" t="s">
        <v>48</v>
      </c>
      <c r="U2" s="81" t="s">
        <v>48</v>
      </c>
      <c r="V2" s="81" t="s">
        <v>48</v>
      </c>
      <c r="W2" s="81" t="s">
        <v>49</v>
      </c>
      <c r="X2" s="81" t="s">
        <v>48</v>
      </c>
      <c r="Y2" s="81" t="s">
        <v>48</v>
      </c>
    </row>
    <row r="3" spans="1:25" x14ac:dyDescent="0.3">
      <c r="A3" s="16">
        <v>7502009740992</v>
      </c>
      <c r="B3" s="81" t="s">
        <v>43</v>
      </c>
      <c r="C3" s="81" t="s">
        <v>1860</v>
      </c>
      <c r="D3" s="81" t="s">
        <v>45</v>
      </c>
      <c r="E3" s="81" t="s">
        <v>2188</v>
      </c>
      <c r="F3" s="81" t="s">
        <v>2189</v>
      </c>
      <c r="G3" s="81" t="s">
        <v>2622</v>
      </c>
      <c r="H3" s="81" t="s">
        <v>5526</v>
      </c>
      <c r="I3" s="81" t="s">
        <v>5527</v>
      </c>
      <c r="J3" s="81" t="s">
        <v>2186</v>
      </c>
      <c r="K3" s="81" t="s">
        <v>5527</v>
      </c>
      <c r="L3" s="81" t="s">
        <v>2392</v>
      </c>
      <c r="M3" s="81" t="s">
        <v>5527</v>
      </c>
      <c r="N3" s="81" t="s">
        <v>2231</v>
      </c>
      <c r="O3" s="81" t="s">
        <v>2187</v>
      </c>
      <c r="P3" s="81" t="s">
        <v>2187</v>
      </c>
      <c r="Q3" s="81" t="s">
        <v>50</v>
      </c>
      <c r="R3" s="81" t="s">
        <v>51</v>
      </c>
      <c r="S3" s="81" t="s">
        <v>47</v>
      </c>
      <c r="T3" s="81" t="s">
        <v>49</v>
      </c>
      <c r="U3" s="81" t="s">
        <v>48</v>
      </c>
      <c r="V3" s="81" t="s">
        <v>48</v>
      </c>
      <c r="W3" s="81" t="s">
        <v>49</v>
      </c>
      <c r="X3" s="81" t="s">
        <v>48</v>
      </c>
      <c r="Y3" s="81" t="s">
        <v>48</v>
      </c>
    </row>
    <row r="4" spans="1:25" x14ac:dyDescent="0.3">
      <c r="A4" s="16">
        <v>7502004401409</v>
      </c>
      <c r="B4" s="81" t="s">
        <v>43</v>
      </c>
      <c r="C4" s="81" t="s">
        <v>1796</v>
      </c>
      <c r="D4" s="81" t="s">
        <v>45</v>
      </c>
      <c r="E4" s="81" t="s">
        <v>2191</v>
      </c>
      <c r="F4" s="81" t="s">
        <v>2192</v>
      </c>
      <c r="G4" s="81" t="s">
        <v>4323</v>
      </c>
      <c r="H4" s="81" t="s">
        <v>2209</v>
      </c>
      <c r="I4" s="81" t="s">
        <v>5528</v>
      </c>
      <c r="J4" s="81" t="s">
        <v>2186</v>
      </c>
      <c r="K4" s="81" t="s">
        <v>5528</v>
      </c>
      <c r="L4" s="81" t="s">
        <v>2392</v>
      </c>
      <c r="M4" s="81" t="s">
        <v>5528</v>
      </c>
      <c r="N4" s="81" t="s">
        <v>2231</v>
      </c>
      <c r="O4" s="81" t="s">
        <v>2187</v>
      </c>
      <c r="P4" s="81" t="s">
        <v>2187</v>
      </c>
      <c r="Q4" s="81" t="s">
        <v>52</v>
      </c>
      <c r="R4" s="81" t="s">
        <v>46</v>
      </c>
      <c r="S4" s="81" t="s">
        <v>4447</v>
      </c>
      <c r="T4" s="81" t="s">
        <v>48</v>
      </c>
      <c r="U4" s="81" t="s">
        <v>48</v>
      </c>
      <c r="V4" s="81" t="s">
        <v>48</v>
      </c>
      <c r="W4" s="81" t="s">
        <v>49</v>
      </c>
      <c r="X4" s="81" t="s">
        <v>48</v>
      </c>
      <c r="Y4" s="81" t="s">
        <v>48</v>
      </c>
    </row>
    <row r="5" spans="1:25" x14ac:dyDescent="0.3">
      <c r="A5" s="16">
        <v>7502227424407</v>
      </c>
      <c r="B5" s="81" t="s">
        <v>43</v>
      </c>
      <c r="C5" s="81" t="s">
        <v>2194</v>
      </c>
      <c r="D5" s="81" t="s">
        <v>45</v>
      </c>
      <c r="E5" s="81" t="s">
        <v>2195</v>
      </c>
      <c r="F5" s="81" t="s">
        <v>2196</v>
      </c>
      <c r="G5" s="81" t="s">
        <v>5311</v>
      </c>
      <c r="H5" s="81" t="s">
        <v>2181</v>
      </c>
      <c r="I5" s="81" t="s">
        <v>2198</v>
      </c>
      <c r="J5" s="81" t="s">
        <v>2186</v>
      </c>
      <c r="K5" s="81" t="s">
        <v>2198</v>
      </c>
      <c r="L5" s="81" t="s">
        <v>2392</v>
      </c>
      <c r="M5" s="81" t="s">
        <v>2198</v>
      </c>
      <c r="N5" s="81" t="s">
        <v>2231</v>
      </c>
      <c r="O5" s="81" t="s">
        <v>2187</v>
      </c>
      <c r="P5" s="81" t="s">
        <v>2187</v>
      </c>
      <c r="Q5" s="81" t="s">
        <v>53</v>
      </c>
      <c r="R5" s="81" t="s">
        <v>46</v>
      </c>
      <c r="S5" s="81" t="s">
        <v>46</v>
      </c>
      <c r="T5" s="81" t="s">
        <v>48</v>
      </c>
      <c r="U5" s="81" t="s">
        <v>48</v>
      </c>
      <c r="V5" s="81" t="s">
        <v>48</v>
      </c>
      <c r="W5" s="81" t="s">
        <v>49</v>
      </c>
      <c r="X5" s="81" t="s">
        <v>48</v>
      </c>
      <c r="Y5" s="81" t="s">
        <v>48</v>
      </c>
    </row>
    <row r="6" spans="1:25" x14ac:dyDescent="0.3">
      <c r="A6" s="16">
        <v>7501537102845</v>
      </c>
      <c r="B6" s="81" t="s">
        <v>43</v>
      </c>
      <c r="C6" s="81" t="s">
        <v>54</v>
      </c>
      <c r="D6" s="81" t="s">
        <v>45</v>
      </c>
      <c r="E6" s="81" t="s">
        <v>2199</v>
      </c>
      <c r="F6" s="81" t="s">
        <v>2200</v>
      </c>
      <c r="G6" s="81" t="s">
        <v>2201</v>
      </c>
      <c r="H6" s="81" t="s">
        <v>2202</v>
      </c>
      <c r="I6" s="81" t="s">
        <v>2377</v>
      </c>
      <c r="J6" s="81" t="s">
        <v>2186</v>
      </c>
      <c r="K6" s="81" t="s">
        <v>2377</v>
      </c>
      <c r="L6" s="81" t="s">
        <v>2392</v>
      </c>
      <c r="M6" s="81" t="s">
        <v>2377</v>
      </c>
      <c r="N6" s="81" t="s">
        <v>2231</v>
      </c>
      <c r="O6" s="81" t="s">
        <v>2187</v>
      </c>
      <c r="P6" s="81" t="s">
        <v>2187</v>
      </c>
      <c r="Q6" s="81" t="s">
        <v>55</v>
      </c>
      <c r="R6" s="81" t="s">
        <v>56</v>
      </c>
      <c r="S6" s="81" t="s">
        <v>57</v>
      </c>
      <c r="T6" s="81" t="s">
        <v>48</v>
      </c>
      <c r="U6" s="81" t="s">
        <v>48</v>
      </c>
      <c r="V6" s="81" t="s">
        <v>48</v>
      </c>
      <c r="W6" s="81" t="s">
        <v>49</v>
      </c>
      <c r="X6" s="81" t="s">
        <v>48</v>
      </c>
      <c r="Y6" s="81" t="s">
        <v>48</v>
      </c>
    </row>
    <row r="7" spans="1:25" x14ac:dyDescent="0.3">
      <c r="A7" s="16">
        <v>7502211784197</v>
      </c>
      <c r="B7" s="81" t="s">
        <v>43</v>
      </c>
      <c r="C7" s="81" t="s">
        <v>2203</v>
      </c>
      <c r="D7" s="81" t="s">
        <v>45</v>
      </c>
      <c r="E7" s="81" t="s">
        <v>2204</v>
      </c>
      <c r="F7" s="81" t="s">
        <v>2205</v>
      </c>
      <c r="G7" s="81" t="s">
        <v>5369</v>
      </c>
      <c r="H7" s="81" t="s">
        <v>2206</v>
      </c>
      <c r="I7" s="81" t="s">
        <v>5529</v>
      </c>
      <c r="J7" s="81" t="s">
        <v>2186</v>
      </c>
      <c r="K7" s="81" t="s">
        <v>5529</v>
      </c>
      <c r="L7" s="81" t="s">
        <v>2392</v>
      </c>
      <c r="M7" s="81" t="s">
        <v>5529</v>
      </c>
      <c r="N7" s="81" t="s">
        <v>2231</v>
      </c>
      <c r="O7" s="81" t="s">
        <v>2187</v>
      </c>
      <c r="P7" s="81" t="s">
        <v>2187</v>
      </c>
      <c r="Q7" s="81" t="s">
        <v>58</v>
      </c>
      <c r="R7" s="81" t="s">
        <v>46</v>
      </c>
      <c r="S7" s="81" t="s">
        <v>46</v>
      </c>
      <c r="T7" s="81" t="s">
        <v>48</v>
      </c>
      <c r="U7" s="81" t="s">
        <v>48</v>
      </c>
      <c r="V7" s="81" t="s">
        <v>48</v>
      </c>
      <c r="W7" s="81" t="s">
        <v>49</v>
      </c>
      <c r="X7" s="81" t="s">
        <v>48</v>
      </c>
      <c r="Y7" s="81" t="s">
        <v>48</v>
      </c>
    </row>
    <row r="8" spans="1:25" x14ac:dyDescent="0.3">
      <c r="A8" s="16">
        <v>785120754858</v>
      </c>
      <c r="B8" s="81" t="s">
        <v>43</v>
      </c>
      <c r="C8" s="81" t="s">
        <v>59</v>
      </c>
      <c r="D8" s="81" t="s">
        <v>45</v>
      </c>
      <c r="E8" s="81" t="s">
        <v>2210</v>
      </c>
      <c r="F8" s="81" t="s">
        <v>2211</v>
      </c>
      <c r="G8" s="81" t="s">
        <v>2212</v>
      </c>
      <c r="H8" s="81" t="s">
        <v>2193</v>
      </c>
      <c r="I8" s="81" t="s">
        <v>5530</v>
      </c>
      <c r="J8" s="81" t="s">
        <v>2186</v>
      </c>
      <c r="K8" s="81" t="s">
        <v>5530</v>
      </c>
      <c r="L8" s="81" t="s">
        <v>2392</v>
      </c>
      <c r="M8" s="81" t="s">
        <v>5530</v>
      </c>
      <c r="N8" s="81" t="s">
        <v>2231</v>
      </c>
      <c r="O8" s="81" t="s">
        <v>2187</v>
      </c>
      <c r="P8" s="81" t="s">
        <v>2187</v>
      </c>
      <c r="Q8" s="81" t="s">
        <v>60</v>
      </c>
      <c r="R8" s="81" t="s">
        <v>46</v>
      </c>
      <c r="S8" s="81" t="s">
        <v>47</v>
      </c>
      <c r="T8" s="81" t="s">
        <v>48</v>
      </c>
      <c r="U8" s="81" t="s">
        <v>48</v>
      </c>
      <c r="V8" s="81" t="s">
        <v>48</v>
      </c>
      <c r="W8" s="81" t="s">
        <v>49</v>
      </c>
      <c r="X8" s="81" t="s">
        <v>48</v>
      </c>
      <c r="Y8" s="81" t="s">
        <v>48</v>
      </c>
    </row>
    <row r="9" spans="1:25" x14ac:dyDescent="0.3">
      <c r="A9" s="16">
        <v>7503003738732</v>
      </c>
      <c r="B9" s="81" t="s">
        <v>43</v>
      </c>
      <c r="C9" s="81" t="s">
        <v>61</v>
      </c>
      <c r="D9" s="81" t="s">
        <v>45</v>
      </c>
      <c r="E9" s="81" t="s">
        <v>2215</v>
      </c>
      <c r="F9" s="81" t="s">
        <v>2216</v>
      </c>
      <c r="G9" s="81" t="s">
        <v>4996</v>
      </c>
      <c r="H9" s="81" t="s">
        <v>2217</v>
      </c>
      <c r="I9" s="81" t="s">
        <v>5531</v>
      </c>
      <c r="J9" s="81" t="s">
        <v>2186</v>
      </c>
      <c r="K9" s="81" t="s">
        <v>5531</v>
      </c>
      <c r="L9" s="81" t="s">
        <v>2392</v>
      </c>
      <c r="M9" s="81" t="s">
        <v>5531</v>
      </c>
      <c r="N9" s="81" t="s">
        <v>2231</v>
      </c>
      <c r="O9" s="81" t="s">
        <v>2187</v>
      </c>
      <c r="P9" s="81" t="s">
        <v>2187</v>
      </c>
      <c r="Q9" s="81" t="s">
        <v>62</v>
      </c>
      <c r="R9" s="81" t="s">
        <v>46</v>
      </c>
      <c r="S9" s="81" t="s">
        <v>46</v>
      </c>
      <c r="T9" s="81" t="s">
        <v>48</v>
      </c>
      <c r="U9" s="81" t="s">
        <v>48</v>
      </c>
      <c r="V9" s="81" t="s">
        <v>48</v>
      </c>
      <c r="W9" s="81" t="s">
        <v>49</v>
      </c>
      <c r="X9" s="81" t="s">
        <v>48</v>
      </c>
      <c r="Y9" s="81" t="s">
        <v>48</v>
      </c>
    </row>
    <row r="10" spans="1:25" x14ac:dyDescent="0.3">
      <c r="A10" s="16">
        <v>785120754810</v>
      </c>
      <c r="B10" s="81" t="s">
        <v>43</v>
      </c>
      <c r="C10" s="81" t="s">
        <v>63</v>
      </c>
      <c r="D10" s="81" t="s">
        <v>45</v>
      </c>
      <c r="E10" s="81" t="s">
        <v>2221</v>
      </c>
      <c r="F10" s="81" t="s">
        <v>2222</v>
      </c>
      <c r="G10" s="81" t="s">
        <v>5447</v>
      </c>
      <c r="H10" s="81" t="s">
        <v>2429</v>
      </c>
      <c r="I10" s="81" t="s">
        <v>5532</v>
      </c>
      <c r="J10" s="81" t="s">
        <v>2186</v>
      </c>
      <c r="K10" s="81" t="s">
        <v>5532</v>
      </c>
      <c r="L10" s="81" t="s">
        <v>2392</v>
      </c>
      <c r="M10" s="81" t="s">
        <v>5532</v>
      </c>
      <c r="N10" s="81" t="s">
        <v>2231</v>
      </c>
      <c r="O10" s="81" t="s">
        <v>2187</v>
      </c>
      <c r="P10" s="81" t="s">
        <v>2187</v>
      </c>
      <c r="Q10" s="81" t="s">
        <v>60</v>
      </c>
      <c r="R10" s="81" t="s">
        <v>46</v>
      </c>
      <c r="S10" s="81" t="s">
        <v>47</v>
      </c>
      <c r="T10" s="81" t="s">
        <v>48</v>
      </c>
      <c r="U10" s="81" t="s">
        <v>48</v>
      </c>
      <c r="V10" s="81" t="s">
        <v>48</v>
      </c>
      <c r="W10" s="81" t="s">
        <v>49</v>
      </c>
      <c r="X10" s="81" t="s">
        <v>48</v>
      </c>
      <c r="Y10" s="81" t="s">
        <v>48</v>
      </c>
    </row>
    <row r="11" spans="1:25" x14ac:dyDescent="0.3">
      <c r="A11" s="16">
        <v>7501249600813</v>
      </c>
      <c r="B11" s="81" t="s">
        <v>43</v>
      </c>
      <c r="C11" s="81" t="s">
        <v>2226</v>
      </c>
      <c r="D11" s="81" t="s">
        <v>45</v>
      </c>
      <c r="E11" s="81" t="s">
        <v>2227</v>
      </c>
      <c r="F11" s="81" t="s">
        <v>2227</v>
      </c>
      <c r="G11" s="81" t="s">
        <v>4799</v>
      </c>
      <c r="H11" s="81" t="s">
        <v>2229</v>
      </c>
      <c r="I11" s="81" t="s">
        <v>5533</v>
      </c>
      <c r="J11" s="81" t="s">
        <v>2186</v>
      </c>
      <c r="K11" s="81" t="s">
        <v>5533</v>
      </c>
      <c r="L11" s="81" t="s">
        <v>2392</v>
      </c>
      <c r="M11" s="81" t="s">
        <v>5533</v>
      </c>
      <c r="N11" s="81" t="s">
        <v>2231</v>
      </c>
      <c r="O11" s="81" t="s">
        <v>2187</v>
      </c>
      <c r="P11" s="81" t="s">
        <v>2187</v>
      </c>
      <c r="Q11" s="81" t="s">
        <v>64</v>
      </c>
      <c r="R11" s="81" t="s">
        <v>46</v>
      </c>
      <c r="S11" s="81" t="s">
        <v>46</v>
      </c>
      <c r="T11" s="81" t="s">
        <v>48</v>
      </c>
      <c r="U11" s="81" t="s">
        <v>48</v>
      </c>
      <c r="V11" s="81" t="s">
        <v>48</v>
      </c>
      <c r="W11" s="81" t="s">
        <v>49</v>
      </c>
      <c r="X11" s="81" t="s">
        <v>48</v>
      </c>
      <c r="Y11" s="81" t="s">
        <v>48</v>
      </c>
    </row>
    <row r="12" spans="1:25" x14ac:dyDescent="0.3">
      <c r="A12" s="16">
        <v>7501563310436</v>
      </c>
      <c r="B12" s="81" t="s">
        <v>43</v>
      </c>
      <c r="C12" s="81" t="s">
        <v>65</v>
      </c>
      <c r="D12" s="81" t="s">
        <v>45</v>
      </c>
      <c r="E12" s="81" t="s">
        <v>2233</v>
      </c>
      <c r="F12" s="81" t="s">
        <v>2234</v>
      </c>
      <c r="G12" s="81" t="s">
        <v>3976</v>
      </c>
      <c r="H12" s="81" t="s">
        <v>2236</v>
      </c>
      <c r="I12" s="81" t="s">
        <v>5534</v>
      </c>
      <c r="J12" s="81" t="s">
        <v>2186</v>
      </c>
      <c r="K12" s="81" t="s">
        <v>5534</v>
      </c>
      <c r="L12" s="81" t="s">
        <v>2392</v>
      </c>
      <c r="M12" s="81" t="s">
        <v>5534</v>
      </c>
      <c r="N12" s="81" t="s">
        <v>2231</v>
      </c>
      <c r="O12" s="81" t="s">
        <v>2187</v>
      </c>
      <c r="P12" s="81" t="s">
        <v>2187</v>
      </c>
      <c r="Q12" s="81" t="s">
        <v>66</v>
      </c>
      <c r="R12" s="81" t="s">
        <v>51</v>
      </c>
      <c r="S12" s="81" t="s">
        <v>47</v>
      </c>
      <c r="T12" s="81" t="s">
        <v>49</v>
      </c>
      <c r="U12" s="81" t="s">
        <v>48</v>
      </c>
      <c r="V12" s="81" t="s">
        <v>48</v>
      </c>
      <c r="W12" s="81" t="s">
        <v>49</v>
      </c>
      <c r="X12" s="81" t="s">
        <v>48</v>
      </c>
      <c r="Y12" s="81" t="s">
        <v>48</v>
      </c>
    </row>
    <row r="13" spans="1:25" x14ac:dyDescent="0.3">
      <c r="A13" s="16">
        <v>7502254000339</v>
      </c>
      <c r="B13" s="81" t="s">
        <v>43</v>
      </c>
      <c r="C13" s="81" t="s">
        <v>67</v>
      </c>
      <c r="D13" s="81" t="s">
        <v>45</v>
      </c>
      <c r="E13" s="81" t="s">
        <v>2239</v>
      </c>
      <c r="F13" s="81" t="s">
        <v>2240</v>
      </c>
      <c r="G13" s="81" t="s">
        <v>5448</v>
      </c>
      <c r="H13" s="81" t="s">
        <v>2241</v>
      </c>
      <c r="I13" s="81" t="s">
        <v>5535</v>
      </c>
      <c r="J13" s="81" t="s">
        <v>2186</v>
      </c>
      <c r="K13" s="81" t="s">
        <v>5535</v>
      </c>
      <c r="L13" s="81" t="s">
        <v>2392</v>
      </c>
      <c r="M13" s="81" t="s">
        <v>5535</v>
      </c>
      <c r="N13" s="81" t="s">
        <v>2231</v>
      </c>
      <c r="O13" s="81" t="s">
        <v>2187</v>
      </c>
      <c r="P13" s="81" t="s">
        <v>2187</v>
      </c>
      <c r="Q13" s="81" t="s">
        <v>68</v>
      </c>
      <c r="R13" s="81" t="s">
        <v>46</v>
      </c>
      <c r="S13" s="81" t="s">
        <v>47</v>
      </c>
      <c r="T13" s="81" t="s">
        <v>48</v>
      </c>
      <c r="U13" s="81" t="s">
        <v>48</v>
      </c>
      <c r="V13" s="81" t="s">
        <v>48</v>
      </c>
      <c r="W13" s="81" t="s">
        <v>49</v>
      </c>
      <c r="X13" s="81" t="s">
        <v>48</v>
      </c>
      <c r="Y13" s="81" t="s">
        <v>48</v>
      </c>
    </row>
    <row r="14" spans="1:25" x14ac:dyDescent="0.3">
      <c r="A14" s="16">
        <v>7503004908714</v>
      </c>
      <c r="B14" s="81" t="s">
        <v>43</v>
      </c>
      <c r="C14" s="81" t="s">
        <v>69</v>
      </c>
      <c r="D14" s="81" t="s">
        <v>45</v>
      </c>
      <c r="E14" s="81" t="s">
        <v>2245</v>
      </c>
      <c r="F14" s="81" t="s">
        <v>2246</v>
      </c>
      <c r="G14" s="81" t="s">
        <v>5312</v>
      </c>
      <c r="H14" s="81" t="s">
        <v>2237</v>
      </c>
      <c r="I14" s="81" t="s">
        <v>5536</v>
      </c>
      <c r="J14" s="81" t="s">
        <v>2186</v>
      </c>
      <c r="K14" s="81" t="s">
        <v>5536</v>
      </c>
      <c r="L14" s="81" t="s">
        <v>2392</v>
      </c>
      <c r="M14" s="81" t="s">
        <v>5536</v>
      </c>
      <c r="N14" s="81" t="s">
        <v>2231</v>
      </c>
      <c r="O14" s="81" t="s">
        <v>2187</v>
      </c>
      <c r="P14" s="81" t="s">
        <v>2187</v>
      </c>
      <c r="Q14" s="81" t="s">
        <v>70</v>
      </c>
      <c r="R14" s="81" t="s">
        <v>46</v>
      </c>
      <c r="S14" s="81" t="s">
        <v>46</v>
      </c>
      <c r="T14" s="81" t="s">
        <v>48</v>
      </c>
      <c r="U14" s="81" t="s">
        <v>48</v>
      </c>
      <c r="V14" s="81" t="s">
        <v>48</v>
      </c>
      <c r="W14" s="81" t="s">
        <v>49</v>
      </c>
      <c r="X14" s="81" t="s">
        <v>48</v>
      </c>
      <c r="Y14" s="81" t="s">
        <v>48</v>
      </c>
    </row>
    <row r="15" spans="1:25" x14ac:dyDescent="0.3">
      <c r="A15" s="16">
        <v>7501349024151</v>
      </c>
      <c r="B15" s="81" t="s">
        <v>43</v>
      </c>
      <c r="C15" s="81" t="s">
        <v>71</v>
      </c>
      <c r="D15" s="81" t="s">
        <v>45</v>
      </c>
      <c r="E15" s="81" t="s">
        <v>2248</v>
      </c>
      <c r="F15" s="81" t="s">
        <v>2249</v>
      </c>
      <c r="G15" s="81" t="s">
        <v>5370</v>
      </c>
      <c r="H15" s="81" t="s">
        <v>2243</v>
      </c>
      <c r="I15" s="81" t="s">
        <v>5537</v>
      </c>
      <c r="J15" s="81" t="s">
        <v>2186</v>
      </c>
      <c r="K15" s="81" t="s">
        <v>5537</v>
      </c>
      <c r="L15" s="81" t="s">
        <v>2392</v>
      </c>
      <c r="M15" s="81" t="s">
        <v>5537</v>
      </c>
      <c r="N15" s="81" t="s">
        <v>2231</v>
      </c>
      <c r="O15" s="81" t="s">
        <v>2187</v>
      </c>
      <c r="P15" s="81" t="s">
        <v>2187</v>
      </c>
      <c r="Q15" s="81" t="s">
        <v>72</v>
      </c>
      <c r="R15" s="81" t="s">
        <v>46</v>
      </c>
      <c r="S15" s="81" t="s">
        <v>73</v>
      </c>
      <c r="T15" s="81" t="s">
        <v>48</v>
      </c>
      <c r="U15" s="81" t="s">
        <v>48</v>
      </c>
      <c r="V15" s="81" t="s">
        <v>48</v>
      </c>
      <c r="W15" s="81" t="s">
        <v>49</v>
      </c>
      <c r="X15" s="81" t="s">
        <v>48</v>
      </c>
      <c r="Y15" s="81" t="s">
        <v>48</v>
      </c>
    </row>
    <row r="16" spans="1:25" x14ac:dyDescent="0.3">
      <c r="A16" s="16">
        <v>7501349021440</v>
      </c>
      <c r="B16" s="81" t="s">
        <v>43</v>
      </c>
      <c r="C16" s="81" t="s">
        <v>74</v>
      </c>
      <c r="D16" s="81" t="s">
        <v>45</v>
      </c>
      <c r="E16" s="81" t="s">
        <v>2253</v>
      </c>
      <c r="F16" s="81" t="s">
        <v>2254</v>
      </c>
      <c r="G16" s="81" t="s">
        <v>5127</v>
      </c>
      <c r="H16" s="81" t="s">
        <v>2236</v>
      </c>
      <c r="I16" s="81" t="s">
        <v>2255</v>
      </c>
      <c r="J16" s="81" t="s">
        <v>2186</v>
      </c>
      <c r="K16" s="81" t="s">
        <v>2181</v>
      </c>
      <c r="L16" s="81" t="s">
        <v>2392</v>
      </c>
      <c r="M16" s="81" t="s">
        <v>2256</v>
      </c>
      <c r="N16" s="81" t="s">
        <v>2231</v>
      </c>
      <c r="O16" s="81" t="s">
        <v>2187</v>
      </c>
      <c r="P16" s="81" t="s">
        <v>2187</v>
      </c>
      <c r="Q16" s="81" t="s">
        <v>75</v>
      </c>
      <c r="R16" s="81" t="s">
        <v>51</v>
      </c>
      <c r="S16" s="81" t="s">
        <v>73</v>
      </c>
      <c r="T16" s="81" t="s">
        <v>49</v>
      </c>
      <c r="U16" s="81" t="s">
        <v>48</v>
      </c>
      <c r="V16" s="81" t="s">
        <v>48</v>
      </c>
      <c r="W16" s="81" t="s">
        <v>49</v>
      </c>
      <c r="X16" s="81" t="s">
        <v>48</v>
      </c>
      <c r="Y16" s="81" t="s">
        <v>48</v>
      </c>
    </row>
    <row r="17" spans="1:25" x14ac:dyDescent="0.3">
      <c r="A17" s="16">
        <v>7501349020009</v>
      </c>
      <c r="B17" s="81" t="s">
        <v>43</v>
      </c>
      <c r="C17" s="81" t="s">
        <v>1861</v>
      </c>
      <c r="D17" s="81" t="s">
        <v>45</v>
      </c>
      <c r="E17" s="81" t="s">
        <v>2257</v>
      </c>
      <c r="F17" s="81" t="s">
        <v>2258</v>
      </c>
      <c r="G17" s="81" t="s">
        <v>4700</v>
      </c>
      <c r="H17" s="81" t="s">
        <v>2232</v>
      </c>
      <c r="I17" s="81" t="s">
        <v>2259</v>
      </c>
      <c r="J17" s="81" t="s">
        <v>2186</v>
      </c>
      <c r="K17" s="81" t="s">
        <v>2260</v>
      </c>
      <c r="L17" s="81" t="s">
        <v>2392</v>
      </c>
      <c r="M17" s="81" t="s">
        <v>2261</v>
      </c>
      <c r="N17" s="81" t="s">
        <v>2231</v>
      </c>
      <c r="O17" s="81" t="s">
        <v>2187</v>
      </c>
      <c r="P17" s="81" t="s">
        <v>2187</v>
      </c>
      <c r="Q17" s="81" t="s">
        <v>76</v>
      </c>
      <c r="R17" s="81" t="s">
        <v>46</v>
      </c>
      <c r="S17" s="81" t="s">
        <v>73</v>
      </c>
      <c r="T17" s="81" t="s">
        <v>48</v>
      </c>
      <c r="U17" s="81" t="s">
        <v>48</v>
      </c>
      <c r="V17" s="81" t="s">
        <v>48</v>
      </c>
      <c r="W17" s="81" t="s">
        <v>49</v>
      </c>
      <c r="X17" s="81" t="s">
        <v>48</v>
      </c>
      <c r="Y17" s="81" t="s">
        <v>48</v>
      </c>
    </row>
    <row r="18" spans="1:25" x14ac:dyDescent="0.3">
      <c r="A18" s="16">
        <v>7501349026377</v>
      </c>
      <c r="B18" s="81" t="s">
        <v>43</v>
      </c>
      <c r="C18" s="81" t="s">
        <v>77</v>
      </c>
      <c r="D18" s="81" t="s">
        <v>45</v>
      </c>
      <c r="E18" s="81" t="s">
        <v>2262</v>
      </c>
      <c r="F18" s="81" t="s">
        <v>2263</v>
      </c>
      <c r="G18" s="81" t="s">
        <v>5449</v>
      </c>
      <c r="H18" s="81" t="s">
        <v>2264</v>
      </c>
      <c r="I18" s="81" t="s">
        <v>5538</v>
      </c>
      <c r="J18" s="81" t="s">
        <v>2186</v>
      </c>
      <c r="K18" s="81" t="s">
        <v>5538</v>
      </c>
      <c r="L18" s="81" t="s">
        <v>2392</v>
      </c>
      <c r="M18" s="81" t="s">
        <v>5538</v>
      </c>
      <c r="N18" s="81" t="s">
        <v>2231</v>
      </c>
      <c r="O18" s="81" t="s">
        <v>2187</v>
      </c>
      <c r="P18" s="81" t="s">
        <v>2187</v>
      </c>
      <c r="Q18" s="81" t="s">
        <v>78</v>
      </c>
      <c r="R18" s="81" t="s">
        <v>51</v>
      </c>
      <c r="S18" s="81" t="s">
        <v>73</v>
      </c>
      <c r="T18" s="81" t="s">
        <v>49</v>
      </c>
      <c r="U18" s="81" t="s">
        <v>48</v>
      </c>
      <c r="V18" s="81" t="s">
        <v>48</v>
      </c>
      <c r="W18" s="81" t="s">
        <v>49</v>
      </c>
      <c r="X18" s="81" t="s">
        <v>48</v>
      </c>
      <c r="Y18" s="81" t="s">
        <v>48</v>
      </c>
    </row>
    <row r="19" spans="1:25" x14ac:dyDescent="0.3">
      <c r="A19" s="16">
        <v>7501349021570</v>
      </c>
      <c r="B19" s="81" t="s">
        <v>43</v>
      </c>
      <c r="C19" s="81" t="s">
        <v>79</v>
      </c>
      <c r="D19" s="81" t="s">
        <v>45</v>
      </c>
      <c r="E19" s="81" t="s">
        <v>2266</v>
      </c>
      <c r="F19" s="81" t="s">
        <v>2267</v>
      </c>
      <c r="G19" s="81" t="s">
        <v>5371</v>
      </c>
      <c r="H19" s="81" t="s">
        <v>2268</v>
      </c>
      <c r="I19" s="81" t="s">
        <v>2202</v>
      </c>
      <c r="J19" s="81" t="s">
        <v>2186</v>
      </c>
      <c r="K19" s="81" t="s">
        <v>2269</v>
      </c>
      <c r="L19" s="81" t="s">
        <v>2392</v>
      </c>
      <c r="M19" s="81" t="s">
        <v>2293</v>
      </c>
      <c r="N19" s="81" t="s">
        <v>2231</v>
      </c>
      <c r="O19" s="81" t="s">
        <v>2187</v>
      </c>
      <c r="P19" s="81" t="s">
        <v>2187</v>
      </c>
      <c r="Q19" s="81" t="s">
        <v>80</v>
      </c>
      <c r="R19" s="81" t="s">
        <v>51</v>
      </c>
      <c r="S19" s="81" t="s">
        <v>81</v>
      </c>
      <c r="T19" s="81" t="s">
        <v>49</v>
      </c>
      <c r="U19" s="81" t="s">
        <v>48</v>
      </c>
      <c r="V19" s="81" t="s">
        <v>48</v>
      </c>
      <c r="W19" s="81" t="s">
        <v>49</v>
      </c>
      <c r="X19" s="81" t="s">
        <v>48</v>
      </c>
      <c r="Y19" s="81" t="s">
        <v>48</v>
      </c>
    </row>
    <row r="20" spans="1:25" x14ac:dyDescent="0.3">
      <c r="A20" s="16">
        <v>7501349022140</v>
      </c>
      <c r="B20" s="81" t="s">
        <v>43</v>
      </c>
      <c r="C20" s="81" t="s">
        <v>82</v>
      </c>
      <c r="D20" s="81" t="s">
        <v>45</v>
      </c>
      <c r="E20" s="81" t="s">
        <v>2271</v>
      </c>
      <c r="F20" s="81" t="s">
        <v>2272</v>
      </c>
      <c r="G20" s="81" t="s">
        <v>2273</v>
      </c>
      <c r="H20" s="81" t="s">
        <v>2264</v>
      </c>
      <c r="I20" s="81" t="s">
        <v>5539</v>
      </c>
      <c r="J20" s="81" t="s">
        <v>2186</v>
      </c>
      <c r="K20" s="81" t="s">
        <v>5539</v>
      </c>
      <c r="L20" s="81" t="s">
        <v>2392</v>
      </c>
      <c r="M20" s="81" t="s">
        <v>5539</v>
      </c>
      <c r="N20" s="81" t="s">
        <v>2231</v>
      </c>
      <c r="O20" s="81" t="s">
        <v>2187</v>
      </c>
      <c r="P20" s="81" t="s">
        <v>2187</v>
      </c>
      <c r="Q20" s="81" t="s">
        <v>83</v>
      </c>
      <c r="R20" s="81" t="s">
        <v>46</v>
      </c>
      <c r="S20" s="81" t="s">
        <v>47</v>
      </c>
      <c r="T20" s="81" t="s">
        <v>48</v>
      </c>
      <c r="U20" s="81" t="s">
        <v>48</v>
      </c>
      <c r="V20" s="81" t="s">
        <v>48</v>
      </c>
      <c r="W20" s="81" t="s">
        <v>49</v>
      </c>
      <c r="X20" s="81" t="s">
        <v>48</v>
      </c>
      <c r="Y20" s="81" t="s">
        <v>48</v>
      </c>
    </row>
    <row r="21" spans="1:25" x14ac:dyDescent="0.3">
      <c r="A21" s="16">
        <v>7501277091034</v>
      </c>
      <c r="B21" s="81" t="s">
        <v>43</v>
      </c>
      <c r="C21" s="81" t="s">
        <v>2092</v>
      </c>
      <c r="D21" s="81" t="s">
        <v>45</v>
      </c>
      <c r="E21" s="81" t="s">
        <v>2274</v>
      </c>
      <c r="F21" s="81" t="s">
        <v>2275</v>
      </c>
      <c r="G21" s="81" t="s">
        <v>2276</v>
      </c>
      <c r="H21" s="81" t="s">
        <v>2277</v>
      </c>
      <c r="I21" s="81" t="s">
        <v>5540</v>
      </c>
      <c r="J21" s="81" t="s">
        <v>2186</v>
      </c>
      <c r="K21" s="81" t="s">
        <v>5540</v>
      </c>
      <c r="L21" s="81" t="s">
        <v>2392</v>
      </c>
      <c r="M21" s="81" t="s">
        <v>5540</v>
      </c>
      <c r="N21" s="81" t="s">
        <v>2231</v>
      </c>
      <c r="O21" s="81" t="s">
        <v>2187</v>
      </c>
      <c r="P21" s="81" t="s">
        <v>2187</v>
      </c>
      <c r="Q21" s="81" t="s">
        <v>84</v>
      </c>
      <c r="R21" s="81" t="s">
        <v>46</v>
      </c>
      <c r="S21" s="81" t="s">
        <v>47</v>
      </c>
      <c r="T21" s="81" t="s">
        <v>48</v>
      </c>
      <c r="U21" s="81" t="s">
        <v>48</v>
      </c>
      <c r="V21" s="81" t="s">
        <v>48</v>
      </c>
      <c r="W21" s="81" t="s">
        <v>49</v>
      </c>
      <c r="X21" s="81" t="s">
        <v>48</v>
      </c>
      <c r="Y21" s="81" t="s">
        <v>48</v>
      </c>
    </row>
    <row r="22" spans="1:25" x14ac:dyDescent="0.3">
      <c r="A22" s="16">
        <v>7502216803862</v>
      </c>
      <c r="B22" s="81" t="s">
        <v>43</v>
      </c>
      <c r="C22" s="81" t="s">
        <v>85</v>
      </c>
      <c r="D22" s="81" t="s">
        <v>45</v>
      </c>
      <c r="E22" s="81" t="s">
        <v>2280</v>
      </c>
      <c r="F22" s="81" t="s">
        <v>2281</v>
      </c>
      <c r="G22" s="81" t="s">
        <v>2282</v>
      </c>
      <c r="H22" s="81" t="s">
        <v>3632</v>
      </c>
      <c r="I22" s="81" t="s">
        <v>5541</v>
      </c>
      <c r="J22" s="81" t="s">
        <v>2186</v>
      </c>
      <c r="K22" s="81" t="s">
        <v>5541</v>
      </c>
      <c r="L22" s="81" t="s">
        <v>2392</v>
      </c>
      <c r="M22" s="81" t="s">
        <v>5541</v>
      </c>
      <c r="N22" s="81" t="s">
        <v>2231</v>
      </c>
      <c r="O22" s="81" t="s">
        <v>2187</v>
      </c>
      <c r="P22" s="81" t="s">
        <v>2187</v>
      </c>
      <c r="Q22" s="81" t="s">
        <v>86</v>
      </c>
      <c r="R22" s="81" t="s">
        <v>46</v>
      </c>
      <c r="S22" s="81" t="s">
        <v>47</v>
      </c>
      <c r="T22" s="81" t="s">
        <v>48</v>
      </c>
      <c r="U22" s="81" t="s">
        <v>48</v>
      </c>
      <c r="V22" s="81" t="s">
        <v>48</v>
      </c>
      <c r="W22" s="81" t="s">
        <v>49</v>
      </c>
      <c r="X22" s="81" t="s">
        <v>48</v>
      </c>
      <c r="Y22" s="81" t="s">
        <v>48</v>
      </c>
    </row>
    <row r="23" spans="1:25" x14ac:dyDescent="0.3">
      <c r="A23" s="16">
        <v>7502216792760</v>
      </c>
      <c r="B23" s="81" t="s">
        <v>43</v>
      </c>
      <c r="C23" s="81" t="s">
        <v>87</v>
      </c>
      <c r="D23" s="81" t="s">
        <v>45</v>
      </c>
      <c r="E23" s="81" t="s">
        <v>2283</v>
      </c>
      <c r="F23" s="81" t="s">
        <v>2284</v>
      </c>
      <c r="G23" s="81" t="s">
        <v>4816</v>
      </c>
      <c r="H23" s="81" t="s">
        <v>2264</v>
      </c>
      <c r="I23" s="81" t="s">
        <v>5542</v>
      </c>
      <c r="J23" s="81" t="s">
        <v>2186</v>
      </c>
      <c r="K23" s="81" t="s">
        <v>5542</v>
      </c>
      <c r="L23" s="81" t="s">
        <v>2392</v>
      </c>
      <c r="M23" s="81" t="s">
        <v>5542</v>
      </c>
      <c r="N23" s="81" t="s">
        <v>2231</v>
      </c>
      <c r="O23" s="81" t="s">
        <v>2187</v>
      </c>
      <c r="P23" s="81" t="s">
        <v>2187</v>
      </c>
      <c r="Q23" s="81" t="s">
        <v>88</v>
      </c>
      <c r="R23" s="81" t="s">
        <v>46</v>
      </c>
      <c r="S23" s="81" t="s">
        <v>46</v>
      </c>
      <c r="T23" s="81" t="s">
        <v>48</v>
      </c>
      <c r="U23" s="81" t="s">
        <v>48</v>
      </c>
      <c r="V23" s="81" t="s">
        <v>48</v>
      </c>
      <c r="W23" s="81" t="s">
        <v>49</v>
      </c>
      <c r="X23" s="81" t="s">
        <v>48</v>
      </c>
      <c r="Y23" s="81" t="s">
        <v>48</v>
      </c>
    </row>
    <row r="24" spans="1:25" x14ac:dyDescent="0.3">
      <c r="A24" s="16">
        <v>7502216804814</v>
      </c>
      <c r="B24" s="81" t="s">
        <v>43</v>
      </c>
      <c r="C24" s="81" t="s">
        <v>89</v>
      </c>
      <c r="D24" s="81" t="s">
        <v>45</v>
      </c>
      <c r="E24" s="81" t="s">
        <v>2233</v>
      </c>
      <c r="F24" s="81" t="s">
        <v>2234</v>
      </c>
      <c r="G24" s="81" t="s">
        <v>5450</v>
      </c>
      <c r="H24" s="81" t="s">
        <v>2232</v>
      </c>
      <c r="I24" s="81" t="s">
        <v>5543</v>
      </c>
      <c r="J24" s="81" t="s">
        <v>2186</v>
      </c>
      <c r="K24" s="81" t="s">
        <v>5543</v>
      </c>
      <c r="L24" s="81" t="s">
        <v>2392</v>
      </c>
      <c r="M24" s="81" t="s">
        <v>5543</v>
      </c>
      <c r="N24" s="81" t="s">
        <v>2231</v>
      </c>
      <c r="O24" s="81" t="s">
        <v>2187</v>
      </c>
      <c r="P24" s="81" t="s">
        <v>2187</v>
      </c>
      <c r="Q24" s="81" t="s">
        <v>43</v>
      </c>
      <c r="R24" s="81" t="s">
        <v>46</v>
      </c>
      <c r="S24" s="81" t="s">
        <v>47</v>
      </c>
      <c r="T24" s="81" t="s">
        <v>48</v>
      </c>
      <c r="U24" s="81" t="s">
        <v>48</v>
      </c>
      <c r="V24" s="81" t="s">
        <v>48</v>
      </c>
      <c r="W24" s="81" t="s">
        <v>49</v>
      </c>
      <c r="X24" s="81" t="s">
        <v>48</v>
      </c>
      <c r="Y24" s="81" t="s">
        <v>48</v>
      </c>
    </row>
    <row r="25" spans="1:25" x14ac:dyDescent="0.3">
      <c r="A25" s="16">
        <v>7501573908104</v>
      </c>
      <c r="B25" s="81" t="s">
        <v>43</v>
      </c>
      <c r="C25" s="81" t="s">
        <v>90</v>
      </c>
      <c r="D25" s="81" t="s">
        <v>45</v>
      </c>
      <c r="E25" s="81" t="s">
        <v>2288</v>
      </c>
      <c r="F25" s="81" t="s">
        <v>2289</v>
      </c>
      <c r="G25" s="81" t="s">
        <v>5451</v>
      </c>
      <c r="H25" s="81" t="s">
        <v>2290</v>
      </c>
      <c r="I25" s="81" t="s">
        <v>5135</v>
      </c>
      <c r="J25" s="81" t="s">
        <v>2186</v>
      </c>
      <c r="K25" s="81" t="s">
        <v>5135</v>
      </c>
      <c r="L25" s="81" t="s">
        <v>2392</v>
      </c>
      <c r="M25" s="81" t="s">
        <v>5135</v>
      </c>
      <c r="N25" s="81" t="s">
        <v>2231</v>
      </c>
      <c r="O25" s="81" t="s">
        <v>2187</v>
      </c>
      <c r="P25" s="81" t="s">
        <v>2187</v>
      </c>
      <c r="Q25" s="81" t="s">
        <v>91</v>
      </c>
      <c r="R25" s="81" t="s">
        <v>46</v>
      </c>
      <c r="S25" s="81" t="s">
        <v>47</v>
      </c>
      <c r="T25" s="81" t="s">
        <v>48</v>
      </c>
      <c r="U25" s="81" t="s">
        <v>48</v>
      </c>
      <c r="V25" s="81" t="s">
        <v>48</v>
      </c>
      <c r="W25" s="81" t="s">
        <v>49</v>
      </c>
      <c r="X25" s="81" t="s">
        <v>48</v>
      </c>
      <c r="Y25" s="81" t="s">
        <v>48</v>
      </c>
    </row>
    <row r="26" spans="1:25" x14ac:dyDescent="0.3">
      <c r="A26" s="16">
        <v>7501573900542</v>
      </c>
      <c r="B26" s="81" t="s">
        <v>43</v>
      </c>
      <c r="C26" s="81" t="s">
        <v>92</v>
      </c>
      <c r="D26" s="81" t="s">
        <v>45</v>
      </c>
      <c r="E26" s="81" t="s">
        <v>2274</v>
      </c>
      <c r="F26" s="81" t="s">
        <v>2292</v>
      </c>
      <c r="G26" s="81" t="s">
        <v>3619</v>
      </c>
      <c r="H26" s="81" t="s">
        <v>2220</v>
      </c>
      <c r="I26" s="81" t="s">
        <v>5544</v>
      </c>
      <c r="J26" s="81" t="s">
        <v>2186</v>
      </c>
      <c r="K26" s="81" t="s">
        <v>5544</v>
      </c>
      <c r="L26" s="81" t="s">
        <v>2392</v>
      </c>
      <c r="M26" s="81" t="s">
        <v>5544</v>
      </c>
      <c r="N26" s="81" t="s">
        <v>2231</v>
      </c>
      <c r="O26" s="81" t="s">
        <v>2187</v>
      </c>
      <c r="P26" s="81" t="s">
        <v>2187</v>
      </c>
      <c r="Q26" s="81" t="s">
        <v>93</v>
      </c>
      <c r="R26" s="81" t="s">
        <v>46</v>
      </c>
      <c r="S26" s="81" t="s">
        <v>46</v>
      </c>
      <c r="T26" s="81" t="s">
        <v>48</v>
      </c>
      <c r="U26" s="81" t="s">
        <v>48</v>
      </c>
      <c r="V26" s="81" t="s">
        <v>48</v>
      </c>
      <c r="W26" s="81" t="s">
        <v>49</v>
      </c>
      <c r="X26" s="81" t="s">
        <v>48</v>
      </c>
      <c r="Y26" s="81" t="s">
        <v>48</v>
      </c>
    </row>
    <row r="27" spans="1:25" x14ac:dyDescent="0.3">
      <c r="A27" s="16">
        <v>7501573900016</v>
      </c>
      <c r="B27" s="81" t="s">
        <v>43</v>
      </c>
      <c r="C27" s="81" t="s">
        <v>94</v>
      </c>
      <c r="D27" s="81" t="s">
        <v>45</v>
      </c>
      <c r="E27" s="81" t="s">
        <v>2294</v>
      </c>
      <c r="F27" s="81" t="s">
        <v>2295</v>
      </c>
      <c r="G27" s="81" t="s">
        <v>5200</v>
      </c>
      <c r="H27" s="81" t="s">
        <v>2236</v>
      </c>
      <c r="I27" s="81" t="s">
        <v>5545</v>
      </c>
      <c r="J27" s="81" t="s">
        <v>2186</v>
      </c>
      <c r="K27" s="81" t="s">
        <v>5545</v>
      </c>
      <c r="L27" s="81" t="s">
        <v>2392</v>
      </c>
      <c r="M27" s="81" t="s">
        <v>5545</v>
      </c>
      <c r="N27" s="81" t="s">
        <v>2231</v>
      </c>
      <c r="O27" s="81" t="s">
        <v>2187</v>
      </c>
      <c r="P27" s="81" t="s">
        <v>2187</v>
      </c>
      <c r="Q27" s="81" t="s">
        <v>43</v>
      </c>
      <c r="R27" s="81" t="s">
        <v>46</v>
      </c>
      <c r="S27" s="81" t="s">
        <v>47</v>
      </c>
      <c r="T27" s="81" t="s">
        <v>48</v>
      </c>
      <c r="U27" s="81" t="s">
        <v>48</v>
      </c>
      <c r="V27" s="81" t="s">
        <v>48</v>
      </c>
      <c r="W27" s="81" t="s">
        <v>49</v>
      </c>
      <c r="X27" s="81" t="s">
        <v>48</v>
      </c>
      <c r="Y27" s="81" t="s">
        <v>48</v>
      </c>
    </row>
    <row r="28" spans="1:25" x14ac:dyDescent="0.3">
      <c r="A28" s="16">
        <v>7501573900252</v>
      </c>
      <c r="B28" s="81" t="s">
        <v>43</v>
      </c>
      <c r="C28" s="81" t="s">
        <v>1862</v>
      </c>
      <c r="D28" s="81" t="s">
        <v>45</v>
      </c>
      <c r="E28" s="81" t="s">
        <v>2298</v>
      </c>
      <c r="F28" s="81" t="s">
        <v>2262</v>
      </c>
      <c r="G28" s="81" t="s">
        <v>4995</v>
      </c>
      <c r="H28" s="81" t="s">
        <v>2223</v>
      </c>
      <c r="I28" s="81" t="s">
        <v>5546</v>
      </c>
      <c r="J28" s="81" t="s">
        <v>2186</v>
      </c>
      <c r="K28" s="81" t="s">
        <v>5546</v>
      </c>
      <c r="L28" s="81" t="s">
        <v>2392</v>
      </c>
      <c r="M28" s="81" t="s">
        <v>5546</v>
      </c>
      <c r="N28" s="81" t="s">
        <v>2231</v>
      </c>
      <c r="O28" s="81" t="s">
        <v>2187</v>
      </c>
      <c r="P28" s="81" t="s">
        <v>2187</v>
      </c>
      <c r="Q28" s="81" t="s">
        <v>95</v>
      </c>
      <c r="R28" s="81" t="s">
        <v>46</v>
      </c>
      <c r="S28" s="81" t="s">
        <v>47</v>
      </c>
      <c r="T28" s="81" t="s">
        <v>48</v>
      </c>
      <c r="U28" s="81" t="s">
        <v>48</v>
      </c>
      <c r="V28" s="81" t="s">
        <v>48</v>
      </c>
      <c r="W28" s="81" t="s">
        <v>49</v>
      </c>
      <c r="X28" s="81" t="s">
        <v>48</v>
      </c>
      <c r="Y28" s="81" t="s">
        <v>48</v>
      </c>
    </row>
    <row r="29" spans="1:25" x14ac:dyDescent="0.3">
      <c r="A29" s="16">
        <v>7501537102111</v>
      </c>
      <c r="B29" s="81" t="s">
        <v>43</v>
      </c>
      <c r="C29" s="81" t="s">
        <v>2299</v>
      </c>
      <c r="D29" s="81" t="s">
        <v>45</v>
      </c>
      <c r="E29" s="81" t="s">
        <v>2300</v>
      </c>
      <c r="F29" s="81" t="s">
        <v>2272</v>
      </c>
      <c r="G29" s="81" t="s">
        <v>3930</v>
      </c>
      <c r="H29" s="81" t="s">
        <v>2269</v>
      </c>
      <c r="I29" s="81" t="s">
        <v>5547</v>
      </c>
      <c r="J29" s="81" t="s">
        <v>2186</v>
      </c>
      <c r="K29" s="81" t="s">
        <v>5547</v>
      </c>
      <c r="L29" s="81" t="s">
        <v>2392</v>
      </c>
      <c r="M29" s="81" t="s">
        <v>5547</v>
      </c>
      <c r="N29" s="81" t="s">
        <v>2231</v>
      </c>
      <c r="O29" s="81" t="s">
        <v>2187</v>
      </c>
      <c r="P29" s="81" t="s">
        <v>2187</v>
      </c>
      <c r="Q29" s="81" t="s">
        <v>96</v>
      </c>
      <c r="R29" s="81" t="s">
        <v>46</v>
      </c>
      <c r="S29" s="81" t="s">
        <v>46</v>
      </c>
      <c r="T29" s="81" t="s">
        <v>48</v>
      </c>
      <c r="U29" s="81" t="s">
        <v>48</v>
      </c>
      <c r="V29" s="81" t="s">
        <v>48</v>
      </c>
      <c r="W29" s="81" t="s">
        <v>49</v>
      </c>
      <c r="X29" s="81" t="s">
        <v>48</v>
      </c>
      <c r="Y29" s="81" t="s">
        <v>48</v>
      </c>
    </row>
    <row r="30" spans="1:25" x14ac:dyDescent="0.3">
      <c r="A30" s="16">
        <v>7501590222214</v>
      </c>
      <c r="B30" s="81" t="s">
        <v>43</v>
      </c>
      <c r="C30" s="81" t="s">
        <v>97</v>
      </c>
      <c r="D30" s="81" t="s">
        <v>45</v>
      </c>
      <c r="E30" s="81" t="s">
        <v>2303</v>
      </c>
      <c r="F30" s="81" t="s">
        <v>2304</v>
      </c>
      <c r="G30" s="81" t="s">
        <v>2305</v>
      </c>
      <c r="H30" s="81" t="s">
        <v>2224</v>
      </c>
      <c r="I30" s="81" t="s">
        <v>5548</v>
      </c>
      <c r="J30" s="81" t="s">
        <v>2186</v>
      </c>
      <c r="K30" s="81" t="s">
        <v>5548</v>
      </c>
      <c r="L30" s="81" t="s">
        <v>2392</v>
      </c>
      <c r="M30" s="81" t="s">
        <v>5548</v>
      </c>
      <c r="N30" s="81" t="s">
        <v>2231</v>
      </c>
      <c r="O30" s="81" t="s">
        <v>2187</v>
      </c>
      <c r="P30" s="81" t="s">
        <v>2187</v>
      </c>
      <c r="Q30" s="81" t="s">
        <v>98</v>
      </c>
      <c r="R30" s="81" t="s">
        <v>46</v>
      </c>
      <c r="S30" s="81" t="s">
        <v>47</v>
      </c>
      <c r="T30" s="81" t="s">
        <v>48</v>
      </c>
      <c r="U30" s="81" t="s">
        <v>48</v>
      </c>
      <c r="V30" s="81" t="s">
        <v>48</v>
      </c>
      <c r="W30" s="81" t="s">
        <v>49</v>
      </c>
      <c r="X30" s="81" t="s">
        <v>48</v>
      </c>
      <c r="Y30" s="81" t="s">
        <v>48</v>
      </c>
    </row>
    <row r="31" spans="1:25" x14ac:dyDescent="0.3">
      <c r="A31" s="16">
        <v>7501590282829</v>
      </c>
      <c r="B31" s="81" t="s">
        <v>43</v>
      </c>
      <c r="C31" s="81" t="s">
        <v>99</v>
      </c>
      <c r="D31" s="81" t="s">
        <v>45</v>
      </c>
      <c r="E31" s="81" t="s">
        <v>2308</v>
      </c>
      <c r="F31" s="81" t="s">
        <v>2179</v>
      </c>
      <c r="G31" s="81" t="s">
        <v>2309</v>
      </c>
      <c r="H31" s="81" t="s">
        <v>2310</v>
      </c>
      <c r="I31" s="81" t="s">
        <v>5549</v>
      </c>
      <c r="J31" s="81" t="s">
        <v>2186</v>
      </c>
      <c r="K31" s="81" t="s">
        <v>5549</v>
      </c>
      <c r="L31" s="81" t="s">
        <v>2392</v>
      </c>
      <c r="M31" s="81" t="s">
        <v>5549</v>
      </c>
      <c r="N31" s="81" t="s">
        <v>2231</v>
      </c>
      <c r="O31" s="81" t="s">
        <v>2187</v>
      </c>
      <c r="P31" s="81" t="s">
        <v>2187</v>
      </c>
      <c r="Q31" s="81" t="s">
        <v>43</v>
      </c>
      <c r="R31" s="81" t="s">
        <v>46</v>
      </c>
      <c r="S31" s="81" t="s">
        <v>46</v>
      </c>
      <c r="T31" s="81" t="s">
        <v>48</v>
      </c>
      <c r="U31" s="81" t="s">
        <v>48</v>
      </c>
      <c r="V31" s="81" t="s">
        <v>49</v>
      </c>
      <c r="W31" s="81" t="s">
        <v>48</v>
      </c>
      <c r="X31" s="81" t="s">
        <v>48</v>
      </c>
      <c r="Y31" s="81" t="s">
        <v>48</v>
      </c>
    </row>
    <row r="32" spans="1:25" x14ac:dyDescent="0.3">
      <c r="A32" s="16">
        <v>7501590283956</v>
      </c>
      <c r="B32" s="81" t="s">
        <v>43</v>
      </c>
      <c r="C32" s="81" t="s">
        <v>100</v>
      </c>
      <c r="D32" s="81" t="s">
        <v>45</v>
      </c>
      <c r="E32" s="81" t="s">
        <v>2312</v>
      </c>
      <c r="F32" s="81" t="s">
        <v>2313</v>
      </c>
      <c r="G32" s="81" t="s">
        <v>5429</v>
      </c>
      <c r="H32" s="81" t="s">
        <v>2314</v>
      </c>
      <c r="I32" s="81" t="s">
        <v>5550</v>
      </c>
      <c r="J32" s="81" t="s">
        <v>2186</v>
      </c>
      <c r="K32" s="81" t="s">
        <v>5550</v>
      </c>
      <c r="L32" s="81" t="s">
        <v>2392</v>
      </c>
      <c r="M32" s="81" t="s">
        <v>5550</v>
      </c>
      <c r="N32" s="81" t="s">
        <v>2231</v>
      </c>
      <c r="O32" s="81" t="s">
        <v>2187</v>
      </c>
      <c r="P32" s="81" t="s">
        <v>2187</v>
      </c>
      <c r="Q32" s="81" t="s">
        <v>43</v>
      </c>
      <c r="R32" s="81" t="s">
        <v>101</v>
      </c>
      <c r="S32" s="81" t="s">
        <v>101</v>
      </c>
      <c r="T32" s="81" t="s">
        <v>48</v>
      </c>
      <c r="U32" s="81" t="s">
        <v>48</v>
      </c>
      <c r="V32" s="81" t="s">
        <v>49</v>
      </c>
      <c r="W32" s="81" t="s">
        <v>48</v>
      </c>
      <c r="X32" s="81" t="s">
        <v>48</v>
      </c>
      <c r="Y32" s="81" t="s">
        <v>48</v>
      </c>
    </row>
    <row r="33" spans="1:25" x14ac:dyDescent="0.3">
      <c r="A33" s="16">
        <v>780083141585</v>
      </c>
      <c r="B33" s="81" t="s">
        <v>43</v>
      </c>
      <c r="C33" s="81" t="s">
        <v>102</v>
      </c>
      <c r="D33" s="81" t="s">
        <v>45</v>
      </c>
      <c r="E33" s="81" t="s">
        <v>2316</v>
      </c>
      <c r="F33" s="81" t="s">
        <v>2317</v>
      </c>
      <c r="G33" s="81" t="s">
        <v>5020</v>
      </c>
      <c r="H33" s="81" t="s">
        <v>2264</v>
      </c>
      <c r="I33" s="81" t="s">
        <v>2838</v>
      </c>
      <c r="J33" s="81" t="s">
        <v>2186</v>
      </c>
      <c r="K33" s="81" t="s">
        <v>2838</v>
      </c>
      <c r="L33" s="81" t="s">
        <v>2392</v>
      </c>
      <c r="M33" s="81" t="s">
        <v>2838</v>
      </c>
      <c r="N33" s="81" t="s">
        <v>2231</v>
      </c>
      <c r="O33" s="81" t="s">
        <v>2187</v>
      </c>
      <c r="P33" s="81" t="s">
        <v>2187</v>
      </c>
      <c r="Q33" s="81" t="s">
        <v>103</v>
      </c>
      <c r="R33" s="81" t="s">
        <v>46</v>
      </c>
      <c r="S33" s="81" t="s">
        <v>46</v>
      </c>
      <c r="T33" s="81" t="s">
        <v>48</v>
      </c>
      <c r="U33" s="81" t="s">
        <v>48</v>
      </c>
      <c r="V33" s="81" t="s">
        <v>48</v>
      </c>
      <c r="W33" s="81" t="s">
        <v>49</v>
      </c>
      <c r="X33" s="81" t="s">
        <v>48</v>
      </c>
      <c r="Y33" s="81" t="s">
        <v>48</v>
      </c>
    </row>
    <row r="34" spans="1:25" x14ac:dyDescent="0.3">
      <c r="A34" s="16">
        <v>780083146818</v>
      </c>
      <c r="B34" s="81" t="s">
        <v>43</v>
      </c>
      <c r="C34" s="81" t="s">
        <v>104</v>
      </c>
      <c r="D34" s="81" t="s">
        <v>45</v>
      </c>
      <c r="E34" s="81" t="s">
        <v>2227</v>
      </c>
      <c r="F34" s="81" t="s">
        <v>2227</v>
      </c>
      <c r="G34" s="81" t="s">
        <v>2319</v>
      </c>
      <c r="H34" s="81" t="s">
        <v>2217</v>
      </c>
      <c r="I34" s="81" t="s">
        <v>2320</v>
      </c>
      <c r="J34" s="81" t="s">
        <v>2186</v>
      </c>
      <c r="K34" s="81" t="s">
        <v>2321</v>
      </c>
      <c r="L34" s="81" t="s">
        <v>2392</v>
      </c>
      <c r="M34" s="81" t="s">
        <v>2322</v>
      </c>
      <c r="N34" s="81" t="s">
        <v>2231</v>
      </c>
      <c r="O34" s="81" t="s">
        <v>2187</v>
      </c>
      <c r="P34" s="81" t="s">
        <v>2187</v>
      </c>
      <c r="Q34" s="81" t="s">
        <v>105</v>
      </c>
      <c r="R34" s="81" t="s">
        <v>106</v>
      </c>
      <c r="S34" s="81" t="s">
        <v>106</v>
      </c>
      <c r="T34" s="81" t="s">
        <v>48</v>
      </c>
      <c r="U34" s="81" t="s">
        <v>48</v>
      </c>
      <c r="V34" s="81" t="s">
        <v>48</v>
      </c>
      <c r="W34" s="81" t="s">
        <v>49</v>
      </c>
      <c r="X34" s="81" t="s">
        <v>48</v>
      </c>
      <c r="Y34" s="81" t="s">
        <v>48</v>
      </c>
    </row>
    <row r="35" spans="1:25" x14ac:dyDescent="0.3">
      <c r="A35" s="16">
        <v>780083141066</v>
      </c>
      <c r="B35" s="81" t="s">
        <v>43</v>
      </c>
      <c r="C35" s="81" t="s">
        <v>107</v>
      </c>
      <c r="D35" s="81" t="s">
        <v>45</v>
      </c>
      <c r="E35" s="81" t="s">
        <v>2323</v>
      </c>
      <c r="F35" s="81" t="s">
        <v>2324</v>
      </c>
      <c r="G35" s="81" t="s">
        <v>4649</v>
      </c>
      <c r="H35" s="81" t="s">
        <v>2217</v>
      </c>
      <c r="I35" s="81" t="s">
        <v>5551</v>
      </c>
      <c r="J35" s="81" t="s">
        <v>2186</v>
      </c>
      <c r="K35" s="81" t="s">
        <v>5551</v>
      </c>
      <c r="L35" s="81" t="s">
        <v>2392</v>
      </c>
      <c r="M35" s="81" t="s">
        <v>5551</v>
      </c>
      <c r="N35" s="81" t="s">
        <v>2231</v>
      </c>
      <c r="O35" s="81" t="s">
        <v>2187</v>
      </c>
      <c r="P35" s="81" t="s">
        <v>2187</v>
      </c>
      <c r="Q35" s="81" t="s">
        <v>108</v>
      </c>
      <c r="R35" s="81" t="s">
        <v>46</v>
      </c>
      <c r="S35" s="81" t="s">
        <v>46</v>
      </c>
      <c r="T35" s="81" t="s">
        <v>48</v>
      </c>
      <c r="U35" s="81" t="s">
        <v>48</v>
      </c>
      <c r="V35" s="81" t="s">
        <v>48</v>
      </c>
      <c r="W35" s="81" t="s">
        <v>49</v>
      </c>
      <c r="X35" s="81" t="s">
        <v>48</v>
      </c>
      <c r="Y35" s="81" t="s">
        <v>48</v>
      </c>
    </row>
    <row r="36" spans="1:25" x14ac:dyDescent="0.3">
      <c r="A36" s="16">
        <v>780083141929</v>
      </c>
      <c r="B36" s="81" t="s">
        <v>43</v>
      </c>
      <c r="C36" s="81" t="s">
        <v>109</v>
      </c>
      <c r="D36" s="81" t="s">
        <v>45</v>
      </c>
      <c r="E36" s="81" t="s">
        <v>2326</v>
      </c>
      <c r="F36" s="81" t="s">
        <v>2327</v>
      </c>
      <c r="G36" s="81" t="s">
        <v>4423</v>
      </c>
      <c r="H36" s="81" t="s">
        <v>2217</v>
      </c>
      <c r="I36" s="81" t="s">
        <v>5531</v>
      </c>
      <c r="J36" s="81" t="s">
        <v>2186</v>
      </c>
      <c r="K36" s="81" t="s">
        <v>5531</v>
      </c>
      <c r="L36" s="81" t="s">
        <v>2392</v>
      </c>
      <c r="M36" s="81" t="s">
        <v>5531</v>
      </c>
      <c r="N36" s="81" t="s">
        <v>2231</v>
      </c>
      <c r="O36" s="81" t="s">
        <v>2187</v>
      </c>
      <c r="P36" s="81" t="s">
        <v>2187</v>
      </c>
      <c r="Q36" s="81" t="s">
        <v>110</v>
      </c>
      <c r="R36" s="81" t="s">
        <v>46</v>
      </c>
      <c r="S36" s="81" t="s">
        <v>46</v>
      </c>
      <c r="T36" s="81" t="s">
        <v>48</v>
      </c>
      <c r="U36" s="81" t="s">
        <v>48</v>
      </c>
      <c r="V36" s="81" t="s">
        <v>48</v>
      </c>
      <c r="W36" s="81" t="s">
        <v>49</v>
      </c>
      <c r="X36" s="81" t="s">
        <v>48</v>
      </c>
      <c r="Y36" s="81" t="s">
        <v>48</v>
      </c>
    </row>
    <row r="37" spans="1:25" x14ac:dyDescent="0.3">
      <c r="A37" s="16">
        <v>7502214983375</v>
      </c>
      <c r="B37" s="81" t="s">
        <v>43</v>
      </c>
      <c r="C37" s="81" t="s">
        <v>2093</v>
      </c>
      <c r="D37" s="81" t="s">
        <v>45</v>
      </c>
      <c r="E37" s="81" t="s">
        <v>2196</v>
      </c>
      <c r="F37" s="81" t="s">
        <v>2329</v>
      </c>
      <c r="G37" s="81" t="s">
        <v>4757</v>
      </c>
      <c r="H37" s="81" t="s">
        <v>2264</v>
      </c>
      <c r="I37" s="81" t="s">
        <v>5552</v>
      </c>
      <c r="J37" s="81" t="s">
        <v>2186</v>
      </c>
      <c r="K37" s="81" t="s">
        <v>5552</v>
      </c>
      <c r="L37" s="81" t="s">
        <v>2392</v>
      </c>
      <c r="M37" s="81" t="s">
        <v>5552</v>
      </c>
      <c r="N37" s="81" t="s">
        <v>2231</v>
      </c>
      <c r="O37" s="81" t="s">
        <v>2187</v>
      </c>
      <c r="P37" s="81" t="s">
        <v>2187</v>
      </c>
      <c r="Q37" s="81" t="s">
        <v>43</v>
      </c>
      <c r="R37" s="81" t="s">
        <v>46</v>
      </c>
      <c r="S37" s="81" t="s">
        <v>47</v>
      </c>
      <c r="T37" s="81" t="s">
        <v>48</v>
      </c>
      <c r="U37" s="81" t="s">
        <v>48</v>
      </c>
      <c r="V37" s="81" t="s">
        <v>48</v>
      </c>
      <c r="W37" s="81" t="s">
        <v>49</v>
      </c>
      <c r="X37" s="81" t="s">
        <v>48</v>
      </c>
      <c r="Y37" s="81" t="s">
        <v>48</v>
      </c>
    </row>
    <row r="38" spans="1:25" x14ac:dyDescent="0.3">
      <c r="A38" s="16">
        <v>75049805</v>
      </c>
      <c r="B38" s="81" t="s">
        <v>43</v>
      </c>
      <c r="C38" s="81" t="s">
        <v>2094</v>
      </c>
      <c r="D38" s="81" t="s">
        <v>45</v>
      </c>
      <c r="E38" s="81" t="s">
        <v>2316</v>
      </c>
      <c r="F38" s="81" t="s">
        <v>2332</v>
      </c>
      <c r="G38" s="81" t="s">
        <v>5372</v>
      </c>
      <c r="H38" s="81" t="s">
        <v>2230</v>
      </c>
      <c r="I38" s="81" t="s">
        <v>5553</v>
      </c>
      <c r="J38" s="81" t="s">
        <v>2186</v>
      </c>
      <c r="K38" s="81" t="s">
        <v>5553</v>
      </c>
      <c r="L38" s="81" t="s">
        <v>2392</v>
      </c>
      <c r="M38" s="81" t="s">
        <v>5553</v>
      </c>
      <c r="N38" s="81" t="s">
        <v>2231</v>
      </c>
      <c r="O38" s="81" t="s">
        <v>2187</v>
      </c>
      <c r="P38" s="81" t="s">
        <v>2187</v>
      </c>
      <c r="Q38" s="81" t="s">
        <v>111</v>
      </c>
      <c r="R38" s="81" t="s">
        <v>112</v>
      </c>
      <c r="S38" s="81" t="s">
        <v>112</v>
      </c>
      <c r="T38" s="81" t="s">
        <v>48</v>
      </c>
      <c r="U38" s="81" t="s">
        <v>48</v>
      </c>
      <c r="V38" s="81" t="s">
        <v>48</v>
      </c>
      <c r="W38" s="81" t="s">
        <v>49</v>
      </c>
      <c r="X38" s="81" t="s">
        <v>48</v>
      </c>
      <c r="Y38" s="81" t="s">
        <v>48</v>
      </c>
    </row>
    <row r="39" spans="1:25" x14ac:dyDescent="0.3">
      <c r="A39" s="16">
        <v>7501842952890</v>
      </c>
      <c r="B39" s="81" t="s">
        <v>43</v>
      </c>
      <c r="C39" s="81" t="s">
        <v>113</v>
      </c>
      <c r="D39" s="81" t="s">
        <v>45</v>
      </c>
      <c r="E39" s="81" t="s">
        <v>2333</v>
      </c>
      <c r="F39" s="81" t="s">
        <v>2334</v>
      </c>
      <c r="G39" s="81" t="s">
        <v>5313</v>
      </c>
      <c r="H39" s="81" t="s">
        <v>2224</v>
      </c>
      <c r="I39" s="81" t="s">
        <v>2810</v>
      </c>
      <c r="J39" s="81" t="s">
        <v>2186</v>
      </c>
      <c r="K39" s="81" t="s">
        <v>2810</v>
      </c>
      <c r="L39" s="81" t="s">
        <v>2392</v>
      </c>
      <c r="M39" s="81" t="s">
        <v>2810</v>
      </c>
      <c r="N39" s="81" t="s">
        <v>2231</v>
      </c>
      <c r="O39" s="81" t="s">
        <v>2187</v>
      </c>
      <c r="P39" s="81" t="s">
        <v>2187</v>
      </c>
      <c r="Q39" s="81" t="s">
        <v>43</v>
      </c>
      <c r="R39" s="81" t="s">
        <v>46</v>
      </c>
      <c r="S39" s="81" t="s">
        <v>47</v>
      </c>
      <c r="T39" s="81" t="s">
        <v>48</v>
      </c>
      <c r="U39" s="81" t="s">
        <v>48</v>
      </c>
      <c r="V39" s="81" t="s">
        <v>48</v>
      </c>
      <c r="W39" s="81" t="s">
        <v>49</v>
      </c>
      <c r="X39" s="81" t="s">
        <v>48</v>
      </c>
      <c r="Y39" s="81" t="s">
        <v>48</v>
      </c>
    </row>
    <row r="40" spans="1:25" x14ac:dyDescent="0.3">
      <c r="A40" s="16">
        <v>7501842900884</v>
      </c>
      <c r="B40" s="81" t="s">
        <v>43</v>
      </c>
      <c r="C40" s="81" t="s">
        <v>114</v>
      </c>
      <c r="D40" s="81" t="s">
        <v>45</v>
      </c>
      <c r="E40" s="81" t="s">
        <v>2263</v>
      </c>
      <c r="F40" s="81" t="s">
        <v>2335</v>
      </c>
      <c r="G40" s="81" t="s">
        <v>4492</v>
      </c>
      <c r="H40" s="81" t="s">
        <v>2336</v>
      </c>
      <c r="I40" s="81" t="s">
        <v>3457</v>
      </c>
      <c r="J40" s="81" t="s">
        <v>2186</v>
      </c>
      <c r="K40" s="81" t="s">
        <v>3457</v>
      </c>
      <c r="L40" s="81" t="s">
        <v>2392</v>
      </c>
      <c r="M40" s="81" t="s">
        <v>3457</v>
      </c>
      <c r="N40" s="81" t="s">
        <v>2231</v>
      </c>
      <c r="O40" s="81" t="s">
        <v>2187</v>
      </c>
      <c r="P40" s="81" t="s">
        <v>2187</v>
      </c>
      <c r="Q40" s="81" t="s">
        <v>115</v>
      </c>
      <c r="R40" s="81" t="s">
        <v>46</v>
      </c>
      <c r="S40" s="81" t="s">
        <v>47</v>
      </c>
      <c r="T40" s="81" t="s">
        <v>48</v>
      </c>
      <c r="U40" s="81" t="s">
        <v>48</v>
      </c>
      <c r="V40" s="81" t="s">
        <v>48</v>
      </c>
      <c r="W40" s="81" t="s">
        <v>49</v>
      </c>
      <c r="X40" s="81" t="s">
        <v>48</v>
      </c>
      <c r="Y40" s="81" t="s">
        <v>48</v>
      </c>
    </row>
    <row r="41" spans="1:25" x14ac:dyDescent="0.3">
      <c r="A41" s="16">
        <v>7501842901010</v>
      </c>
      <c r="B41" s="81" t="s">
        <v>43</v>
      </c>
      <c r="C41" s="81" t="s">
        <v>116</v>
      </c>
      <c r="D41" s="81" t="s">
        <v>45</v>
      </c>
      <c r="E41" s="81" t="s">
        <v>2338</v>
      </c>
      <c r="F41" s="81" t="s">
        <v>2339</v>
      </c>
      <c r="G41" s="81" t="s">
        <v>4493</v>
      </c>
      <c r="H41" s="81" t="s">
        <v>2217</v>
      </c>
      <c r="I41" s="81" t="s">
        <v>5554</v>
      </c>
      <c r="J41" s="81" t="s">
        <v>2186</v>
      </c>
      <c r="K41" s="81" t="s">
        <v>5554</v>
      </c>
      <c r="L41" s="81" t="s">
        <v>2392</v>
      </c>
      <c r="M41" s="81" t="s">
        <v>5554</v>
      </c>
      <c r="N41" s="81" t="s">
        <v>2231</v>
      </c>
      <c r="O41" s="81" t="s">
        <v>2187</v>
      </c>
      <c r="P41" s="81" t="s">
        <v>2187</v>
      </c>
      <c r="Q41" s="81" t="s">
        <v>117</v>
      </c>
      <c r="R41" s="81" t="s">
        <v>46</v>
      </c>
      <c r="S41" s="81" t="s">
        <v>46</v>
      </c>
      <c r="T41" s="81" t="s">
        <v>48</v>
      </c>
      <c r="U41" s="81" t="s">
        <v>48</v>
      </c>
      <c r="V41" s="81" t="s">
        <v>48</v>
      </c>
      <c r="W41" s="81" t="s">
        <v>49</v>
      </c>
      <c r="X41" s="81" t="s">
        <v>48</v>
      </c>
      <c r="Y41" s="81" t="s">
        <v>48</v>
      </c>
    </row>
    <row r="42" spans="1:25" x14ac:dyDescent="0.3">
      <c r="A42" s="16">
        <v>7501385490521</v>
      </c>
      <c r="B42" s="81" t="s">
        <v>43</v>
      </c>
      <c r="C42" s="81" t="s">
        <v>118</v>
      </c>
      <c r="D42" s="81" t="s">
        <v>45</v>
      </c>
      <c r="E42" s="81" t="s">
        <v>2239</v>
      </c>
      <c r="F42" s="81" t="s">
        <v>2341</v>
      </c>
      <c r="G42" s="81" t="s">
        <v>2342</v>
      </c>
      <c r="H42" s="81" t="s">
        <v>2343</v>
      </c>
      <c r="I42" s="81" t="s">
        <v>5555</v>
      </c>
      <c r="J42" s="81" t="s">
        <v>2186</v>
      </c>
      <c r="K42" s="81" t="s">
        <v>5555</v>
      </c>
      <c r="L42" s="81" t="s">
        <v>2392</v>
      </c>
      <c r="M42" s="81" t="s">
        <v>5555</v>
      </c>
      <c r="N42" s="81" t="s">
        <v>2231</v>
      </c>
      <c r="O42" s="81" t="s">
        <v>2187</v>
      </c>
      <c r="P42" s="81" t="s">
        <v>2187</v>
      </c>
      <c r="Q42" s="81" t="s">
        <v>43</v>
      </c>
      <c r="R42" s="81" t="s">
        <v>51</v>
      </c>
      <c r="S42" s="81" t="s">
        <v>81</v>
      </c>
      <c r="T42" s="81" t="s">
        <v>49</v>
      </c>
      <c r="U42" s="81" t="s">
        <v>48</v>
      </c>
      <c r="V42" s="81" t="s">
        <v>48</v>
      </c>
      <c r="W42" s="81" t="s">
        <v>49</v>
      </c>
      <c r="X42" s="81" t="s">
        <v>48</v>
      </c>
      <c r="Y42" s="81" t="s">
        <v>48</v>
      </c>
    </row>
    <row r="43" spans="1:25" x14ac:dyDescent="0.3">
      <c r="A43" s="16">
        <v>7501385490316</v>
      </c>
      <c r="B43" s="81" t="s">
        <v>43</v>
      </c>
      <c r="C43" s="81" t="s">
        <v>119</v>
      </c>
      <c r="D43" s="81" t="s">
        <v>45</v>
      </c>
      <c r="E43" s="81" t="s">
        <v>2344</v>
      </c>
      <c r="F43" s="81" t="s">
        <v>2345</v>
      </c>
      <c r="G43" s="81" t="s">
        <v>2346</v>
      </c>
      <c r="H43" s="81" t="s">
        <v>2217</v>
      </c>
      <c r="I43" s="81" t="s">
        <v>5556</v>
      </c>
      <c r="J43" s="81" t="s">
        <v>2186</v>
      </c>
      <c r="K43" s="81" t="s">
        <v>5556</v>
      </c>
      <c r="L43" s="81" t="s">
        <v>2392</v>
      </c>
      <c r="M43" s="81" t="s">
        <v>5556</v>
      </c>
      <c r="N43" s="81" t="s">
        <v>2231</v>
      </c>
      <c r="O43" s="81" t="s">
        <v>2187</v>
      </c>
      <c r="P43" s="81" t="s">
        <v>2187</v>
      </c>
      <c r="Q43" s="81" t="s">
        <v>120</v>
      </c>
      <c r="R43" s="81" t="s">
        <v>51</v>
      </c>
      <c r="S43" s="81" t="s">
        <v>81</v>
      </c>
      <c r="T43" s="81" t="s">
        <v>49</v>
      </c>
      <c r="U43" s="81" t="s">
        <v>48</v>
      </c>
      <c r="V43" s="81" t="s">
        <v>48</v>
      </c>
      <c r="W43" s="81" t="s">
        <v>49</v>
      </c>
      <c r="X43" s="81" t="s">
        <v>48</v>
      </c>
      <c r="Y43" s="81" t="s">
        <v>48</v>
      </c>
    </row>
    <row r="44" spans="1:25" x14ac:dyDescent="0.3">
      <c r="A44" s="16">
        <v>7506022315281</v>
      </c>
      <c r="B44" s="81" t="s">
        <v>43</v>
      </c>
      <c r="C44" s="81" t="s">
        <v>121</v>
      </c>
      <c r="D44" s="81" t="s">
        <v>45</v>
      </c>
      <c r="E44" s="81" t="s">
        <v>2348</v>
      </c>
      <c r="F44" s="81" t="s">
        <v>2349</v>
      </c>
      <c r="G44" s="81" t="s">
        <v>2350</v>
      </c>
      <c r="H44" s="81" t="s">
        <v>4579</v>
      </c>
      <c r="I44" s="81" t="s">
        <v>5557</v>
      </c>
      <c r="J44" s="81" t="s">
        <v>2186</v>
      </c>
      <c r="K44" s="81" t="s">
        <v>5557</v>
      </c>
      <c r="L44" s="81" t="s">
        <v>2392</v>
      </c>
      <c r="M44" s="81" t="s">
        <v>5557</v>
      </c>
      <c r="N44" s="81" t="s">
        <v>2231</v>
      </c>
      <c r="O44" s="81" t="s">
        <v>2187</v>
      </c>
      <c r="P44" s="81" t="s">
        <v>2187</v>
      </c>
      <c r="Q44" s="81" t="s">
        <v>43</v>
      </c>
      <c r="R44" s="81" t="s">
        <v>122</v>
      </c>
      <c r="S44" s="81" t="s">
        <v>123</v>
      </c>
      <c r="T44" s="81" t="s">
        <v>48</v>
      </c>
      <c r="U44" s="81" t="s">
        <v>48</v>
      </c>
      <c r="V44" s="81" t="s">
        <v>49</v>
      </c>
      <c r="W44" s="81" t="s">
        <v>48</v>
      </c>
      <c r="X44" s="81" t="s">
        <v>48</v>
      </c>
      <c r="Y44" s="81" t="s">
        <v>48</v>
      </c>
    </row>
    <row r="45" spans="1:25" x14ac:dyDescent="0.3">
      <c r="A45" s="16">
        <v>7502225092486</v>
      </c>
      <c r="B45" s="81" t="s">
        <v>43</v>
      </c>
      <c r="C45" s="81" t="s">
        <v>124</v>
      </c>
      <c r="D45" s="81" t="s">
        <v>45</v>
      </c>
      <c r="E45" s="81" t="s">
        <v>2313</v>
      </c>
      <c r="F45" s="81" t="s">
        <v>2352</v>
      </c>
      <c r="G45" s="81" t="s">
        <v>5069</v>
      </c>
      <c r="H45" s="81" t="s">
        <v>2209</v>
      </c>
      <c r="I45" s="81" t="s">
        <v>5535</v>
      </c>
      <c r="J45" s="81" t="s">
        <v>2186</v>
      </c>
      <c r="K45" s="81" t="s">
        <v>5535</v>
      </c>
      <c r="L45" s="81" t="s">
        <v>2392</v>
      </c>
      <c r="M45" s="81" t="s">
        <v>5535</v>
      </c>
      <c r="N45" s="81" t="s">
        <v>2231</v>
      </c>
      <c r="O45" s="81" t="s">
        <v>2187</v>
      </c>
      <c r="P45" s="81" t="s">
        <v>2187</v>
      </c>
      <c r="Q45" s="81" t="s">
        <v>125</v>
      </c>
      <c r="R45" s="81" t="s">
        <v>51</v>
      </c>
      <c r="S45" s="81" t="s">
        <v>47</v>
      </c>
      <c r="T45" s="81" t="s">
        <v>49</v>
      </c>
      <c r="U45" s="81" t="s">
        <v>48</v>
      </c>
      <c r="V45" s="81" t="s">
        <v>48</v>
      </c>
      <c r="W45" s="81" t="s">
        <v>49</v>
      </c>
      <c r="X45" s="81" t="s">
        <v>48</v>
      </c>
      <c r="Y45" s="81" t="s">
        <v>48</v>
      </c>
    </row>
    <row r="46" spans="1:25" x14ac:dyDescent="0.3">
      <c r="A46" s="16">
        <v>7501836000828</v>
      </c>
      <c r="B46" s="81" t="s">
        <v>43</v>
      </c>
      <c r="C46" s="81" t="s">
        <v>126</v>
      </c>
      <c r="D46" s="81" t="s">
        <v>45</v>
      </c>
      <c r="E46" s="81" t="s">
        <v>2354</v>
      </c>
      <c r="F46" s="81" t="s">
        <v>2355</v>
      </c>
      <c r="G46" s="81" t="s">
        <v>2356</v>
      </c>
      <c r="H46" s="81" t="s">
        <v>2209</v>
      </c>
      <c r="I46" s="81" t="s">
        <v>5558</v>
      </c>
      <c r="J46" s="81" t="s">
        <v>2186</v>
      </c>
      <c r="K46" s="81" t="s">
        <v>5558</v>
      </c>
      <c r="L46" s="81" t="s">
        <v>2392</v>
      </c>
      <c r="M46" s="81" t="s">
        <v>5558</v>
      </c>
      <c r="N46" s="81" t="s">
        <v>2231</v>
      </c>
      <c r="O46" s="81" t="s">
        <v>2187</v>
      </c>
      <c r="P46" s="81" t="s">
        <v>2187</v>
      </c>
      <c r="Q46" s="81" t="s">
        <v>127</v>
      </c>
      <c r="R46" s="81" t="s">
        <v>46</v>
      </c>
      <c r="S46" s="81" t="s">
        <v>46</v>
      </c>
      <c r="T46" s="81" t="s">
        <v>48</v>
      </c>
      <c r="U46" s="81" t="s">
        <v>48</v>
      </c>
      <c r="V46" s="81" t="s">
        <v>48</v>
      </c>
      <c r="W46" s="81" t="s">
        <v>49</v>
      </c>
      <c r="X46" s="81" t="s">
        <v>48</v>
      </c>
      <c r="Y46" s="81" t="s">
        <v>48</v>
      </c>
    </row>
    <row r="47" spans="1:25" x14ac:dyDescent="0.3">
      <c r="A47" s="16">
        <v>7501836000118</v>
      </c>
      <c r="B47" s="81" t="s">
        <v>43</v>
      </c>
      <c r="C47" s="81" t="s">
        <v>1863</v>
      </c>
      <c r="D47" s="81" t="s">
        <v>45</v>
      </c>
      <c r="E47" s="81" t="s">
        <v>2357</v>
      </c>
      <c r="F47" s="81" t="s">
        <v>2358</v>
      </c>
      <c r="G47" s="81" t="s">
        <v>5430</v>
      </c>
      <c r="H47" s="81" t="s">
        <v>2337</v>
      </c>
      <c r="I47" s="81" t="s">
        <v>5559</v>
      </c>
      <c r="J47" s="81" t="s">
        <v>2186</v>
      </c>
      <c r="K47" s="81" t="s">
        <v>5559</v>
      </c>
      <c r="L47" s="81" t="s">
        <v>2392</v>
      </c>
      <c r="M47" s="81" t="s">
        <v>5559</v>
      </c>
      <c r="N47" s="81" t="s">
        <v>2231</v>
      </c>
      <c r="O47" s="81" t="s">
        <v>2187</v>
      </c>
      <c r="P47" s="81" t="s">
        <v>2187</v>
      </c>
      <c r="Q47" s="81" t="s">
        <v>43</v>
      </c>
      <c r="R47" s="81" t="s">
        <v>46</v>
      </c>
      <c r="S47" s="81" t="s">
        <v>47</v>
      </c>
      <c r="T47" s="81" t="s">
        <v>48</v>
      </c>
      <c r="U47" s="81" t="s">
        <v>48</v>
      </c>
      <c r="V47" s="81" t="s">
        <v>48</v>
      </c>
      <c r="W47" s="81" t="s">
        <v>49</v>
      </c>
      <c r="X47" s="81" t="s">
        <v>48</v>
      </c>
      <c r="Y47" s="81" t="s">
        <v>48</v>
      </c>
    </row>
    <row r="48" spans="1:25" x14ac:dyDescent="0.3">
      <c r="A48" s="16">
        <v>7501836000927</v>
      </c>
      <c r="B48" s="81" t="s">
        <v>43</v>
      </c>
      <c r="C48" s="81" t="s">
        <v>128</v>
      </c>
      <c r="D48" s="81" t="s">
        <v>45</v>
      </c>
      <c r="E48" s="81" t="s">
        <v>2313</v>
      </c>
      <c r="F48" s="81" t="s">
        <v>2352</v>
      </c>
      <c r="G48" s="81" t="s">
        <v>4344</v>
      </c>
      <c r="H48" s="81" t="s">
        <v>2336</v>
      </c>
      <c r="I48" s="81" t="s">
        <v>5560</v>
      </c>
      <c r="J48" s="81" t="s">
        <v>2186</v>
      </c>
      <c r="K48" s="81" t="s">
        <v>5560</v>
      </c>
      <c r="L48" s="81" t="s">
        <v>2392</v>
      </c>
      <c r="M48" s="81" t="s">
        <v>5560</v>
      </c>
      <c r="N48" s="81" t="s">
        <v>2231</v>
      </c>
      <c r="O48" s="81" t="s">
        <v>2187</v>
      </c>
      <c r="P48" s="81" t="s">
        <v>2187</v>
      </c>
      <c r="Q48" s="81" t="s">
        <v>129</v>
      </c>
      <c r="R48" s="81" t="s">
        <v>46</v>
      </c>
      <c r="S48" s="81" t="s">
        <v>46</v>
      </c>
      <c r="T48" s="81" t="s">
        <v>48</v>
      </c>
      <c r="U48" s="81" t="s">
        <v>48</v>
      </c>
      <c r="V48" s="81" t="s">
        <v>48</v>
      </c>
      <c r="W48" s="81" t="s">
        <v>49</v>
      </c>
      <c r="X48" s="81" t="s">
        <v>48</v>
      </c>
      <c r="Y48" s="81" t="s">
        <v>48</v>
      </c>
    </row>
    <row r="49" spans="1:25" x14ac:dyDescent="0.3">
      <c r="A49" s="16">
        <v>7502211789345</v>
      </c>
      <c r="B49" s="81" t="s">
        <v>43</v>
      </c>
      <c r="C49" s="81" t="s">
        <v>130</v>
      </c>
      <c r="D49" s="81" t="s">
        <v>45</v>
      </c>
      <c r="E49" s="81" t="s">
        <v>2274</v>
      </c>
      <c r="F49" s="81" t="s">
        <v>2275</v>
      </c>
      <c r="G49" s="81" t="s">
        <v>4395</v>
      </c>
      <c r="H49" s="81" t="s">
        <v>2223</v>
      </c>
      <c r="I49" s="81" t="s">
        <v>5561</v>
      </c>
      <c r="J49" s="81" t="s">
        <v>2186</v>
      </c>
      <c r="K49" s="81" t="s">
        <v>5561</v>
      </c>
      <c r="L49" s="81" t="s">
        <v>2392</v>
      </c>
      <c r="M49" s="81" t="s">
        <v>5561</v>
      </c>
      <c r="N49" s="81" t="s">
        <v>2231</v>
      </c>
      <c r="O49" s="81" t="s">
        <v>2187</v>
      </c>
      <c r="P49" s="81" t="s">
        <v>2187</v>
      </c>
      <c r="Q49" s="81" t="s">
        <v>131</v>
      </c>
      <c r="R49" s="81" t="s">
        <v>46</v>
      </c>
      <c r="S49" s="81" t="s">
        <v>47</v>
      </c>
      <c r="T49" s="81" t="s">
        <v>48</v>
      </c>
      <c r="U49" s="81" t="s">
        <v>48</v>
      </c>
      <c r="V49" s="81" t="s">
        <v>48</v>
      </c>
      <c r="W49" s="81" t="s">
        <v>49</v>
      </c>
      <c r="X49" s="81" t="s">
        <v>48</v>
      </c>
      <c r="Y49" s="81" t="s">
        <v>48</v>
      </c>
    </row>
    <row r="50" spans="1:25" x14ac:dyDescent="0.3">
      <c r="A50" s="16">
        <v>7502211781615</v>
      </c>
      <c r="B50" s="81" t="s">
        <v>43</v>
      </c>
      <c r="C50" s="81" t="s">
        <v>132</v>
      </c>
      <c r="D50" s="81" t="s">
        <v>45</v>
      </c>
      <c r="E50" s="81" t="s">
        <v>2362</v>
      </c>
      <c r="F50" s="81" t="s">
        <v>2316</v>
      </c>
      <c r="G50" s="81" t="s">
        <v>5314</v>
      </c>
      <c r="H50" s="81" t="s">
        <v>2360</v>
      </c>
      <c r="I50" s="81" t="s">
        <v>5562</v>
      </c>
      <c r="J50" s="81" t="s">
        <v>2186</v>
      </c>
      <c r="K50" s="81" t="s">
        <v>5562</v>
      </c>
      <c r="L50" s="81" t="s">
        <v>2392</v>
      </c>
      <c r="M50" s="81" t="s">
        <v>5562</v>
      </c>
      <c r="N50" s="81" t="s">
        <v>2231</v>
      </c>
      <c r="O50" s="81" t="s">
        <v>2187</v>
      </c>
      <c r="P50" s="81" t="s">
        <v>2187</v>
      </c>
      <c r="Q50" s="81" t="s">
        <v>133</v>
      </c>
      <c r="R50" s="81" t="s">
        <v>46</v>
      </c>
      <c r="S50" s="81" t="s">
        <v>46</v>
      </c>
      <c r="T50" s="81" t="s">
        <v>48</v>
      </c>
      <c r="U50" s="81" t="s">
        <v>48</v>
      </c>
      <c r="V50" s="81" t="s">
        <v>48</v>
      </c>
      <c r="W50" s="81" t="s">
        <v>49</v>
      </c>
      <c r="X50" s="81" t="s">
        <v>48</v>
      </c>
      <c r="Y50" s="81" t="s">
        <v>48</v>
      </c>
    </row>
    <row r="51" spans="1:25" x14ac:dyDescent="0.3">
      <c r="A51" s="16">
        <v>7502211783954</v>
      </c>
      <c r="B51" s="81" t="s">
        <v>43</v>
      </c>
      <c r="C51" s="81" t="s">
        <v>1864</v>
      </c>
      <c r="D51" s="81" t="s">
        <v>45</v>
      </c>
      <c r="E51" s="81" t="s">
        <v>2363</v>
      </c>
      <c r="F51" s="81" t="s">
        <v>2364</v>
      </c>
      <c r="G51" s="81" t="s">
        <v>4371</v>
      </c>
      <c r="H51" s="81" t="s">
        <v>2365</v>
      </c>
      <c r="I51" s="81" t="s">
        <v>5563</v>
      </c>
      <c r="J51" s="81" t="s">
        <v>2186</v>
      </c>
      <c r="K51" s="81" t="s">
        <v>5563</v>
      </c>
      <c r="L51" s="81" t="s">
        <v>2392</v>
      </c>
      <c r="M51" s="81" t="s">
        <v>5563</v>
      </c>
      <c r="N51" s="81" t="s">
        <v>2231</v>
      </c>
      <c r="O51" s="81" t="s">
        <v>2187</v>
      </c>
      <c r="P51" s="81" t="s">
        <v>2187</v>
      </c>
      <c r="Q51" s="81" t="s">
        <v>134</v>
      </c>
      <c r="R51" s="81" t="s">
        <v>46</v>
      </c>
      <c r="S51" s="81" t="s">
        <v>47</v>
      </c>
      <c r="T51" s="81" t="s">
        <v>48</v>
      </c>
      <c r="U51" s="81" t="s">
        <v>48</v>
      </c>
      <c r="V51" s="81" t="s">
        <v>48</v>
      </c>
      <c r="W51" s="81" t="s">
        <v>49</v>
      </c>
      <c r="X51" s="81" t="s">
        <v>48</v>
      </c>
      <c r="Y51" s="81" t="s">
        <v>48</v>
      </c>
    </row>
    <row r="52" spans="1:25" x14ac:dyDescent="0.3">
      <c r="A52" s="16">
        <v>7502211783275</v>
      </c>
      <c r="B52" s="81" t="s">
        <v>43</v>
      </c>
      <c r="C52" s="81" t="s">
        <v>135</v>
      </c>
      <c r="D52" s="81" t="s">
        <v>45</v>
      </c>
      <c r="E52" s="81" t="s">
        <v>2368</v>
      </c>
      <c r="F52" s="81" t="s">
        <v>2369</v>
      </c>
      <c r="G52" s="81" t="s">
        <v>5142</v>
      </c>
      <c r="H52" s="81" t="s">
        <v>2243</v>
      </c>
      <c r="I52" s="81" t="s">
        <v>4659</v>
      </c>
      <c r="J52" s="81" t="s">
        <v>2186</v>
      </c>
      <c r="K52" s="81" t="s">
        <v>4659</v>
      </c>
      <c r="L52" s="81" t="s">
        <v>2392</v>
      </c>
      <c r="M52" s="81" t="s">
        <v>4659</v>
      </c>
      <c r="N52" s="81" t="s">
        <v>2231</v>
      </c>
      <c r="O52" s="81" t="s">
        <v>2187</v>
      </c>
      <c r="P52" s="81" t="s">
        <v>2187</v>
      </c>
      <c r="Q52" s="81" t="s">
        <v>136</v>
      </c>
      <c r="R52" s="81" t="s">
        <v>46</v>
      </c>
      <c r="S52" s="81" t="s">
        <v>46</v>
      </c>
      <c r="T52" s="81" t="s">
        <v>48</v>
      </c>
      <c r="U52" s="81" t="s">
        <v>48</v>
      </c>
      <c r="V52" s="81" t="s">
        <v>48</v>
      </c>
      <c r="W52" s="81" t="s">
        <v>49</v>
      </c>
      <c r="X52" s="81" t="s">
        <v>48</v>
      </c>
      <c r="Y52" s="81" t="s">
        <v>48</v>
      </c>
    </row>
    <row r="53" spans="1:25" x14ac:dyDescent="0.3">
      <c r="A53" s="16">
        <v>7502009740916</v>
      </c>
      <c r="B53" s="81" t="s">
        <v>43</v>
      </c>
      <c r="C53" s="81" t="s">
        <v>137</v>
      </c>
      <c r="D53" s="81" t="s">
        <v>45</v>
      </c>
      <c r="E53" s="81" t="s">
        <v>2370</v>
      </c>
      <c r="F53" s="81" t="s">
        <v>2371</v>
      </c>
      <c r="G53" s="81" t="s">
        <v>4889</v>
      </c>
      <c r="H53" s="81" t="s">
        <v>2217</v>
      </c>
      <c r="I53" s="81" t="s">
        <v>5564</v>
      </c>
      <c r="J53" s="81" t="s">
        <v>2186</v>
      </c>
      <c r="K53" s="81" t="s">
        <v>5564</v>
      </c>
      <c r="L53" s="81" t="s">
        <v>2392</v>
      </c>
      <c r="M53" s="81" t="s">
        <v>5564</v>
      </c>
      <c r="N53" s="81" t="s">
        <v>2231</v>
      </c>
      <c r="O53" s="81" t="s">
        <v>2187</v>
      </c>
      <c r="P53" s="81" t="s">
        <v>2187</v>
      </c>
      <c r="Q53" s="81" t="s">
        <v>138</v>
      </c>
      <c r="R53" s="81" t="s">
        <v>46</v>
      </c>
      <c r="S53" s="81" t="s">
        <v>73</v>
      </c>
      <c r="T53" s="81" t="s">
        <v>48</v>
      </c>
      <c r="U53" s="81" t="s">
        <v>48</v>
      </c>
      <c r="V53" s="81" t="s">
        <v>48</v>
      </c>
      <c r="W53" s="81" t="s">
        <v>49</v>
      </c>
      <c r="X53" s="81" t="s">
        <v>48</v>
      </c>
      <c r="Y53" s="81" t="s">
        <v>48</v>
      </c>
    </row>
    <row r="54" spans="1:25" x14ac:dyDescent="0.3">
      <c r="A54" s="16">
        <v>7502009740480</v>
      </c>
      <c r="B54" s="81" t="s">
        <v>43</v>
      </c>
      <c r="C54" s="81" t="s">
        <v>139</v>
      </c>
      <c r="D54" s="81" t="s">
        <v>45</v>
      </c>
      <c r="E54" s="81" t="s">
        <v>2372</v>
      </c>
      <c r="F54" s="81" t="s">
        <v>2373</v>
      </c>
      <c r="G54" s="81" t="s">
        <v>4925</v>
      </c>
      <c r="H54" s="81" t="s">
        <v>2434</v>
      </c>
      <c r="I54" s="81" t="s">
        <v>5565</v>
      </c>
      <c r="J54" s="81" t="s">
        <v>2186</v>
      </c>
      <c r="K54" s="81" t="s">
        <v>5565</v>
      </c>
      <c r="L54" s="81" t="s">
        <v>2392</v>
      </c>
      <c r="M54" s="81" t="s">
        <v>5565</v>
      </c>
      <c r="N54" s="81" t="s">
        <v>2231</v>
      </c>
      <c r="O54" s="81" t="s">
        <v>2187</v>
      </c>
      <c r="P54" s="81" t="s">
        <v>2187</v>
      </c>
      <c r="Q54" s="81" t="s">
        <v>140</v>
      </c>
      <c r="R54" s="81" t="s">
        <v>51</v>
      </c>
      <c r="S54" s="81" t="s">
        <v>81</v>
      </c>
      <c r="T54" s="81" t="s">
        <v>49</v>
      </c>
      <c r="U54" s="81" t="s">
        <v>48</v>
      </c>
      <c r="V54" s="81" t="s">
        <v>48</v>
      </c>
      <c r="W54" s="81" t="s">
        <v>49</v>
      </c>
      <c r="X54" s="81" t="s">
        <v>48</v>
      </c>
      <c r="Y54" s="81" t="s">
        <v>48</v>
      </c>
    </row>
    <row r="55" spans="1:25" x14ac:dyDescent="0.3">
      <c r="A55" s="16">
        <v>7502009740244</v>
      </c>
      <c r="B55" s="81" t="s">
        <v>43</v>
      </c>
      <c r="C55" s="81" t="s">
        <v>141</v>
      </c>
      <c r="D55" s="81" t="s">
        <v>45</v>
      </c>
      <c r="E55" s="81" t="s">
        <v>2374</v>
      </c>
      <c r="F55" s="81" t="s">
        <v>2375</v>
      </c>
      <c r="G55" s="81" t="s">
        <v>5136</v>
      </c>
      <c r="H55" s="81" t="s">
        <v>2183</v>
      </c>
      <c r="I55" s="81" t="s">
        <v>5566</v>
      </c>
      <c r="J55" s="81" t="s">
        <v>2186</v>
      </c>
      <c r="K55" s="81" t="s">
        <v>5566</v>
      </c>
      <c r="L55" s="81" t="s">
        <v>2392</v>
      </c>
      <c r="M55" s="81" t="s">
        <v>5566</v>
      </c>
      <c r="N55" s="81" t="s">
        <v>2231</v>
      </c>
      <c r="O55" s="81" t="s">
        <v>2187</v>
      </c>
      <c r="P55" s="81" t="s">
        <v>2187</v>
      </c>
      <c r="Q55" s="81" t="s">
        <v>142</v>
      </c>
      <c r="R55" s="81" t="s">
        <v>46</v>
      </c>
      <c r="S55" s="81" t="s">
        <v>47</v>
      </c>
      <c r="T55" s="81" t="s">
        <v>48</v>
      </c>
      <c r="U55" s="81" t="s">
        <v>48</v>
      </c>
      <c r="V55" s="81" t="s">
        <v>48</v>
      </c>
      <c r="W55" s="81" t="s">
        <v>49</v>
      </c>
      <c r="X55" s="81" t="s">
        <v>48</v>
      </c>
      <c r="Y55" s="81" t="s">
        <v>48</v>
      </c>
    </row>
    <row r="56" spans="1:25" x14ac:dyDescent="0.3">
      <c r="A56" s="16">
        <v>7502009747052</v>
      </c>
      <c r="B56" s="81" t="s">
        <v>43</v>
      </c>
      <c r="C56" s="81" t="s">
        <v>143</v>
      </c>
      <c r="D56" s="81" t="s">
        <v>45</v>
      </c>
      <c r="E56" s="81" t="s">
        <v>2378</v>
      </c>
      <c r="F56" s="81" t="s">
        <v>2379</v>
      </c>
      <c r="G56" s="81" t="s">
        <v>5452</v>
      </c>
      <c r="H56" s="81" t="s">
        <v>2237</v>
      </c>
      <c r="I56" s="81" t="s">
        <v>5567</v>
      </c>
      <c r="J56" s="81" t="s">
        <v>2186</v>
      </c>
      <c r="K56" s="81" t="s">
        <v>5567</v>
      </c>
      <c r="L56" s="81" t="s">
        <v>2392</v>
      </c>
      <c r="M56" s="81" t="s">
        <v>5567</v>
      </c>
      <c r="N56" s="81" t="s">
        <v>2231</v>
      </c>
      <c r="O56" s="81" t="s">
        <v>2187</v>
      </c>
      <c r="P56" s="81" t="s">
        <v>2187</v>
      </c>
      <c r="Q56" s="81" t="s">
        <v>144</v>
      </c>
      <c r="R56" s="81" t="s">
        <v>46</v>
      </c>
      <c r="S56" s="81" t="s">
        <v>47</v>
      </c>
      <c r="T56" s="81" t="s">
        <v>48</v>
      </c>
      <c r="U56" s="81" t="s">
        <v>48</v>
      </c>
      <c r="V56" s="81" t="s">
        <v>48</v>
      </c>
      <c r="W56" s="81" t="s">
        <v>49</v>
      </c>
      <c r="X56" s="81" t="s">
        <v>48</v>
      </c>
      <c r="Y56" s="81" t="s">
        <v>48</v>
      </c>
    </row>
    <row r="57" spans="1:25" x14ac:dyDescent="0.3">
      <c r="A57" s="16">
        <v>7502009745546</v>
      </c>
      <c r="B57" s="81" t="s">
        <v>43</v>
      </c>
      <c r="C57" s="81" t="s">
        <v>1865</v>
      </c>
      <c r="D57" s="81" t="s">
        <v>45</v>
      </c>
      <c r="E57" s="81" t="s">
        <v>2333</v>
      </c>
      <c r="F57" s="81" t="s">
        <v>2334</v>
      </c>
      <c r="G57" s="81" t="s">
        <v>4887</v>
      </c>
      <c r="H57" s="81" t="s">
        <v>2190</v>
      </c>
      <c r="I57" s="81" t="s">
        <v>5568</v>
      </c>
      <c r="J57" s="81" t="s">
        <v>2186</v>
      </c>
      <c r="K57" s="81" t="s">
        <v>5568</v>
      </c>
      <c r="L57" s="81" t="s">
        <v>2392</v>
      </c>
      <c r="M57" s="81" t="s">
        <v>5568</v>
      </c>
      <c r="N57" s="81" t="s">
        <v>2231</v>
      </c>
      <c r="O57" s="81" t="s">
        <v>2187</v>
      </c>
      <c r="P57" s="81" t="s">
        <v>2187</v>
      </c>
      <c r="Q57" s="81" t="s">
        <v>145</v>
      </c>
      <c r="R57" s="81" t="s">
        <v>46</v>
      </c>
      <c r="S57" s="81" t="s">
        <v>46</v>
      </c>
      <c r="T57" s="81" t="s">
        <v>48</v>
      </c>
      <c r="U57" s="81" t="s">
        <v>48</v>
      </c>
      <c r="V57" s="81" t="s">
        <v>48</v>
      </c>
      <c r="W57" s="81" t="s">
        <v>49</v>
      </c>
      <c r="X57" s="81" t="s">
        <v>48</v>
      </c>
      <c r="Y57" s="81" t="s">
        <v>48</v>
      </c>
    </row>
    <row r="58" spans="1:25" x14ac:dyDescent="0.3">
      <c r="A58" s="16">
        <v>7502009741289</v>
      </c>
      <c r="B58" s="81" t="s">
        <v>43</v>
      </c>
      <c r="C58" s="81" t="s">
        <v>1866</v>
      </c>
      <c r="D58" s="81" t="s">
        <v>45</v>
      </c>
      <c r="E58" s="81" t="s">
        <v>2323</v>
      </c>
      <c r="F58" s="81" t="s">
        <v>2324</v>
      </c>
      <c r="G58" s="81" t="s">
        <v>4934</v>
      </c>
      <c r="H58" s="81" t="s">
        <v>2190</v>
      </c>
      <c r="I58" s="81" t="s">
        <v>5569</v>
      </c>
      <c r="J58" s="81" t="s">
        <v>2186</v>
      </c>
      <c r="K58" s="81" t="s">
        <v>5569</v>
      </c>
      <c r="L58" s="81" t="s">
        <v>2392</v>
      </c>
      <c r="M58" s="81" t="s">
        <v>5569</v>
      </c>
      <c r="N58" s="81" t="s">
        <v>2231</v>
      </c>
      <c r="O58" s="81" t="s">
        <v>2187</v>
      </c>
      <c r="P58" s="81" t="s">
        <v>2187</v>
      </c>
      <c r="Q58" s="81" t="s">
        <v>146</v>
      </c>
      <c r="R58" s="81" t="s">
        <v>51</v>
      </c>
      <c r="S58" s="81" t="s">
        <v>81</v>
      </c>
      <c r="T58" s="81" t="s">
        <v>49</v>
      </c>
      <c r="U58" s="81" t="s">
        <v>48</v>
      </c>
      <c r="V58" s="81" t="s">
        <v>48</v>
      </c>
      <c r="W58" s="81" t="s">
        <v>49</v>
      </c>
      <c r="X58" s="81" t="s">
        <v>48</v>
      </c>
      <c r="Y58" s="81" t="s">
        <v>48</v>
      </c>
    </row>
    <row r="59" spans="1:25" x14ac:dyDescent="0.3">
      <c r="A59" s="16">
        <v>7502009745836</v>
      </c>
      <c r="B59" s="81" t="s">
        <v>43</v>
      </c>
      <c r="C59" s="81" t="s">
        <v>2384</v>
      </c>
      <c r="D59" s="81" t="s">
        <v>45</v>
      </c>
      <c r="E59" s="81" t="s">
        <v>2369</v>
      </c>
      <c r="F59" s="81" t="s">
        <v>2180</v>
      </c>
      <c r="G59" s="81" t="s">
        <v>5570</v>
      </c>
      <c r="H59" s="81" t="s">
        <v>2385</v>
      </c>
      <c r="I59" s="81" t="s">
        <v>5571</v>
      </c>
      <c r="J59" s="81" t="s">
        <v>2186</v>
      </c>
      <c r="K59" s="81" t="s">
        <v>5571</v>
      </c>
      <c r="L59" s="81" t="s">
        <v>2392</v>
      </c>
      <c r="M59" s="81" t="s">
        <v>5571</v>
      </c>
      <c r="N59" s="81" t="s">
        <v>2231</v>
      </c>
      <c r="O59" s="81" t="s">
        <v>2187</v>
      </c>
      <c r="P59" s="81" t="s">
        <v>2187</v>
      </c>
      <c r="Q59" s="81" t="s">
        <v>147</v>
      </c>
      <c r="R59" s="81" t="s">
        <v>51</v>
      </c>
      <c r="S59" s="81" t="s">
        <v>81</v>
      </c>
      <c r="T59" s="81" t="s">
        <v>49</v>
      </c>
      <c r="U59" s="81" t="s">
        <v>48</v>
      </c>
      <c r="V59" s="81" t="s">
        <v>48</v>
      </c>
      <c r="W59" s="81" t="s">
        <v>49</v>
      </c>
      <c r="X59" s="81" t="s">
        <v>48</v>
      </c>
      <c r="Y59" s="81" t="s">
        <v>48</v>
      </c>
    </row>
    <row r="60" spans="1:25" x14ac:dyDescent="0.3">
      <c r="A60" s="16">
        <v>7503000422191</v>
      </c>
      <c r="B60" s="81" t="s">
        <v>43</v>
      </c>
      <c r="C60" s="81" t="s">
        <v>148</v>
      </c>
      <c r="D60" s="81" t="s">
        <v>45</v>
      </c>
      <c r="E60" s="81" t="s">
        <v>2388</v>
      </c>
      <c r="F60" s="81" t="s">
        <v>2389</v>
      </c>
      <c r="G60" s="81" t="s">
        <v>5373</v>
      </c>
      <c r="H60" s="81" t="s">
        <v>2209</v>
      </c>
      <c r="I60" s="81" t="s">
        <v>5572</v>
      </c>
      <c r="J60" s="81" t="s">
        <v>2186</v>
      </c>
      <c r="K60" s="81" t="s">
        <v>5572</v>
      </c>
      <c r="L60" s="81" t="s">
        <v>2392</v>
      </c>
      <c r="M60" s="81" t="s">
        <v>5572</v>
      </c>
      <c r="N60" s="81" t="s">
        <v>2231</v>
      </c>
      <c r="O60" s="81" t="s">
        <v>2187</v>
      </c>
      <c r="P60" s="81" t="s">
        <v>2187</v>
      </c>
      <c r="Q60" s="81" t="s">
        <v>149</v>
      </c>
      <c r="R60" s="81" t="s">
        <v>46</v>
      </c>
      <c r="S60" s="81" t="s">
        <v>47</v>
      </c>
      <c r="T60" s="81" t="s">
        <v>48</v>
      </c>
      <c r="U60" s="81" t="s">
        <v>48</v>
      </c>
      <c r="V60" s="81" t="s">
        <v>48</v>
      </c>
      <c r="W60" s="81" t="s">
        <v>49</v>
      </c>
      <c r="X60" s="81" t="s">
        <v>48</v>
      </c>
      <c r="Y60" s="81" t="s">
        <v>48</v>
      </c>
    </row>
    <row r="61" spans="1:25" x14ac:dyDescent="0.3">
      <c r="A61" s="16">
        <v>7502009745539</v>
      </c>
      <c r="B61" s="81" t="s">
        <v>43</v>
      </c>
      <c r="C61" s="81" t="s">
        <v>2095</v>
      </c>
      <c r="D61" s="81" t="s">
        <v>45</v>
      </c>
      <c r="E61" s="81" t="s">
        <v>2362</v>
      </c>
      <c r="F61" s="81" t="s">
        <v>2274</v>
      </c>
      <c r="G61" s="81" t="s">
        <v>4887</v>
      </c>
      <c r="H61" s="81" t="s">
        <v>2193</v>
      </c>
      <c r="I61" s="81" t="s">
        <v>2429</v>
      </c>
      <c r="J61" s="81" t="s">
        <v>2186</v>
      </c>
      <c r="K61" s="81" t="s">
        <v>2429</v>
      </c>
      <c r="L61" s="81" t="s">
        <v>2392</v>
      </c>
      <c r="M61" s="81" t="s">
        <v>2429</v>
      </c>
      <c r="N61" s="81" t="s">
        <v>2231</v>
      </c>
      <c r="O61" s="81" t="s">
        <v>2187</v>
      </c>
      <c r="P61" s="81" t="s">
        <v>2187</v>
      </c>
      <c r="Q61" s="81" t="s">
        <v>150</v>
      </c>
      <c r="R61" s="81" t="s">
        <v>46</v>
      </c>
      <c r="S61" s="81" t="s">
        <v>46</v>
      </c>
      <c r="T61" s="81" t="s">
        <v>48</v>
      </c>
      <c r="U61" s="81" t="s">
        <v>48</v>
      </c>
      <c r="V61" s="81" t="s">
        <v>48</v>
      </c>
      <c r="W61" s="81" t="s">
        <v>49</v>
      </c>
      <c r="X61" s="81" t="s">
        <v>48</v>
      </c>
      <c r="Y61" s="81" t="s">
        <v>48</v>
      </c>
    </row>
    <row r="62" spans="1:25" x14ac:dyDescent="0.3">
      <c r="A62" s="16">
        <v>7502009746253</v>
      </c>
      <c r="B62" s="81" t="s">
        <v>43</v>
      </c>
      <c r="C62" s="81" t="s">
        <v>2395</v>
      </c>
      <c r="D62" s="81" t="s">
        <v>45</v>
      </c>
      <c r="E62" s="81" t="s">
        <v>2370</v>
      </c>
      <c r="F62" s="81" t="s">
        <v>2371</v>
      </c>
      <c r="G62" s="81" t="s">
        <v>5315</v>
      </c>
      <c r="H62" s="81" t="s">
        <v>2396</v>
      </c>
      <c r="I62" s="81" t="s">
        <v>5573</v>
      </c>
      <c r="J62" s="81" t="s">
        <v>2186</v>
      </c>
      <c r="K62" s="81" t="s">
        <v>5573</v>
      </c>
      <c r="L62" s="81" t="s">
        <v>2392</v>
      </c>
      <c r="M62" s="81" t="s">
        <v>5573</v>
      </c>
      <c r="N62" s="81" t="s">
        <v>2231</v>
      </c>
      <c r="O62" s="81" t="s">
        <v>2187</v>
      </c>
      <c r="P62" s="81" t="s">
        <v>2187</v>
      </c>
      <c r="Q62" s="81" t="s">
        <v>43</v>
      </c>
      <c r="R62" s="81" t="s">
        <v>51</v>
      </c>
      <c r="S62" s="81" t="s">
        <v>81</v>
      </c>
      <c r="T62" s="81" t="s">
        <v>49</v>
      </c>
      <c r="U62" s="81" t="s">
        <v>48</v>
      </c>
      <c r="V62" s="81" t="s">
        <v>48</v>
      </c>
      <c r="W62" s="81" t="s">
        <v>49</v>
      </c>
      <c r="X62" s="81" t="s">
        <v>48</v>
      </c>
      <c r="Y62" s="81" t="s">
        <v>48</v>
      </c>
    </row>
    <row r="63" spans="1:25" x14ac:dyDescent="0.3">
      <c r="A63" s="16">
        <v>7502009744891</v>
      </c>
      <c r="B63" s="81" t="s">
        <v>43</v>
      </c>
      <c r="C63" s="81" t="s">
        <v>151</v>
      </c>
      <c r="D63" s="81" t="s">
        <v>45</v>
      </c>
      <c r="E63" s="81" t="s">
        <v>2398</v>
      </c>
      <c r="F63" s="81" t="s">
        <v>2399</v>
      </c>
      <c r="G63" s="81" t="s">
        <v>5137</v>
      </c>
      <c r="H63" s="81" t="s">
        <v>2463</v>
      </c>
      <c r="I63" s="81" t="s">
        <v>5574</v>
      </c>
      <c r="J63" s="81" t="s">
        <v>2186</v>
      </c>
      <c r="K63" s="81" t="s">
        <v>5574</v>
      </c>
      <c r="L63" s="81" t="s">
        <v>2392</v>
      </c>
      <c r="M63" s="81" t="s">
        <v>5574</v>
      </c>
      <c r="N63" s="81" t="s">
        <v>2231</v>
      </c>
      <c r="O63" s="81" t="s">
        <v>2187</v>
      </c>
      <c r="P63" s="81" t="s">
        <v>2187</v>
      </c>
      <c r="Q63" s="81" t="s">
        <v>152</v>
      </c>
      <c r="R63" s="81" t="s">
        <v>46</v>
      </c>
      <c r="S63" s="81" t="s">
        <v>46</v>
      </c>
      <c r="T63" s="81" t="s">
        <v>48</v>
      </c>
      <c r="U63" s="81" t="s">
        <v>48</v>
      </c>
      <c r="V63" s="81" t="s">
        <v>48</v>
      </c>
      <c r="W63" s="81" t="s">
        <v>49</v>
      </c>
      <c r="X63" s="81" t="s">
        <v>48</v>
      </c>
      <c r="Y63" s="81" t="s">
        <v>48</v>
      </c>
    </row>
    <row r="64" spans="1:25" x14ac:dyDescent="0.3">
      <c r="A64" s="16">
        <v>7502009740497</v>
      </c>
      <c r="B64" s="81" t="s">
        <v>43</v>
      </c>
      <c r="C64" s="81" t="s">
        <v>2096</v>
      </c>
      <c r="D64" s="81" t="s">
        <v>45</v>
      </c>
      <c r="E64" s="81" t="s">
        <v>2245</v>
      </c>
      <c r="F64" s="81" t="s">
        <v>2402</v>
      </c>
      <c r="G64" s="81" t="s">
        <v>4847</v>
      </c>
      <c r="H64" s="81" t="s">
        <v>2343</v>
      </c>
      <c r="I64" s="81" t="s">
        <v>5575</v>
      </c>
      <c r="J64" s="81" t="s">
        <v>2186</v>
      </c>
      <c r="K64" s="81" t="s">
        <v>5575</v>
      </c>
      <c r="L64" s="81" t="s">
        <v>2392</v>
      </c>
      <c r="M64" s="81" t="s">
        <v>5575</v>
      </c>
      <c r="N64" s="81" t="s">
        <v>2231</v>
      </c>
      <c r="O64" s="81" t="s">
        <v>2187</v>
      </c>
      <c r="P64" s="81" t="s">
        <v>2187</v>
      </c>
      <c r="Q64" s="81" t="s">
        <v>153</v>
      </c>
      <c r="R64" s="81" t="s">
        <v>51</v>
      </c>
      <c r="S64" s="81" t="s">
        <v>81</v>
      </c>
      <c r="T64" s="81" t="s">
        <v>49</v>
      </c>
      <c r="U64" s="81" t="s">
        <v>48</v>
      </c>
      <c r="V64" s="81" t="s">
        <v>48</v>
      </c>
      <c r="W64" s="81" t="s">
        <v>49</v>
      </c>
      <c r="X64" s="81" t="s">
        <v>48</v>
      </c>
      <c r="Y64" s="81" t="s">
        <v>48</v>
      </c>
    </row>
    <row r="65" spans="1:25" x14ac:dyDescent="0.3">
      <c r="A65" s="16">
        <v>7502009745997</v>
      </c>
      <c r="B65" s="81" t="s">
        <v>43</v>
      </c>
      <c r="C65" s="81" t="s">
        <v>154</v>
      </c>
      <c r="D65" s="81" t="s">
        <v>45</v>
      </c>
      <c r="E65" s="81" t="s">
        <v>2354</v>
      </c>
      <c r="F65" s="81" t="s">
        <v>2404</v>
      </c>
      <c r="G65" s="81" t="s">
        <v>5374</v>
      </c>
      <c r="H65" s="81" t="s">
        <v>2218</v>
      </c>
      <c r="I65" s="81" t="s">
        <v>5576</v>
      </c>
      <c r="J65" s="81" t="s">
        <v>2186</v>
      </c>
      <c r="K65" s="81" t="s">
        <v>5576</v>
      </c>
      <c r="L65" s="81" t="s">
        <v>2392</v>
      </c>
      <c r="M65" s="81" t="s">
        <v>5576</v>
      </c>
      <c r="N65" s="81" t="s">
        <v>2231</v>
      </c>
      <c r="O65" s="81" t="s">
        <v>2187</v>
      </c>
      <c r="P65" s="81" t="s">
        <v>2187</v>
      </c>
      <c r="Q65" s="81" t="s">
        <v>43</v>
      </c>
      <c r="R65" s="81" t="s">
        <v>46</v>
      </c>
      <c r="S65" s="81" t="s">
        <v>46</v>
      </c>
      <c r="T65" s="81" t="s">
        <v>48</v>
      </c>
      <c r="U65" s="81" t="s">
        <v>48</v>
      </c>
      <c r="V65" s="81" t="s">
        <v>48</v>
      </c>
      <c r="W65" s="81" t="s">
        <v>49</v>
      </c>
      <c r="X65" s="81" t="s">
        <v>48</v>
      </c>
      <c r="Y65" s="81" t="s">
        <v>48</v>
      </c>
    </row>
    <row r="66" spans="1:25" x14ac:dyDescent="0.3">
      <c r="A66" s="16">
        <v>7502009745478</v>
      </c>
      <c r="B66" s="81" t="s">
        <v>43</v>
      </c>
      <c r="C66" s="81" t="s">
        <v>155</v>
      </c>
      <c r="D66" s="81" t="s">
        <v>45</v>
      </c>
      <c r="E66" s="81" t="s">
        <v>2248</v>
      </c>
      <c r="F66" s="81" t="s">
        <v>2405</v>
      </c>
      <c r="G66" s="81" t="s">
        <v>5453</v>
      </c>
      <c r="H66" s="81" t="s">
        <v>2400</v>
      </c>
      <c r="I66" s="81" t="s">
        <v>5577</v>
      </c>
      <c r="J66" s="81" t="s">
        <v>2186</v>
      </c>
      <c r="K66" s="81" t="s">
        <v>5577</v>
      </c>
      <c r="L66" s="81" t="s">
        <v>2392</v>
      </c>
      <c r="M66" s="81" t="s">
        <v>5577</v>
      </c>
      <c r="N66" s="81" t="s">
        <v>2231</v>
      </c>
      <c r="O66" s="81" t="s">
        <v>2187</v>
      </c>
      <c r="P66" s="81" t="s">
        <v>2187</v>
      </c>
      <c r="Q66" s="81" t="s">
        <v>156</v>
      </c>
      <c r="R66" s="81" t="s">
        <v>46</v>
      </c>
      <c r="S66" s="81" t="s">
        <v>47</v>
      </c>
      <c r="T66" s="81" t="s">
        <v>48</v>
      </c>
      <c r="U66" s="81" t="s">
        <v>48</v>
      </c>
      <c r="V66" s="81" t="s">
        <v>48</v>
      </c>
      <c r="W66" s="81" t="s">
        <v>49</v>
      </c>
      <c r="X66" s="81" t="s">
        <v>48</v>
      </c>
      <c r="Y66" s="81" t="s">
        <v>48</v>
      </c>
    </row>
    <row r="67" spans="1:25" x14ac:dyDescent="0.3">
      <c r="A67" s="16">
        <v>7502009747236</v>
      </c>
      <c r="B67" s="81" t="s">
        <v>43</v>
      </c>
      <c r="C67" s="81" t="s">
        <v>2097</v>
      </c>
      <c r="D67" s="81" t="s">
        <v>45</v>
      </c>
      <c r="E67" s="81" t="s">
        <v>2409</v>
      </c>
      <c r="F67" s="81" t="s">
        <v>2410</v>
      </c>
      <c r="G67" s="81" t="s">
        <v>4451</v>
      </c>
      <c r="H67" s="81" t="s">
        <v>2264</v>
      </c>
      <c r="I67" s="81" t="s">
        <v>5578</v>
      </c>
      <c r="J67" s="81" t="s">
        <v>2186</v>
      </c>
      <c r="K67" s="81" t="s">
        <v>5578</v>
      </c>
      <c r="L67" s="81" t="s">
        <v>2392</v>
      </c>
      <c r="M67" s="81" t="s">
        <v>5578</v>
      </c>
      <c r="N67" s="81" t="s">
        <v>2231</v>
      </c>
      <c r="O67" s="81" t="s">
        <v>2187</v>
      </c>
      <c r="P67" s="81" t="s">
        <v>2187</v>
      </c>
      <c r="Q67" s="81" t="s">
        <v>157</v>
      </c>
      <c r="R67" s="81" t="s">
        <v>46</v>
      </c>
      <c r="S67" s="81" t="s">
        <v>47</v>
      </c>
      <c r="T67" s="81" t="s">
        <v>48</v>
      </c>
      <c r="U67" s="81" t="s">
        <v>48</v>
      </c>
      <c r="V67" s="81" t="s">
        <v>48</v>
      </c>
      <c r="W67" s="81" t="s">
        <v>49</v>
      </c>
      <c r="X67" s="81" t="s">
        <v>48</v>
      </c>
      <c r="Y67" s="81" t="s">
        <v>48</v>
      </c>
    </row>
    <row r="68" spans="1:25" x14ac:dyDescent="0.3">
      <c r="A68" s="16">
        <v>7502009741753</v>
      </c>
      <c r="B68" s="81" t="s">
        <v>43</v>
      </c>
      <c r="C68" s="81" t="s">
        <v>2098</v>
      </c>
      <c r="D68" s="81" t="s">
        <v>45</v>
      </c>
      <c r="E68" s="81" t="s">
        <v>2233</v>
      </c>
      <c r="F68" s="81" t="s">
        <v>2234</v>
      </c>
      <c r="G68" s="81" t="s">
        <v>2411</v>
      </c>
      <c r="H68" s="81" t="s">
        <v>2236</v>
      </c>
      <c r="I68" s="81" t="s">
        <v>5579</v>
      </c>
      <c r="J68" s="81" t="s">
        <v>2186</v>
      </c>
      <c r="K68" s="81" t="s">
        <v>5579</v>
      </c>
      <c r="L68" s="81" t="s">
        <v>2392</v>
      </c>
      <c r="M68" s="81" t="s">
        <v>5579</v>
      </c>
      <c r="N68" s="81" t="s">
        <v>2231</v>
      </c>
      <c r="O68" s="81" t="s">
        <v>2187</v>
      </c>
      <c r="P68" s="81" t="s">
        <v>2187</v>
      </c>
      <c r="Q68" s="81" t="s">
        <v>158</v>
      </c>
      <c r="R68" s="81" t="s">
        <v>46</v>
      </c>
      <c r="S68" s="81" t="s">
        <v>47</v>
      </c>
      <c r="T68" s="81" t="s">
        <v>48</v>
      </c>
      <c r="U68" s="81" t="s">
        <v>48</v>
      </c>
      <c r="V68" s="81" t="s">
        <v>48</v>
      </c>
      <c r="W68" s="81" t="s">
        <v>49</v>
      </c>
      <c r="X68" s="81" t="s">
        <v>48</v>
      </c>
      <c r="Y68" s="81" t="s">
        <v>48</v>
      </c>
    </row>
    <row r="69" spans="1:25" x14ac:dyDescent="0.3">
      <c r="A69" s="16">
        <v>7502009745485</v>
      </c>
      <c r="B69" s="81" t="s">
        <v>43</v>
      </c>
      <c r="C69" s="81" t="s">
        <v>159</v>
      </c>
      <c r="D69" s="81" t="s">
        <v>45</v>
      </c>
      <c r="E69" s="81" t="s">
        <v>2227</v>
      </c>
      <c r="F69" s="81" t="s">
        <v>2412</v>
      </c>
      <c r="G69" s="81" t="s">
        <v>5454</v>
      </c>
      <c r="H69" s="81" t="s">
        <v>2193</v>
      </c>
      <c r="I69" s="81" t="s">
        <v>5580</v>
      </c>
      <c r="J69" s="81" t="s">
        <v>2186</v>
      </c>
      <c r="K69" s="81" t="s">
        <v>5580</v>
      </c>
      <c r="L69" s="81" t="s">
        <v>2392</v>
      </c>
      <c r="M69" s="81" t="s">
        <v>5580</v>
      </c>
      <c r="N69" s="81" t="s">
        <v>2231</v>
      </c>
      <c r="O69" s="81" t="s">
        <v>2187</v>
      </c>
      <c r="P69" s="81" t="s">
        <v>2187</v>
      </c>
      <c r="Q69" s="81" t="s">
        <v>43</v>
      </c>
      <c r="R69" s="81" t="s">
        <v>46</v>
      </c>
      <c r="S69" s="81" t="s">
        <v>47</v>
      </c>
      <c r="T69" s="81" t="s">
        <v>48</v>
      </c>
      <c r="U69" s="81" t="s">
        <v>48</v>
      </c>
      <c r="V69" s="81" t="s">
        <v>48</v>
      </c>
      <c r="W69" s="81" t="s">
        <v>49</v>
      </c>
      <c r="X69" s="81" t="s">
        <v>48</v>
      </c>
      <c r="Y69" s="81" t="s">
        <v>48</v>
      </c>
    </row>
    <row r="70" spans="1:25" x14ac:dyDescent="0.3">
      <c r="A70" s="16">
        <v>7502009744358</v>
      </c>
      <c r="B70" s="81" t="s">
        <v>43</v>
      </c>
      <c r="C70" s="81" t="s">
        <v>160</v>
      </c>
      <c r="D70" s="81" t="s">
        <v>45</v>
      </c>
      <c r="E70" s="81" t="s">
        <v>2294</v>
      </c>
      <c r="F70" s="81" t="s">
        <v>2295</v>
      </c>
      <c r="G70" s="81" t="s">
        <v>5581</v>
      </c>
      <c r="H70" s="81" t="s">
        <v>2220</v>
      </c>
      <c r="I70" s="81" t="s">
        <v>4659</v>
      </c>
      <c r="J70" s="81" t="s">
        <v>2186</v>
      </c>
      <c r="K70" s="81" t="s">
        <v>4659</v>
      </c>
      <c r="L70" s="81" t="s">
        <v>2392</v>
      </c>
      <c r="M70" s="81" t="s">
        <v>4659</v>
      </c>
      <c r="N70" s="81" t="s">
        <v>2231</v>
      </c>
      <c r="O70" s="81" t="s">
        <v>2187</v>
      </c>
      <c r="P70" s="81" t="s">
        <v>2187</v>
      </c>
      <c r="Q70" s="81" t="s">
        <v>161</v>
      </c>
      <c r="R70" s="81" t="s">
        <v>46</v>
      </c>
      <c r="S70" s="81" t="s">
        <v>47</v>
      </c>
      <c r="T70" s="81" t="s">
        <v>48</v>
      </c>
      <c r="U70" s="81" t="s">
        <v>48</v>
      </c>
      <c r="V70" s="81" t="s">
        <v>48</v>
      </c>
      <c r="W70" s="81" t="s">
        <v>49</v>
      </c>
      <c r="X70" s="81" t="s">
        <v>48</v>
      </c>
      <c r="Y70" s="81" t="s">
        <v>48</v>
      </c>
    </row>
    <row r="71" spans="1:25" x14ac:dyDescent="0.3">
      <c r="A71" s="16">
        <v>7502009745928</v>
      </c>
      <c r="B71" s="81" t="s">
        <v>43</v>
      </c>
      <c r="C71" s="81" t="s">
        <v>2414</v>
      </c>
      <c r="D71" s="81" t="s">
        <v>45</v>
      </c>
      <c r="E71" s="81" t="s">
        <v>2227</v>
      </c>
      <c r="F71" s="81" t="s">
        <v>2227</v>
      </c>
      <c r="G71" s="81" t="s">
        <v>5375</v>
      </c>
      <c r="H71" s="81" t="s">
        <v>2315</v>
      </c>
      <c r="I71" s="81" t="s">
        <v>5582</v>
      </c>
      <c r="J71" s="81" t="s">
        <v>2186</v>
      </c>
      <c r="K71" s="81" t="s">
        <v>5582</v>
      </c>
      <c r="L71" s="81" t="s">
        <v>2392</v>
      </c>
      <c r="M71" s="81" t="s">
        <v>5582</v>
      </c>
      <c r="N71" s="81" t="s">
        <v>2231</v>
      </c>
      <c r="O71" s="81" t="s">
        <v>2187</v>
      </c>
      <c r="P71" s="81" t="s">
        <v>2187</v>
      </c>
      <c r="Q71" s="81" t="s">
        <v>2418</v>
      </c>
      <c r="R71" s="81" t="s">
        <v>51</v>
      </c>
      <c r="S71" s="81" t="s">
        <v>81</v>
      </c>
      <c r="T71" s="81" t="s">
        <v>49</v>
      </c>
      <c r="U71" s="81" t="s">
        <v>48</v>
      </c>
      <c r="V71" s="81" t="s">
        <v>48</v>
      </c>
      <c r="W71" s="81" t="s">
        <v>49</v>
      </c>
      <c r="X71" s="81" t="s">
        <v>48</v>
      </c>
      <c r="Y71" s="81" t="s">
        <v>48</v>
      </c>
    </row>
    <row r="72" spans="1:25" x14ac:dyDescent="0.3">
      <c r="A72" s="16">
        <v>7502009745584</v>
      </c>
      <c r="B72" s="81" t="s">
        <v>43</v>
      </c>
      <c r="C72" s="81" t="s">
        <v>162</v>
      </c>
      <c r="D72" s="81" t="s">
        <v>45</v>
      </c>
      <c r="E72" s="81" t="s">
        <v>2419</v>
      </c>
      <c r="F72" s="81" t="s">
        <v>2420</v>
      </c>
      <c r="G72" s="81" t="s">
        <v>5455</v>
      </c>
      <c r="H72" s="81" t="s">
        <v>5583</v>
      </c>
      <c r="I72" s="81" t="s">
        <v>5584</v>
      </c>
      <c r="J72" s="81" t="s">
        <v>2186</v>
      </c>
      <c r="K72" s="81" t="s">
        <v>5584</v>
      </c>
      <c r="L72" s="81" t="s">
        <v>2392</v>
      </c>
      <c r="M72" s="81" t="s">
        <v>5584</v>
      </c>
      <c r="N72" s="81" t="s">
        <v>2231</v>
      </c>
      <c r="O72" s="81" t="s">
        <v>2187</v>
      </c>
      <c r="P72" s="81" t="s">
        <v>2187</v>
      </c>
      <c r="Q72" s="81" t="s">
        <v>163</v>
      </c>
      <c r="R72" s="81" t="s">
        <v>46</v>
      </c>
      <c r="S72" s="81" t="s">
        <v>164</v>
      </c>
      <c r="T72" s="81" t="s">
        <v>48</v>
      </c>
      <c r="U72" s="81" t="s">
        <v>48</v>
      </c>
      <c r="V72" s="81" t="s">
        <v>48</v>
      </c>
      <c r="W72" s="81" t="s">
        <v>49</v>
      </c>
      <c r="X72" s="81" t="s">
        <v>48</v>
      </c>
      <c r="Y72" s="81" t="s">
        <v>48</v>
      </c>
    </row>
    <row r="73" spans="1:25" x14ac:dyDescent="0.3">
      <c r="A73" s="16">
        <v>7502009741050</v>
      </c>
      <c r="B73" s="81" t="s">
        <v>43</v>
      </c>
      <c r="C73" s="81" t="s">
        <v>1867</v>
      </c>
      <c r="D73" s="81" t="s">
        <v>45</v>
      </c>
      <c r="E73" s="81" t="s">
        <v>2422</v>
      </c>
      <c r="F73" s="81" t="s">
        <v>2423</v>
      </c>
      <c r="G73" s="81" t="s">
        <v>5235</v>
      </c>
      <c r="H73" s="81" t="s">
        <v>2424</v>
      </c>
      <c r="I73" s="81" t="s">
        <v>5585</v>
      </c>
      <c r="J73" s="81" t="s">
        <v>2186</v>
      </c>
      <c r="K73" s="81" t="s">
        <v>5585</v>
      </c>
      <c r="L73" s="81" t="s">
        <v>2392</v>
      </c>
      <c r="M73" s="81" t="s">
        <v>5585</v>
      </c>
      <c r="N73" s="81" t="s">
        <v>2231</v>
      </c>
      <c r="O73" s="81" t="s">
        <v>2187</v>
      </c>
      <c r="P73" s="81" t="s">
        <v>2187</v>
      </c>
      <c r="Q73" s="81" t="s">
        <v>165</v>
      </c>
      <c r="R73" s="81" t="s">
        <v>51</v>
      </c>
      <c r="S73" s="81" t="s">
        <v>81</v>
      </c>
      <c r="T73" s="81" t="s">
        <v>49</v>
      </c>
      <c r="U73" s="81" t="s">
        <v>48</v>
      </c>
      <c r="V73" s="81" t="s">
        <v>48</v>
      </c>
      <c r="W73" s="81" t="s">
        <v>49</v>
      </c>
      <c r="X73" s="81" t="s">
        <v>48</v>
      </c>
      <c r="Y73" s="81" t="s">
        <v>48</v>
      </c>
    </row>
    <row r="74" spans="1:25" x14ac:dyDescent="0.3">
      <c r="A74" s="16">
        <v>785120754681</v>
      </c>
      <c r="B74" s="81" t="s">
        <v>43</v>
      </c>
      <c r="C74" s="81" t="s">
        <v>1868</v>
      </c>
      <c r="D74" s="81" t="s">
        <v>45</v>
      </c>
      <c r="E74" s="81" t="s">
        <v>2427</v>
      </c>
      <c r="F74" s="81" t="s">
        <v>2428</v>
      </c>
      <c r="G74" s="81" t="s">
        <v>3530</v>
      </c>
      <c r="H74" s="81" t="s">
        <v>2209</v>
      </c>
      <c r="I74" s="81" t="s">
        <v>5586</v>
      </c>
      <c r="J74" s="81" t="s">
        <v>2186</v>
      </c>
      <c r="K74" s="81" t="s">
        <v>5586</v>
      </c>
      <c r="L74" s="81" t="s">
        <v>2392</v>
      </c>
      <c r="M74" s="81" t="s">
        <v>5586</v>
      </c>
      <c r="N74" s="81" t="s">
        <v>2231</v>
      </c>
      <c r="O74" s="81" t="s">
        <v>2187</v>
      </c>
      <c r="P74" s="81" t="s">
        <v>2187</v>
      </c>
      <c r="Q74" s="81" t="s">
        <v>166</v>
      </c>
      <c r="R74" s="81" t="s">
        <v>46</v>
      </c>
      <c r="S74" s="81" t="s">
        <v>46</v>
      </c>
      <c r="T74" s="81" t="s">
        <v>48</v>
      </c>
      <c r="U74" s="81" t="s">
        <v>48</v>
      </c>
      <c r="V74" s="81" t="s">
        <v>48</v>
      </c>
      <c r="W74" s="81" t="s">
        <v>49</v>
      </c>
      <c r="X74" s="81" t="s">
        <v>48</v>
      </c>
      <c r="Y74" s="81" t="s">
        <v>48</v>
      </c>
    </row>
    <row r="75" spans="1:25" x14ac:dyDescent="0.3">
      <c r="A75" s="16">
        <v>785118754235</v>
      </c>
      <c r="B75" s="81" t="s">
        <v>43</v>
      </c>
      <c r="C75" s="81" t="s">
        <v>167</v>
      </c>
      <c r="D75" s="81" t="s">
        <v>45</v>
      </c>
      <c r="E75" s="81" t="s">
        <v>2431</v>
      </c>
      <c r="F75" s="81" t="s">
        <v>2432</v>
      </c>
      <c r="G75" s="81" t="s">
        <v>5431</v>
      </c>
      <c r="H75" s="81" t="s">
        <v>2429</v>
      </c>
      <c r="I75" s="81" t="s">
        <v>5587</v>
      </c>
      <c r="J75" s="81" t="s">
        <v>2186</v>
      </c>
      <c r="K75" s="81" t="s">
        <v>5587</v>
      </c>
      <c r="L75" s="81" t="s">
        <v>2392</v>
      </c>
      <c r="M75" s="81" t="s">
        <v>5587</v>
      </c>
      <c r="N75" s="81" t="s">
        <v>2231</v>
      </c>
      <c r="O75" s="81" t="s">
        <v>2187</v>
      </c>
      <c r="P75" s="81" t="s">
        <v>2187</v>
      </c>
      <c r="Q75" s="81" t="s">
        <v>168</v>
      </c>
      <c r="R75" s="81" t="s">
        <v>46</v>
      </c>
      <c r="S75" s="81" t="s">
        <v>46</v>
      </c>
      <c r="T75" s="81" t="s">
        <v>48</v>
      </c>
      <c r="U75" s="81" t="s">
        <v>48</v>
      </c>
      <c r="V75" s="81" t="s">
        <v>48</v>
      </c>
      <c r="W75" s="81" t="s">
        <v>49</v>
      </c>
      <c r="X75" s="81" t="s">
        <v>48</v>
      </c>
      <c r="Y75" s="81" t="s">
        <v>48</v>
      </c>
    </row>
    <row r="76" spans="1:25" x14ac:dyDescent="0.3">
      <c r="A76" s="16">
        <v>785118754204</v>
      </c>
      <c r="B76" s="81" t="s">
        <v>43</v>
      </c>
      <c r="C76" s="81" t="s">
        <v>1869</v>
      </c>
      <c r="D76" s="81" t="s">
        <v>45</v>
      </c>
      <c r="E76" s="81" t="s">
        <v>2433</v>
      </c>
      <c r="F76" s="81" t="s">
        <v>2288</v>
      </c>
      <c r="G76" s="81" t="s">
        <v>5189</v>
      </c>
      <c r="H76" s="81" t="s">
        <v>2699</v>
      </c>
      <c r="I76" s="81" t="s">
        <v>5138</v>
      </c>
      <c r="J76" s="81" t="s">
        <v>2186</v>
      </c>
      <c r="K76" s="81" t="s">
        <v>5138</v>
      </c>
      <c r="L76" s="81" t="s">
        <v>2392</v>
      </c>
      <c r="M76" s="81" t="s">
        <v>5138</v>
      </c>
      <c r="N76" s="81" t="s">
        <v>2231</v>
      </c>
      <c r="O76" s="81" t="s">
        <v>2187</v>
      </c>
      <c r="P76" s="81" t="s">
        <v>2187</v>
      </c>
      <c r="Q76" s="81" t="s">
        <v>169</v>
      </c>
      <c r="R76" s="81" t="s">
        <v>46</v>
      </c>
      <c r="S76" s="81" t="s">
        <v>47</v>
      </c>
      <c r="T76" s="81" t="s">
        <v>48</v>
      </c>
      <c r="U76" s="81" t="s">
        <v>48</v>
      </c>
      <c r="V76" s="81" t="s">
        <v>48</v>
      </c>
      <c r="W76" s="81" t="s">
        <v>49</v>
      </c>
      <c r="X76" s="81" t="s">
        <v>48</v>
      </c>
      <c r="Y76" s="81" t="s">
        <v>48</v>
      </c>
    </row>
    <row r="77" spans="1:25" x14ac:dyDescent="0.3">
      <c r="A77" s="16">
        <v>785118753962</v>
      </c>
      <c r="B77" s="81" t="s">
        <v>43</v>
      </c>
      <c r="C77" s="81" t="s">
        <v>170</v>
      </c>
      <c r="D77" s="81" t="s">
        <v>45</v>
      </c>
      <c r="E77" s="81" t="s">
        <v>2304</v>
      </c>
      <c r="F77" s="81" t="s">
        <v>2435</v>
      </c>
      <c r="G77" s="81" t="s">
        <v>5376</v>
      </c>
      <c r="H77" s="81" t="s">
        <v>2415</v>
      </c>
      <c r="I77" s="81" t="s">
        <v>5588</v>
      </c>
      <c r="J77" s="81" t="s">
        <v>2186</v>
      </c>
      <c r="K77" s="81" t="s">
        <v>5588</v>
      </c>
      <c r="L77" s="81" t="s">
        <v>2392</v>
      </c>
      <c r="M77" s="81" t="s">
        <v>5588</v>
      </c>
      <c r="N77" s="81" t="s">
        <v>2231</v>
      </c>
      <c r="O77" s="81" t="s">
        <v>2187</v>
      </c>
      <c r="P77" s="81" t="s">
        <v>2187</v>
      </c>
      <c r="Q77" s="81" t="s">
        <v>171</v>
      </c>
      <c r="R77" s="81" t="s">
        <v>46</v>
      </c>
      <c r="S77" s="81" t="s">
        <v>47</v>
      </c>
      <c r="T77" s="81" t="s">
        <v>48</v>
      </c>
      <c r="U77" s="81" t="s">
        <v>48</v>
      </c>
      <c r="V77" s="81" t="s">
        <v>48</v>
      </c>
      <c r="W77" s="81" t="s">
        <v>49</v>
      </c>
      <c r="X77" s="81" t="s">
        <v>48</v>
      </c>
      <c r="Y77" s="81" t="s">
        <v>48</v>
      </c>
    </row>
    <row r="78" spans="1:25" x14ac:dyDescent="0.3">
      <c r="A78" s="16">
        <v>785118752965</v>
      </c>
      <c r="B78" s="81" t="s">
        <v>43</v>
      </c>
      <c r="C78" s="81" t="s">
        <v>172</v>
      </c>
      <c r="D78" s="81" t="s">
        <v>45</v>
      </c>
      <c r="E78" s="81" t="s">
        <v>2221</v>
      </c>
      <c r="F78" s="81" t="s">
        <v>2222</v>
      </c>
      <c r="G78" s="81" t="s">
        <v>5432</v>
      </c>
      <c r="H78" s="81" t="s">
        <v>2438</v>
      </c>
      <c r="I78" s="81" t="s">
        <v>5589</v>
      </c>
      <c r="J78" s="81" t="s">
        <v>2186</v>
      </c>
      <c r="K78" s="81" t="s">
        <v>5589</v>
      </c>
      <c r="L78" s="81" t="s">
        <v>2392</v>
      </c>
      <c r="M78" s="81" t="s">
        <v>5589</v>
      </c>
      <c r="N78" s="81" t="s">
        <v>2231</v>
      </c>
      <c r="O78" s="81" t="s">
        <v>2187</v>
      </c>
      <c r="P78" s="81" t="s">
        <v>2187</v>
      </c>
      <c r="Q78" s="81" t="s">
        <v>171</v>
      </c>
      <c r="R78" s="81" t="s">
        <v>46</v>
      </c>
      <c r="S78" s="81" t="s">
        <v>47</v>
      </c>
      <c r="T78" s="81" t="s">
        <v>48</v>
      </c>
      <c r="U78" s="81" t="s">
        <v>48</v>
      </c>
      <c r="V78" s="81" t="s">
        <v>48</v>
      </c>
      <c r="W78" s="81" t="s">
        <v>49</v>
      </c>
      <c r="X78" s="81" t="s">
        <v>48</v>
      </c>
      <c r="Y78" s="81" t="s">
        <v>48</v>
      </c>
    </row>
    <row r="79" spans="1:25" x14ac:dyDescent="0.3">
      <c r="A79" s="16">
        <v>785118753818</v>
      </c>
      <c r="B79" s="81" t="s">
        <v>43</v>
      </c>
      <c r="C79" s="81" t="s">
        <v>173</v>
      </c>
      <c r="D79" s="81" t="s">
        <v>45</v>
      </c>
      <c r="E79" s="81" t="s">
        <v>2354</v>
      </c>
      <c r="F79" s="81" t="s">
        <v>2355</v>
      </c>
      <c r="G79" s="81" t="s">
        <v>5433</v>
      </c>
      <c r="H79" s="81" t="s">
        <v>2220</v>
      </c>
      <c r="I79" s="81" t="s">
        <v>5590</v>
      </c>
      <c r="J79" s="81" t="s">
        <v>2186</v>
      </c>
      <c r="K79" s="81" t="s">
        <v>5590</v>
      </c>
      <c r="L79" s="81" t="s">
        <v>2392</v>
      </c>
      <c r="M79" s="81" t="s">
        <v>5590</v>
      </c>
      <c r="N79" s="81" t="s">
        <v>2231</v>
      </c>
      <c r="O79" s="81" t="s">
        <v>2187</v>
      </c>
      <c r="P79" s="81" t="s">
        <v>2187</v>
      </c>
      <c r="Q79" s="81" t="s">
        <v>171</v>
      </c>
      <c r="R79" s="81" t="s">
        <v>46</v>
      </c>
      <c r="S79" s="81" t="s">
        <v>47</v>
      </c>
      <c r="T79" s="81" t="s">
        <v>48</v>
      </c>
      <c r="U79" s="81" t="s">
        <v>48</v>
      </c>
      <c r="V79" s="81" t="s">
        <v>48</v>
      </c>
      <c r="W79" s="81" t="s">
        <v>49</v>
      </c>
      <c r="X79" s="81" t="s">
        <v>48</v>
      </c>
      <c r="Y79" s="81" t="s">
        <v>48</v>
      </c>
    </row>
    <row r="80" spans="1:25" x14ac:dyDescent="0.3">
      <c r="A80" s="16">
        <v>7501075714739</v>
      </c>
      <c r="B80" s="81" t="s">
        <v>43</v>
      </c>
      <c r="C80" s="81" t="s">
        <v>174</v>
      </c>
      <c r="D80" s="81" t="s">
        <v>45</v>
      </c>
      <c r="E80" s="81" t="s">
        <v>2211</v>
      </c>
      <c r="F80" s="81" t="s">
        <v>2348</v>
      </c>
      <c r="G80" s="81" t="s">
        <v>2748</v>
      </c>
      <c r="H80" s="81" t="s">
        <v>5591</v>
      </c>
      <c r="I80" s="81" t="s">
        <v>5592</v>
      </c>
      <c r="J80" s="81" t="s">
        <v>2186</v>
      </c>
      <c r="K80" s="81" t="s">
        <v>5592</v>
      </c>
      <c r="L80" s="81" t="s">
        <v>2392</v>
      </c>
      <c r="M80" s="81" t="s">
        <v>5592</v>
      </c>
      <c r="N80" s="81" t="s">
        <v>2231</v>
      </c>
      <c r="O80" s="81" t="s">
        <v>2187</v>
      </c>
      <c r="P80" s="81" t="s">
        <v>2187</v>
      </c>
      <c r="Q80" s="81" t="s">
        <v>43</v>
      </c>
      <c r="R80" s="81" t="s">
        <v>46</v>
      </c>
      <c r="S80" s="81" t="s">
        <v>47</v>
      </c>
      <c r="T80" s="81" t="s">
        <v>48</v>
      </c>
      <c r="U80" s="81" t="s">
        <v>48</v>
      </c>
      <c r="V80" s="81" t="s">
        <v>48</v>
      </c>
      <c r="W80" s="81" t="s">
        <v>49</v>
      </c>
      <c r="X80" s="81" t="s">
        <v>48</v>
      </c>
      <c r="Y80" s="81" t="s">
        <v>48</v>
      </c>
    </row>
    <row r="81" spans="1:25" x14ac:dyDescent="0.3">
      <c r="A81" s="16">
        <v>7501075721164</v>
      </c>
      <c r="B81" s="81" t="s">
        <v>43</v>
      </c>
      <c r="C81" s="81" t="s">
        <v>175</v>
      </c>
      <c r="D81" s="81" t="s">
        <v>45</v>
      </c>
      <c r="E81" s="81" t="s">
        <v>2439</v>
      </c>
      <c r="F81" s="81" t="s">
        <v>2280</v>
      </c>
      <c r="G81" s="81" t="s">
        <v>4848</v>
      </c>
      <c r="H81" s="81" t="s">
        <v>2437</v>
      </c>
      <c r="I81" s="81" t="s">
        <v>5593</v>
      </c>
      <c r="J81" s="81" t="s">
        <v>2186</v>
      </c>
      <c r="K81" s="81" t="s">
        <v>5593</v>
      </c>
      <c r="L81" s="81" t="s">
        <v>2392</v>
      </c>
      <c r="M81" s="81" t="s">
        <v>5593</v>
      </c>
      <c r="N81" s="81" t="s">
        <v>2231</v>
      </c>
      <c r="O81" s="81" t="s">
        <v>2187</v>
      </c>
      <c r="P81" s="81" t="s">
        <v>2187</v>
      </c>
      <c r="Q81" s="81" t="s">
        <v>176</v>
      </c>
      <c r="R81" s="81" t="s">
        <v>46</v>
      </c>
      <c r="S81" s="81" t="s">
        <v>47</v>
      </c>
      <c r="T81" s="81" t="s">
        <v>48</v>
      </c>
      <c r="U81" s="81" t="s">
        <v>48</v>
      </c>
      <c r="V81" s="81" t="s">
        <v>48</v>
      </c>
      <c r="W81" s="81" t="s">
        <v>49</v>
      </c>
      <c r="X81" s="81" t="s">
        <v>48</v>
      </c>
      <c r="Y81" s="81" t="s">
        <v>48</v>
      </c>
    </row>
    <row r="82" spans="1:25" x14ac:dyDescent="0.3">
      <c r="A82" s="16">
        <v>7501075717150</v>
      </c>
      <c r="B82" s="81" t="s">
        <v>43</v>
      </c>
      <c r="C82" s="81" t="s">
        <v>177</v>
      </c>
      <c r="D82" s="81" t="s">
        <v>45</v>
      </c>
      <c r="E82" s="81" t="s">
        <v>2442</v>
      </c>
      <c r="F82" s="81" t="s">
        <v>2443</v>
      </c>
      <c r="G82" s="81" t="s">
        <v>4357</v>
      </c>
      <c r="H82" s="81" t="s">
        <v>2181</v>
      </c>
      <c r="I82" s="81" t="s">
        <v>5594</v>
      </c>
      <c r="J82" s="81" t="s">
        <v>2186</v>
      </c>
      <c r="K82" s="81" t="s">
        <v>5594</v>
      </c>
      <c r="L82" s="81" t="s">
        <v>2392</v>
      </c>
      <c r="M82" s="81" t="s">
        <v>5594</v>
      </c>
      <c r="N82" s="81" t="s">
        <v>2231</v>
      </c>
      <c r="O82" s="81" t="s">
        <v>2187</v>
      </c>
      <c r="P82" s="81" t="s">
        <v>2187</v>
      </c>
      <c r="Q82" s="81" t="s">
        <v>178</v>
      </c>
      <c r="R82" s="81" t="s">
        <v>46</v>
      </c>
      <c r="S82" s="81" t="s">
        <v>47</v>
      </c>
      <c r="T82" s="81" t="s">
        <v>48</v>
      </c>
      <c r="U82" s="81" t="s">
        <v>48</v>
      </c>
      <c r="V82" s="81" t="s">
        <v>48</v>
      </c>
      <c r="W82" s="81" t="s">
        <v>49</v>
      </c>
      <c r="X82" s="81" t="s">
        <v>48</v>
      </c>
      <c r="Y82" s="81" t="s">
        <v>48</v>
      </c>
    </row>
    <row r="83" spans="1:25" x14ac:dyDescent="0.3">
      <c r="A83" s="16">
        <v>7501075714135</v>
      </c>
      <c r="B83" s="81" t="s">
        <v>43</v>
      </c>
      <c r="C83" s="81" t="s">
        <v>179</v>
      </c>
      <c r="D83" s="81" t="s">
        <v>45</v>
      </c>
      <c r="E83" s="81" t="s">
        <v>2444</v>
      </c>
      <c r="F83" s="81" t="s">
        <v>2445</v>
      </c>
      <c r="G83" s="81" t="s">
        <v>2446</v>
      </c>
      <c r="H83" s="81" t="s">
        <v>2183</v>
      </c>
      <c r="I83" s="81" t="s">
        <v>5595</v>
      </c>
      <c r="J83" s="81" t="s">
        <v>2186</v>
      </c>
      <c r="K83" s="81" t="s">
        <v>5595</v>
      </c>
      <c r="L83" s="81" t="s">
        <v>2392</v>
      </c>
      <c r="M83" s="81" t="s">
        <v>5595</v>
      </c>
      <c r="N83" s="81" t="s">
        <v>2231</v>
      </c>
      <c r="O83" s="81" t="s">
        <v>2187</v>
      </c>
      <c r="P83" s="81" t="s">
        <v>2187</v>
      </c>
      <c r="Q83" s="81" t="s">
        <v>180</v>
      </c>
      <c r="R83" s="81" t="s">
        <v>46</v>
      </c>
      <c r="S83" s="81" t="s">
        <v>47</v>
      </c>
      <c r="T83" s="81" t="s">
        <v>48</v>
      </c>
      <c r="U83" s="81" t="s">
        <v>48</v>
      </c>
      <c r="V83" s="81" t="s">
        <v>48</v>
      </c>
      <c r="W83" s="81" t="s">
        <v>49</v>
      </c>
      <c r="X83" s="81" t="s">
        <v>48</v>
      </c>
      <c r="Y83" s="81" t="s">
        <v>48</v>
      </c>
    </row>
    <row r="84" spans="1:25" x14ac:dyDescent="0.3">
      <c r="A84" s="16">
        <v>75006433</v>
      </c>
      <c r="B84" s="81" t="s">
        <v>43</v>
      </c>
      <c r="C84" s="81" t="s">
        <v>181</v>
      </c>
      <c r="D84" s="81" t="s">
        <v>45</v>
      </c>
      <c r="E84" s="81" t="s">
        <v>2447</v>
      </c>
      <c r="F84" s="81" t="s">
        <v>2448</v>
      </c>
      <c r="G84" s="81" t="s">
        <v>2449</v>
      </c>
      <c r="H84" s="81" t="s">
        <v>2269</v>
      </c>
      <c r="I84" s="81" t="s">
        <v>5596</v>
      </c>
      <c r="J84" s="81" t="s">
        <v>2186</v>
      </c>
      <c r="K84" s="81" t="s">
        <v>5596</v>
      </c>
      <c r="L84" s="81" t="s">
        <v>2392</v>
      </c>
      <c r="M84" s="81" t="s">
        <v>5596</v>
      </c>
      <c r="N84" s="81" t="s">
        <v>2231</v>
      </c>
      <c r="O84" s="81" t="s">
        <v>2187</v>
      </c>
      <c r="P84" s="81" t="s">
        <v>2187</v>
      </c>
      <c r="Q84" s="81" t="s">
        <v>182</v>
      </c>
      <c r="R84" s="81" t="s">
        <v>46</v>
      </c>
      <c r="S84" s="81" t="s">
        <v>46</v>
      </c>
      <c r="T84" s="81" t="s">
        <v>48</v>
      </c>
      <c r="U84" s="81" t="s">
        <v>48</v>
      </c>
      <c r="V84" s="81" t="s">
        <v>48</v>
      </c>
      <c r="W84" s="81" t="s">
        <v>49</v>
      </c>
      <c r="X84" s="81" t="s">
        <v>48</v>
      </c>
      <c r="Y84" s="81" t="s">
        <v>48</v>
      </c>
    </row>
    <row r="85" spans="1:25" x14ac:dyDescent="0.3">
      <c r="A85" s="16">
        <v>7501075718119</v>
      </c>
      <c r="B85" s="81" t="s">
        <v>43</v>
      </c>
      <c r="C85" s="81" t="s">
        <v>1870</v>
      </c>
      <c r="D85" s="81" t="s">
        <v>45</v>
      </c>
      <c r="E85" s="81" t="s">
        <v>2227</v>
      </c>
      <c r="F85" s="81" t="s">
        <v>2227</v>
      </c>
      <c r="G85" s="81" t="s">
        <v>2451</v>
      </c>
      <c r="H85" s="81" t="s">
        <v>2207</v>
      </c>
      <c r="I85" s="81" t="s">
        <v>5597</v>
      </c>
      <c r="J85" s="81" t="s">
        <v>2186</v>
      </c>
      <c r="K85" s="81" t="s">
        <v>5597</v>
      </c>
      <c r="L85" s="81" t="s">
        <v>2392</v>
      </c>
      <c r="M85" s="81" t="s">
        <v>5597</v>
      </c>
      <c r="N85" s="81" t="s">
        <v>2231</v>
      </c>
      <c r="O85" s="81" t="s">
        <v>2187</v>
      </c>
      <c r="P85" s="81" t="s">
        <v>2187</v>
      </c>
      <c r="Q85" s="81" t="s">
        <v>1663</v>
      </c>
      <c r="R85" s="81" t="s">
        <v>106</v>
      </c>
      <c r="S85" s="81" t="s">
        <v>106</v>
      </c>
      <c r="T85" s="81" t="s">
        <v>48</v>
      </c>
      <c r="U85" s="81" t="s">
        <v>48</v>
      </c>
      <c r="V85" s="81" t="s">
        <v>48</v>
      </c>
      <c r="W85" s="81" t="s">
        <v>49</v>
      </c>
      <c r="X85" s="81" t="s">
        <v>48</v>
      </c>
      <c r="Y85" s="81" t="s">
        <v>48</v>
      </c>
    </row>
    <row r="86" spans="1:25" x14ac:dyDescent="0.3">
      <c r="A86" s="16">
        <v>7501075723830</v>
      </c>
      <c r="B86" s="81" t="s">
        <v>43</v>
      </c>
      <c r="C86" s="81" t="s">
        <v>1871</v>
      </c>
      <c r="D86" s="81" t="s">
        <v>45</v>
      </c>
      <c r="E86" s="81" t="s">
        <v>2453</v>
      </c>
      <c r="F86" s="81" t="s">
        <v>2454</v>
      </c>
      <c r="G86" s="81" t="s">
        <v>2455</v>
      </c>
      <c r="H86" s="81" t="s">
        <v>2259</v>
      </c>
      <c r="I86" s="81" t="s">
        <v>5535</v>
      </c>
      <c r="J86" s="81" t="s">
        <v>2186</v>
      </c>
      <c r="K86" s="81" t="s">
        <v>5535</v>
      </c>
      <c r="L86" s="81" t="s">
        <v>2392</v>
      </c>
      <c r="M86" s="81" t="s">
        <v>5535</v>
      </c>
      <c r="N86" s="81" t="s">
        <v>2231</v>
      </c>
      <c r="O86" s="81" t="s">
        <v>2187</v>
      </c>
      <c r="P86" s="81" t="s">
        <v>2187</v>
      </c>
      <c r="Q86" s="81" t="s">
        <v>183</v>
      </c>
      <c r="R86" s="81" t="s">
        <v>46</v>
      </c>
      <c r="S86" s="81" t="s">
        <v>164</v>
      </c>
      <c r="T86" s="81" t="s">
        <v>48</v>
      </c>
      <c r="U86" s="81" t="s">
        <v>48</v>
      </c>
      <c r="V86" s="81" t="s">
        <v>48</v>
      </c>
      <c r="W86" s="81" t="s">
        <v>49</v>
      </c>
      <c r="X86" s="81" t="s">
        <v>48</v>
      </c>
      <c r="Y86" s="81" t="s">
        <v>48</v>
      </c>
    </row>
    <row r="87" spans="1:25" x14ac:dyDescent="0.3">
      <c r="A87" s="16">
        <v>7501075713190</v>
      </c>
      <c r="B87" s="81" t="s">
        <v>43</v>
      </c>
      <c r="C87" s="81" t="s">
        <v>184</v>
      </c>
      <c r="D87" s="81" t="s">
        <v>45</v>
      </c>
      <c r="E87" s="81" t="s">
        <v>2404</v>
      </c>
      <c r="F87" s="81" t="s">
        <v>2253</v>
      </c>
      <c r="G87" s="81" t="s">
        <v>2456</v>
      </c>
      <c r="H87" s="81" t="s">
        <v>2264</v>
      </c>
      <c r="I87" s="81" t="s">
        <v>2270</v>
      </c>
      <c r="J87" s="81" t="s">
        <v>2186</v>
      </c>
      <c r="K87" s="81" t="s">
        <v>2255</v>
      </c>
      <c r="L87" s="81" t="s">
        <v>2392</v>
      </c>
      <c r="M87" s="81" t="s">
        <v>2181</v>
      </c>
      <c r="N87" s="81" t="s">
        <v>2231</v>
      </c>
      <c r="O87" s="81" t="s">
        <v>2187</v>
      </c>
      <c r="P87" s="81" t="s">
        <v>2187</v>
      </c>
      <c r="Q87" s="81" t="s">
        <v>185</v>
      </c>
      <c r="R87" s="81" t="s">
        <v>46</v>
      </c>
      <c r="S87" s="81" t="s">
        <v>46</v>
      </c>
      <c r="T87" s="81" t="s">
        <v>48</v>
      </c>
      <c r="U87" s="81" t="s">
        <v>48</v>
      </c>
      <c r="V87" s="81" t="s">
        <v>48</v>
      </c>
      <c r="W87" s="81" t="s">
        <v>49</v>
      </c>
      <c r="X87" s="81" t="s">
        <v>48</v>
      </c>
      <c r="Y87" s="81" t="s">
        <v>48</v>
      </c>
    </row>
    <row r="88" spans="1:25" x14ac:dyDescent="0.3">
      <c r="A88" s="16">
        <v>7501075713770</v>
      </c>
      <c r="B88" s="81" t="s">
        <v>43</v>
      </c>
      <c r="C88" s="81" t="s">
        <v>186</v>
      </c>
      <c r="D88" s="81" t="s">
        <v>45</v>
      </c>
      <c r="E88" s="81" t="s">
        <v>2457</v>
      </c>
      <c r="F88" s="81" t="s">
        <v>2458</v>
      </c>
      <c r="G88" s="81" t="s">
        <v>5377</v>
      </c>
      <c r="H88" s="81" t="s">
        <v>5598</v>
      </c>
      <c r="I88" s="81" t="s">
        <v>5599</v>
      </c>
      <c r="J88" s="81" t="s">
        <v>2186</v>
      </c>
      <c r="K88" s="81" t="s">
        <v>5599</v>
      </c>
      <c r="L88" s="81" t="s">
        <v>2392</v>
      </c>
      <c r="M88" s="81" t="s">
        <v>5599</v>
      </c>
      <c r="N88" s="81" t="s">
        <v>2231</v>
      </c>
      <c r="O88" s="81" t="s">
        <v>2187</v>
      </c>
      <c r="P88" s="81" t="s">
        <v>2187</v>
      </c>
      <c r="Q88" s="81" t="s">
        <v>187</v>
      </c>
      <c r="R88" s="81" t="s">
        <v>46</v>
      </c>
      <c r="S88" s="81" t="s">
        <v>46</v>
      </c>
      <c r="T88" s="81" t="s">
        <v>48</v>
      </c>
      <c r="U88" s="81" t="s">
        <v>48</v>
      </c>
      <c r="V88" s="81" t="s">
        <v>48</v>
      </c>
      <c r="W88" s="81" t="s">
        <v>49</v>
      </c>
      <c r="X88" s="81" t="s">
        <v>48</v>
      </c>
      <c r="Y88" s="81" t="s">
        <v>48</v>
      </c>
    </row>
    <row r="89" spans="1:25" x14ac:dyDescent="0.3">
      <c r="A89" s="16">
        <v>7501075713183</v>
      </c>
      <c r="B89" s="81" t="s">
        <v>43</v>
      </c>
      <c r="C89" s="81" t="s">
        <v>188</v>
      </c>
      <c r="D89" s="81" t="s">
        <v>45</v>
      </c>
      <c r="E89" s="81" t="s">
        <v>2457</v>
      </c>
      <c r="F89" s="81" t="s">
        <v>2458</v>
      </c>
      <c r="G89" s="81" t="s">
        <v>4392</v>
      </c>
      <c r="H89" s="81" t="s">
        <v>2243</v>
      </c>
      <c r="I89" s="81" t="s">
        <v>5600</v>
      </c>
      <c r="J89" s="81" t="s">
        <v>2186</v>
      </c>
      <c r="K89" s="81" t="s">
        <v>5600</v>
      </c>
      <c r="L89" s="81" t="s">
        <v>2392</v>
      </c>
      <c r="M89" s="81" t="s">
        <v>5600</v>
      </c>
      <c r="N89" s="81" t="s">
        <v>2231</v>
      </c>
      <c r="O89" s="81" t="s">
        <v>2187</v>
      </c>
      <c r="P89" s="81" t="s">
        <v>2187</v>
      </c>
      <c r="Q89" s="81" t="s">
        <v>189</v>
      </c>
      <c r="R89" s="81" t="s">
        <v>46</v>
      </c>
      <c r="S89" s="81" t="s">
        <v>46</v>
      </c>
      <c r="T89" s="81" t="s">
        <v>48</v>
      </c>
      <c r="U89" s="81" t="s">
        <v>48</v>
      </c>
      <c r="V89" s="81" t="s">
        <v>48</v>
      </c>
      <c r="W89" s="81" t="s">
        <v>49</v>
      </c>
      <c r="X89" s="81" t="s">
        <v>48</v>
      </c>
      <c r="Y89" s="81" t="s">
        <v>48</v>
      </c>
    </row>
    <row r="90" spans="1:25" x14ac:dyDescent="0.3">
      <c r="A90" s="16">
        <v>7501075721089</v>
      </c>
      <c r="B90" s="81" t="s">
        <v>43</v>
      </c>
      <c r="C90" s="81" t="s">
        <v>2461</v>
      </c>
      <c r="D90" s="81" t="s">
        <v>45</v>
      </c>
      <c r="E90" s="81" t="s">
        <v>2458</v>
      </c>
      <c r="F90" s="81" t="s">
        <v>2439</v>
      </c>
      <c r="G90" s="81" t="s">
        <v>2754</v>
      </c>
      <c r="H90" s="81" t="s">
        <v>2462</v>
      </c>
      <c r="I90" s="81" t="s">
        <v>2693</v>
      </c>
      <c r="J90" s="81" t="s">
        <v>2186</v>
      </c>
      <c r="K90" s="81" t="s">
        <v>2693</v>
      </c>
      <c r="L90" s="81" t="s">
        <v>2392</v>
      </c>
      <c r="M90" s="81" t="s">
        <v>2693</v>
      </c>
      <c r="N90" s="81" t="s">
        <v>2231</v>
      </c>
      <c r="O90" s="81" t="s">
        <v>2187</v>
      </c>
      <c r="P90" s="81" t="s">
        <v>2187</v>
      </c>
      <c r="Q90" s="81" t="s">
        <v>190</v>
      </c>
      <c r="R90" s="81" t="s">
        <v>46</v>
      </c>
      <c r="S90" s="81" t="s">
        <v>46</v>
      </c>
      <c r="T90" s="81" t="s">
        <v>48</v>
      </c>
      <c r="U90" s="81" t="s">
        <v>48</v>
      </c>
      <c r="V90" s="81" t="s">
        <v>48</v>
      </c>
      <c r="W90" s="81" t="s">
        <v>49</v>
      </c>
      <c r="X90" s="81" t="s">
        <v>48</v>
      </c>
      <c r="Y90" s="81" t="s">
        <v>48</v>
      </c>
    </row>
    <row r="91" spans="1:25" x14ac:dyDescent="0.3">
      <c r="A91" s="16">
        <v>7501075718676</v>
      </c>
      <c r="B91" s="81" t="s">
        <v>43</v>
      </c>
      <c r="C91" s="81" t="s">
        <v>191</v>
      </c>
      <c r="D91" s="81" t="s">
        <v>45</v>
      </c>
      <c r="E91" s="81" t="s">
        <v>2298</v>
      </c>
      <c r="F91" s="81" t="s">
        <v>2262</v>
      </c>
      <c r="G91" s="81" t="s">
        <v>7100</v>
      </c>
      <c r="H91" s="81" t="s">
        <v>2464</v>
      </c>
      <c r="I91" s="81" t="s">
        <v>5601</v>
      </c>
      <c r="J91" s="81" t="s">
        <v>2186</v>
      </c>
      <c r="K91" s="81" t="s">
        <v>5601</v>
      </c>
      <c r="L91" s="81" t="s">
        <v>2392</v>
      </c>
      <c r="M91" s="81" t="s">
        <v>5601</v>
      </c>
      <c r="N91" s="81" t="s">
        <v>2231</v>
      </c>
      <c r="O91" s="81" t="s">
        <v>2187</v>
      </c>
      <c r="P91" s="81" t="s">
        <v>2187</v>
      </c>
      <c r="Q91" s="81" t="s">
        <v>192</v>
      </c>
      <c r="R91" s="81" t="s">
        <v>46</v>
      </c>
      <c r="S91" s="81" t="s">
        <v>46</v>
      </c>
      <c r="T91" s="81" t="s">
        <v>48</v>
      </c>
      <c r="U91" s="81" t="s">
        <v>48</v>
      </c>
      <c r="V91" s="81" t="s">
        <v>48</v>
      </c>
      <c r="W91" s="81" t="s">
        <v>49</v>
      </c>
      <c r="X91" s="81" t="s">
        <v>48</v>
      </c>
      <c r="Y91" s="81" t="s">
        <v>48</v>
      </c>
    </row>
    <row r="92" spans="1:25" x14ac:dyDescent="0.3">
      <c r="A92" s="16">
        <v>7501075713152</v>
      </c>
      <c r="B92" s="81" t="s">
        <v>43</v>
      </c>
      <c r="C92" s="81" t="s">
        <v>193</v>
      </c>
      <c r="D92" s="81" t="s">
        <v>45</v>
      </c>
      <c r="E92" s="81" t="s">
        <v>2465</v>
      </c>
      <c r="F92" s="81" t="s">
        <v>2257</v>
      </c>
      <c r="G92" s="81" t="s">
        <v>4393</v>
      </c>
      <c r="H92" s="81" t="s">
        <v>2264</v>
      </c>
      <c r="I92" s="81" t="s">
        <v>5602</v>
      </c>
      <c r="J92" s="81" t="s">
        <v>2186</v>
      </c>
      <c r="K92" s="81" t="s">
        <v>5602</v>
      </c>
      <c r="L92" s="81" t="s">
        <v>2392</v>
      </c>
      <c r="M92" s="81" t="s">
        <v>5602</v>
      </c>
      <c r="N92" s="81" t="s">
        <v>2231</v>
      </c>
      <c r="O92" s="81" t="s">
        <v>2187</v>
      </c>
      <c r="P92" s="81" t="s">
        <v>2187</v>
      </c>
      <c r="Q92" s="81" t="s">
        <v>194</v>
      </c>
      <c r="R92" s="81" t="s">
        <v>46</v>
      </c>
      <c r="S92" s="81" t="s">
        <v>47</v>
      </c>
      <c r="T92" s="81" t="s">
        <v>48</v>
      </c>
      <c r="U92" s="81" t="s">
        <v>48</v>
      </c>
      <c r="V92" s="81" t="s">
        <v>48</v>
      </c>
      <c r="W92" s="81" t="s">
        <v>49</v>
      </c>
      <c r="X92" s="81" t="s">
        <v>48</v>
      </c>
      <c r="Y92" s="81" t="s">
        <v>48</v>
      </c>
    </row>
    <row r="93" spans="1:25" x14ac:dyDescent="0.3">
      <c r="A93" s="16">
        <v>7501075718041</v>
      </c>
      <c r="B93" s="81" t="s">
        <v>43</v>
      </c>
      <c r="C93" s="81" t="s">
        <v>195</v>
      </c>
      <c r="D93" s="81" t="s">
        <v>45</v>
      </c>
      <c r="E93" s="81" t="s">
        <v>2439</v>
      </c>
      <c r="F93" s="81" t="s">
        <v>2280</v>
      </c>
      <c r="G93" s="81" t="s">
        <v>2466</v>
      </c>
      <c r="H93" s="81" t="s">
        <v>2343</v>
      </c>
      <c r="I93" s="81" t="s">
        <v>5603</v>
      </c>
      <c r="J93" s="81" t="s">
        <v>2186</v>
      </c>
      <c r="K93" s="81" t="s">
        <v>5603</v>
      </c>
      <c r="L93" s="81" t="s">
        <v>2392</v>
      </c>
      <c r="M93" s="81" t="s">
        <v>5603</v>
      </c>
      <c r="N93" s="81" t="s">
        <v>2231</v>
      </c>
      <c r="O93" s="81" t="s">
        <v>2187</v>
      </c>
      <c r="P93" s="81" t="s">
        <v>2187</v>
      </c>
      <c r="Q93" s="81" t="s">
        <v>196</v>
      </c>
      <c r="R93" s="81" t="s">
        <v>46</v>
      </c>
      <c r="S93" s="81" t="s">
        <v>47</v>
      </c>
      <c r="T93" s="81" t="s">
        <v>48</v>
      </c>
      <c r="U93" s="81" t="s">
        <v>48</v>
      </c>
      <c r="V93" s="81" t="s">
        <v>48</v>
      </c>
      <c r="W93" s="81" t="s">
        <v>49</v>
      </c>
      <c r="X93" s="81" t="s">
        <v>48</v>
      </c>
      <c r="Y93" s="81" t="s">
        <v>48</v>
      </c>
    </row>
    <row r="94" spans="1:25" x14ac:dyDescent="0.3">
      <c r="A94" s="16">
        <v>7501075721041</v>
      </c>
      <c r="B94" s="81" t="s">
        <v>43</v>
      </c>
      <c r="C94" s="81" t="s">
        <v>197</v>
      </c>
      <c r="D94" s="81" t="s">
        <v>45</v>
      </c>
      <c r="E94" s="81" t="s">
        <v>2195</v>
      </c>
      <c r="F94" s="81" t="s">
        <v>2196</v>
      </c>
      <c r="G94" s="81" t="s">
        <v>4888</v>
      </c>
      <c r="H94" s="81" t="s">
        <v>2503</v>
      </c>
      <c r="I94" s="81" t="s">
        <v>5604</v>
      </c>
      <c r="J94" s="81" t="s">
        <v>2186</v>
      </c>
      <c r="K94" s="81" t="s">
        <v>5604</v>
      </c>
      <c r="L94" s="81" t="s">
        <v>2392</v>
      </c>
      <c r="M94" s="81" t="s">
        <v>5604</v>
      </c>
      <c r="N94" s="81" t="s">
        <v>2231</v>
      </c>
      <c r="O94" s="81" t="s">
        <v>2187</v>
      </c>
      <c r="P94" s="81" t="s">
        <v>2187</v>
      </c>
      <c r="Q94" s="81" t="s">
        <v>4448</v>
      </c>
      <c r="R94" s="81" t="s">
        <v>46</v>
      </c>
      <c r="S94" s="81" t="s">
        <v>47</v>
      </c>
      <c r="T94" s="81" t="s">
        <v>48</v>
      </c>
      <c r="U94" s="81" t="s">
        <v>48</v>
      </c>
      <c r="V94" s="81" t="s">
        <v>48</v>
      </c>
      <c r="W94" s="81" t="s">
        <v>49</v>
      </c>
      <c r="X94" s="81" t="s">
        <v>48</v>
      </c>
      <c r="Y94" s="81" t="s">
        <v>48</v>
      </c>
    </row>
    <row r="95" spans="1:25" x14ac:dyDescent="0.3">
      <c r="A95" s="16">
        <v>7501075718546</v>
      </c>
      <c r="B95" s="81" t="s">
        <v>43</v>
      </c>
      <c r="C95" s="81" t="s">
        <v>198</v>
      </c>
      <c r="D95" s="81" t="s">
        <v>45</v>
      </c>
      <c r="E95" s="81" t="s">
        <v>2274</v>
      </c>
      <c r="F95" s="81" t="s">
        <v>2292</v>
      </c>
      <c r="G95" s="81" t="s">
        <v>4411</v>
      </c>
      <c r="H95" s="81" t="s">
        <v>2217</v>
      </c>
      <c r="I95" s="81" t="s">
        <v>5531</v>
      </c>
      <c r="J95" s="81" t="s">
        <v>2186</v>
      </c>
      <c r="K95" s="81" t="s">
        <v>5531</v>
      </c>
      <c r="L95" s="81" t="s">
        <v>2392</v>
      </c>
      <c r="M95" s="81" t="s">
        <v>5531</v>
      </c>
      <c r="N95" s="81" t="s">
        <v>2231</v>
      </c>
      <c r="O95" s="81" t="s">
        <v>2187</v>
      </c>
      <c r="P95" s="81" t="s">
        <v>2187</v>
      </c>
      <c r="Q95" s="81" t="s">
        <v>199</v>
      </c>
      <c r="R95" s="81" t="s">
        <v>46</v>
      </c>
      <c r="S95" s="81" t="s">
        <v>47</v>
      </c>
      <c r="T95" s="81" t="s">
        <v>48</v>
      </c>
      <c r="U95" s="81" t="s">
        <v>48</v>
      </c>
      <c r="V95" s="81" t="s">
        <v>48</v>
      </c>
      <c r="W95" s="81" t="s">
        <v>49</v>
      </c>
      <c r="X95" s="81" t="s">
        <v>48</v>
      </c>
      <c r="Y95" s="81" t="s">
        <v>48</v>
      </c>
    </row>
    <row r="96" spans="1:25" x14ac:dyDescent="0.3">
      <c r="A96" s="16">
        <v>7501130713868</v>
      </c>
      <c r="B96" s="81" t="s">
        <v>43</v>
      </c>
      <c r="C96" s="81" t="s">
        <v>1797</v>
      </c>
      <c r="D96" s="81" t="s">
        <v>45</v>
      </c>
      <c r="E96" s="81" t="s">
        <v>2358</v>
      </c>
      <c r="F96" s="81" t="s">
        <v>2354</v>
      </c>
      <c r="G96" s="81" t="s">
        <v>5605</v>
      </c>
      <c r="H96" s="81" t="s">
        <v>4588</v>
      </c>
      <c r="I96" s="81" t="s">
        <v>5606</v>
      </c>
      <c r="J96" s="81" t="s">
        <v>2186</v>
      </c>
      <c r="K96" s="81" t="s">
        <v>5606</v>
      </c>
      <c r="L96" s="81" t="s">
        <v>2392</v>
      </c>
      <c r="M96" s="81" t="s">
        <v>5606</v>
      </c>
      <c r="N96" s="81" t="s">
        <v>2231</v>
      </c>
      <c r="O96" s="81" t="s">
        <v>2187</v>
      </c>
      <c r="P96" s="81" t="s">
        <v>2187</v>
      </c>
      <c r="Q96" s="81" t="s">
        <v>43</v>
      </c>
      <c r="R96" s="81" t="s">
        <v>46</v>
      </c>
      <c r="S96" s="81" t="s">
        <v>46</v>
      </c>
      <c r="T96" s="81" t="s">
        <v>48</v>
      </c>
      <c r="U96" s="81" t="s">
        <v>48</v>
      </c>
      <c r="V96" s="81" t="s">
        <v>49</v>
      </c>
      <c r="W96" s="81" t="s">
        <v>48</v>
      </c>
      <c r="X96" s="81" t="s">
        <v>48</v>
      </c>
      <c r="Y96" s="81" t="s">
        <v>48</v>
      </c>
    </row>
    <row r="97" spans="1:25" x14ac:dyDescent="0.3">
      <c r="A97" s="16">
        <v>7503008344211</v>
      </c>
      <c r="B97" s="81" t="s">
        <v>43</v>
      </c>
      <c r="C97" s="81" t="s">
        <v>200</v>
      </c>
      <c r="D97" s="81" t="s">
        <v>45</v>
      </c>
      <c r="E97" s="81" t="s">
        <v>2468</v>
      </c>
      <c r="F97" s="81" t="s">
        <v>2469</v>
      </c>
      <c r="G97" s="81" t="s">
        <v>2470</v>
      </c>
      <c r="H97" s="81" t="s">
        <v>2626</v>
      </c>
      <c r="I97" s="81" t="s">
        <v>5607</v>
      </c>
      <c r="J97" s="81" t="s">
        <v>2186</v>
      </c>
      <c r="K97" s="81" t="s">
        <v>5607</v>
      </c>
      <c r="L97" s="81" t="s">
        <v>2392</v>
      </c>
      <c r="M97" s="81" t="s">
        <v>5607</v>
      </c>
      <c r="N97" s="81" t="s">
        <v>2231</v>
      </c>
      <c r="O97" s="81" t="s">
        <v>2187</v>
      </c>
      <c r="P97" s="81" t="s">
        <v>2187</v>
      </c>
      <c r="Q97" s="81" t="s">
        <v>201</v>
      </c>
      <c r="R97" s="81" t="s">
        <v>46</v>
      </c>
      <c r="S97" s="81" t="s">
        <v>46</v>
      </c>
      <c r="T97" s="81" t="s">
        <v>48</v>
      </c>
      <c r="U97" s="81" t="s">
        <v>48</v>
      </c>
      <c r="V97" s="81" t="s">
        <v>48</v>
      </c>
      <c r="W97" s="81" t="s">
        <v>49</v>
      </c>
      <c r="X97" s="81" t="s">
        <v>48</v>
      </c>
      <c r="Y97" s="81" t="s">
        <v>48</v>
      </c>
    </row>
    <row r="98" spans="1:25" x14ac:dyDescent="0.3">
      <c r="A98" s="16">
        <v>7503008344914</v>
      </c>
      <c r="B98" s="81" t="s">
        <v>43</v>
      </c>
      <c r="C98" s="81" t="s">
        <v>202</v>
      </c>
      <c r="D98" s="81" t="s">
        <v>45</v>
      </c>
      <c r="E98" s="81" t="s">
        <v>2471</v>
      </c>
      <c r="F98" s="81" t="s">
        <v>2472</v>
      </c>
      <c r="G98" s="81" t="s">
        <v>2473</v>
      </c>
      <c r="H98" s="81" t="s">
        <v>2217</v>
      </c>
      <c r="I98" s="81" t="s">
        <v>5564</v>
      </c>
      <c r="J98" s="81" t="s">
        <v>2186</v>
      </c>
      <c r="K98" s="81" t="s">
        <v>5564</v>
      </c>
      <c r="L98" s="81" t="s">
        <v>2392</v>
      </c>
      <c r="M98" s="81" t="s">
        <v>5564</v>
      </c>
      <c r="N98" s="81" t="s">
        <v>2231</v>
      </c>
      <c r="O98" s="81" t="s">
        <v>2187</v>
      </c>
      <c r="P98" s="81" t="s">
        <v>2187</v>
      </c>
      <c r="Q98" s="81" t="s">
        <v>43</v>
      </c>
      <c r="R98" s="81" t="s">
        <v>203</v>
      </c>
      <c r="S98" s="81" t="s">
        <v>203</v>
      </c>
      <c r="T98" s="81" t="s">
        <v>48</v>
      </c>
      <c r="U98" s="81" t="s">
        <v>48</v>
      </c>
      <c r="V98" s="81" t="s">
        <v>48</v>
      </c>
      <c r="W98" s="81" t="s">
        <v>49</v>
      </c>
      <c r="X98" s="81" t="s">
        <v>48</v>
      </c>
      <c r="Y98" s="81" t="s">
        <v>48</v>
      </c>
    </row>
    <row r="99" spans="1:25" x14ac:dyDescent="0.3">
      <c r="A99" s="16">
        <v>7503008344488</v>
      </c>
      <c r="B99" s="81" t="s">
        <v>43</v>
      </c>
      <c r="C99" s="81" t="s">
        <v>1872</v>
      </c>
      <c r="D99" s="81" t="s">
        <v>45</v>
      </c>
      <c r="E99" s="81" t="s">
        <v>2263</v>
      </c>
      <c r="F99" s="81" t="s">
        <v>2475</v>
      </c>
      <c r="G99" s="81" t="s">
        <v>7101</v>
      </c>
      <c r="H99" s="81" t="s">
        <v>2476</v>
      </c>
      <c r="I99" s="81" t="s">
        <v>5608</v>
      </c>
      <c r="J99" s="81" t="s">
        <v>2186</v>
      </c>
      <c r="K99" s="81" t="s">
        <v>5608</v>
      </c>
      <c r="L99" s="81" t="s">
        <v>2392</v>
      </c>
      <c r="M99" s="81" t="s">
        <v>5608</v>
      </c>
      <c r="N99" s="81" t="s">
        <v>2231</v>
      </c>
      <c r="O99" s="81" t="s">
        <v>2187</v>
      </c>
      <c r="P99" s="81" t="s">
        <v>2187</v>
      </c>
      <c r="Q99" s="81" t="s">
        <v>43</v>
      </c>
      <c r="R99" s="81" t="s">
        <v>46</v>
      </c>
      <c r="S99" s="81" t="s">
        <v>46</v>
      </c>
      <c r="T99" s="81" t="s">
        <v>48</v>
      </c>
      <c r="U99" s="81" t="s">
        <v>48</v>
      </c>
      <c r="V99" s="81" t="s">
        <v>49</v>
      </c>
      <c r="W99" s="81" t="s">
        <v>48</v>
      </c>
      <c r="X99" s="81" t="s">
        <v>48</v>
      </c>
      <c r="Y99" s="81" t="s">
        <v>48</v>
      </c>
    </row>
    <row r="100" spans="1:25" x14ac:dyDescent="0.3">
      <c r="A100" s="16">
        <v>7503008344730</v>
      </c>
      <c r="B100" s="81" t="s">
        <v>43</v>
      </c>
      <c r="C100" s="81" t="s">
        <v>204</v>
      </c>
      <c r="D100" s="81" t="s">
        <v>45</v>
      </c>
      <c r="E100" s="81" t="s">
        <v>2233</v>
      </c>
      <c r="F100" s="81" t="s">
        <v>2477</v>
      </c>
      <c r="G100" s="81" t="s">
        <v>7102</v>
      </c>
      <c r="H100" s="81" t="s">
        <v>2190</v>
      </c>
      <c r="I100" s="81" t="s">
        <v>5609</v>
      </c>
      <c r="J100" s="81" t="s">
        <v>2186</v>
      </c>
      <c r="K100" s="81" t="s">
        <v>5609</v>
      </c>
      <c r="L100" s="81" t="s">
        <v>2392</v>
      </c>
      <c r="M100" s="81" t="s">
        <v>5609</v>
      </c>
      <c r="N100" s="81" t="s">
        <v>2231</v>
      </c>
      <c r="O100" s="81" t="s">
        <v>2187</v>
      </c>
      <c r="P100" s="81" t="s">
        <v>2187</v>
      </c>
      <c r="Q100" s="81" t="s">
        <v>43</v>
      </c>
      <c r="R100" s="81" t="s">
        <v>46</v>
      </c>
      <c r="S100" s="81" t="s">
        <v>46</v>
      </c>
      <c r="T100" s="81" t="s">
        <v>48</v>
      </c>
      <c r="U100" s="81" t="s">
        <v>48</v>
      </c>
      <c r="V100" s="81" t="s">
        <v>48</v>
      </c>
      <c r="W100" s="81" t="s">
        <v>49</v>
      </c>
      <c r="X100" s="81" t="s">
        <v>48</v>
      </c>
      <c r="Y100" s="81" t="s">
        <v>48</v>
      </c>
    </row>
    <row r="101" spans="1:25" x14ac:dyDescent="0.3">
      <c r="A101" s="16">
        <v>7503008344716</v>
      </c>
      <c r="B101" s="81" t="s">
        <v>43</v>
      </c>
      <c r="C101" s="81" t="s">
        <v>205</v>
      </c>
      <c r="D101" s="81" t="s">
        <v>45</v>
      </c>
      <c r="E101" s="81" t="s">
        <v>2457</v>
      </c>
      <c r="F101" s="81" t="s">
        <v>2458</v>
      </c>
      <c r="G101" s="81" t="s">
        <v>7103</v>
      </c>
      <c r="H101" s="81" t="s">
        <v>2995</v>
      </c>
      <c r="I101" s="81" t="s">
        <v>5610</v>
      </c>
      <c r="J101" s="81" t="s">
        <v>2186</v>
      </c>
      <c r="K101" s="81" t="s">
        <v>5610</v>
      </c>
      <c r="L101" s="81" t="s">
        <v>2392</v>
      </c>
      <c r="M101" s="81" t="s">
        <v>5610</v>
      </c>
      <c r="N101" s="81" t="s">
        <v>2231</v>
      </c>
      <c r="O101" s="81" t="s">
        <v>2187</v>
      </c>
      <c r="P101" s="81" t="s">
        <v>2187</v>
      </c>
      <c r="Q101" s="81" t="s">
        <v>43</v>
      </c>
      <c r="R101" s="81" t="s">
        <v>46</v>
      </c>
      <c r="S101" s="81" t="s">
        <v>46</v>
      </c>
      <c r="T101" s="81" t="s">
        <v>48</v>
      </c>
      <c r="U101" s="81" t="s">
        <v>48</v>
      </c>
      <c r="V101" s="81" t="s">
        <v>48</v>
      </c>
      <c r="W101" s="81" t="s">
        <v>49</v>
      </c>
      <c r="X101" s="81" t="s">
        <v>48</v>
      </c>
      <c r="Y101" s="81" t="s">
        <v>48</v>
      </c>
    </row>
    <row r="102" spans="1:25" x14ac:dyDescent="0.3">
      <c r="A102" s="16">
        <v>7501384541200</v>
      </c>
      <c r="B102" s="81" t="s">
        <v>43</v>
      </c>
      <c r="C102" s="81" t="s">
        <v>206</v>
      </c>
      <c r="D102" s="81" t="s">
        <v>45</v>
      </c>
      <c r="E102" s="81" t="s">
        <v>2471</v>
      </c>
      <c r="F102" s="81" t="s">
        <v>2481</v>
      </c>
      <c r="G102" s="81" t="s">
        <v>5456</v>
      </c>
      <c r="H102" s="81" t="s">
        <v>2482</v>
      </c>
      <c r="I102" s="81" t="s">
        <v>5611</v>
      </c>
      <c r="J102" s="81" t="s">
        <v>2186</v>
      </c>
      <c r="K102" s="81" t="s">
        <v>5611</v>
      </c>
      <c r="L102" s="81" t="s">
        <v>2392</v>
      </c>
      <c r="M102" s="81" t="s">
        <v>5611</v>
      </c>
      <c r="N102" s="81" t="s">
        <v>2231</v>
      </c>
      <c r="O102" s="81" t="s">
        <v>2187</v>
      </c>
      <c r="P102" s="81" t="s">
        <v>2187</v>
      </c>
      <c r="Q102" s="81" t="s">
        <v>207</v>
      </c>
      <c r="R102" s="81" t="s">
        <v>46</v>
      </c>
      <c r="S102" s="81" t="s">
        <v>47</v>
      </c>
      <c r="T102" s="81" t="s">
        <v>48</v>
      </c>
      <c r="U102" s="81" t="s">
        <v>48</v>
      </c>
      <c r="V102" s="81" t="s">
        <v>48</v>
      </c>
      <c r="W102" s="81" t="s">
        <v>49</v>
      </c>
      <c r="X102" s="81" t="s">
        <v>48</v>
      </c>
      <c r="Y102" s="81" t="s">
        <v>48</v>
      </c>
    </row>
    <row r="103" spans="1:25" x14ac:dyDescent="0.3">
      <c r="A103" s="16">
        <v>7501109764761</v>
      </c>
      <c r="B103" s="81" t="s">
        <v>43</v>
      </c>
      <c r="C103" s="81" t="s">
        <v>208</v>
      </c>
      <c r="D103" s="81" t="s">
        <v>45</v>
      </c>
      <c r="E103" s="81" t="s">
        <v>2303</v>
      </c>
      <c r="F103" s="81" t="s">
        <v>2233</v>
      </c>
      <c r="G103" s="81" t="s">
        <v>4968</v>
      </c>
      <c r="H103" s="81" t="s">
        <v>2208</v>
      </c>
      <c r="I103" s="81" t="s">
        <v>5612</v>
      </c>
      <c r="J103" s="81" t="s">
        <v>2186</v>
      </c>
      <c r="K103" s="81" t="s">
        <v>5612</v>
      </c>
      <c r="L103" s="81" t="s">
        <v>2392</v>
      </c>
      <c r="M103" s="81" t="s">
        <v>5612</v>
      </c>
      <c r="N103" s="81" t="s">
        <v>2231</v>
      </c>
      <c r="O103" s="81" t="s">
        <v>2187</v>
      </c>
      <c r="P103" s="81" t="s">
        <v>2187</v>
      </c>
      <c r="Q103" s="81" t="s">
        <v>209</v>
      </c>
      <c r="R103" s="81" t="s">
        <v>46</v>
      </c>
      <c r="S103" s="81" t="s">
        <v>46</v>
      </c>
      <c r="T103" s="81" t="s">
        <v>48</v>
      </c>
      <c r="U103" s="81" t="s">
        <v>48</v>
      </c>
      <c r="V103" s="81" t="s">
        <v>48</v>
      </c>
      <c r="W103" s="81" t="s">
        <v>49</v>
      </c>
      <c r="X103" s="81" t="s">
        <v>48</v>
      </c>
      <c r="Y103" s="81" t="s">
        <v>48</v>
      </c>
    </row>
    <row r="104" spans="1:25" x14ac:dyDescent="0.3">
      <c r="A104" s="16">
        <v>7502227871676</v>
      </c>
      <c r="B104" s="81" t="s">
        <v>43</v>
      </c>
      <c r="C104" s="81" t="s">
        <v>210</v>
      </c>
      <c r="D104" s="81" t="s">
        <v>45</v>
      </c>
      <c r="E104" s="81" t="s">
        <v>2483</v>
      </c>
      <c r="F104" s="81" t="s">
        <v>2378</v>
      </c>
      <c r="G104" s="81" t="s">
        <v>4917</v>
      </c>
      <c r="H104" s="81" t="s">
        <v>2183</v>
      </c>
      <c r="I104" s="81" t="s">
        <v>5613</v>
      </c>
      <c r="J104" s="81" t="s">
        <v>2186</v>
      </c>
      <c r="K104" s="81" t="s">
        <v>5613</v>
      </c>
      <c r="L104" s="81" t="s">
        <v>2392</v>
      </c>
      <c r="M104" s="81" t="s">
        <v>5613</v>
      </c>
      <c r="N104" s="81" t="s">
        <v>2231</v>
      </c>
      <c r="O104" s="81" t="s">
        <v>2187</v>
      </c>
      <c r="P104" s="81" t="s">
        <v>2187</v>
      </c>
      <c r="Q104" s="81" t="s">
        <v>211</v>
      </c>
      <c r="R104" s="81" t="s">
        <v>46</v>
      </c>
      <c r="S104" s="81" t="s">
        <v>47</v>
      </c>
      <c r="T104" s="81" t="s">
        <v>48</v>
      </c>
      <c r="U104" s="81" t="s">
        <v>48</v>
      </c>
      <c r="V104" s="81" t="s">
        <v>48</v>
      </c>
      <c r="W104" s="81" t="s">
        <v>49</v>
      </c>
      <c r="X104" s="81" t="s">
        <v>48</v>
      </c>
      <c r="Y104" s="81" t="s">
        <v>48</v>
      </c>
    </row>
    <row r="105" spans="1:25" x14ac:dyDescent="0.3">
      <c r="A105" s="16">
        <v>7502227874424</v>
      </c>
      <c r="B105" s="81" t="s">
        <v>43</v>
      </c>
      <c r="C105" s="81" t="s">
        <v>212</v>
      </c>
      <c r="D105" s="81" t="s">
        <v>45</v>
      </c>
      <c r="E105" s="81" t="s">
        <v>2227</v>
      </c>
      <c r="F105" s="81" t="s">
        <v>2227</v>
      </c>
      <c r="G105" s="81" t="s">
        <v>2835</v>
      </c>
      <c r="H105" s="81" t="s">
        <v>2224</v>
      </c>
      <c r="I105" s="81" t="s">
        <v>2880</v>
      </c>
      <c r="J105" s="81" t="s">
        <v>2186</v>
      </c>
      <c r="K105" s="81" t="s">
        <v>2880</v>
      </c>
      <c r="L105" s="81" t="s">
        <v>2392</v>
      </c>
      <c r="M105" s="81" t="s">
        <v>2880</v>
      </c>
      <c r="N105" s="81" t="s">
        <v>2231</v>
      </c>
      <c r="O105" s="81" t="s">
        <v>2187</v>
      </c>
      <c r="P105" s="81" t="s">
        <v>2187</v>
      </c>
      <c r="Q105" s="81" t="s">
        <v>213</v>
      </c>
      <c r="R105" s="81" t="s">
        <v>46</v>
      </c>
      <c r="S105" s="81" t="s">
        <v>46</v>
      </c>
      <c r="T105" s="81" t="s">
        <v>48</v>
      </c>
      <c r="U105" s="81" t="s">
        <v>48</v>
      </c>
      <c r="V105" s="81" t="s">
        <v>48</v>
      </c>
      <c r="W105" s="81" t="s">
        <v>49</v>
      </c>
      <c r="X105" s="81" t="s">
        <v>48</v>
      </c>
      <c r="Y105" s="81" t="s">
        <v>48</v>
      </c>
    </row>
    <row r="106" spans="1:25" x14ac:dyDescent="0.3">
      <c r="A106" s="16">
        <v>7502227876015</v>
      </c>
      <c r="B106" s="81" t="s">
        <v>43</v>
      </c>
      <c r="C106" s="81" t="s">
        <v>2485</v>
      </c>
      <c r="D106" s="81" t="s">
        <v>45</v>
      </c>
      <c r="E106" s="81" t="s">
        <v>2486</v>
      </c>
      <c r="F106" s="81" t="s">
        <v>2487</v>
      </c>
      <c r="G106" s="81" t="s">
        <v>4639</v>
      </c>
      <c r="H106" s="81" t="s">
        <v>2209</v>
      </c>
      <c r="I106" s="81" t="s">
        <v>2217</v>
      </c>
      <c r="J106" s="81" t="s">
        <v>2186</v>
      </c>
      <c r="K106" s="81" t="s">
        <v>2488</v>
      </c>
      <c r="L106" s="81" t="s">
        <v>2392</v>
      </c>
      <c r="M106" s="81" t="s">
        <v>2391</v>
      </c>
      <c r="N106" s="81" t="s">
        <v>2231</v>
      </c>
      <c r="O106" s="81" t="s">
        <v>2187</v>
      </c>
      <c r="P106" s="81" t="s">
        <v>2187</v>
      </c>
      <c r="Q106" s="81" t="s">
        <v>214</v>
      </c>
      <c r="R106" s="81" t="s">
        <v>46</v>
      </c>
      <c r="S106" s="81" t="s">
        <v>47</v>
      </c>
      <c r="T106" s="81" t="s">
        <v>48</v>
      </c>
      <c r="U106" s="81" t="s">
        <v>48</v>
      </c>
      <c r="V106" s="81" t="s">
        <v>48</v>
      </c>
      <c r="W106" s="81" t="s">
        <v>49</v>
      </c>
      <c r="X106" s="81" t="s">
        <v>48</v>
      </c>
      <c r="Y106" s="81" t="s">
        <v>48</v>
      </c>
    </row>
    <row r="107" spans="1:25" x14ac:dyDescent="0.3">
      <c r="A107" s="16">
        <v>7502227874202</v>
      </c>
      <c r="B107" s="81" t="s">
        <v>43</v>
      </c>
      <c r="C107" s="81" t="s">
        <v>1873</v>
      </c>
      <c r="D107" s="81" t="s">
        <v>45</v>
      </c>
      <c r="E107" s="81" t="s">
        <v>2280</v>
      </c>
      <c r="F107" s="81" t="s">
        <v>2281</v>
      </c>
      <c r="G107" s="81" t="s">
        <v>2489</v>
      </c>
      <c r="H107" s="81" t="s">
        <v>5614</v>
      </c>
      <c r="I107" s="81" t="s">
        <v>5615</v>
      </c>
      <c r="J107" s="81" t="s">
        <v>2186</v>
      </c>
      <c r="K107" s="81" t="s">
        <v>5615</v>
      </c>
      <c r="L107" s="81" t="s">
        <v>2392</v>
      </c>
      <c r="M107" s="81" t="s">
        <v>5615</v>
      </c>
      <c r="N107" s="81" t="s">
        <v>2231</v>
      </c>
      <c r="O107" s="81" t="s">
        <v>2187</v>
      </c>
      <c r="P107" s="81" t="s">
        <v>2187</v>
      </c>
      <c r="Q107" s="81" t="s">
        <v>215</v>
      </c>
      <c r="R107" s="81" t="s">
        <v>46</v>
      </c>
      <c r="S107" s="81" t="s">
        <v>46</v>
      </c>
      <c r="T107" s="81" t="s">
        <v>48</v>
      </c>
      <c r="U107" s="81" t="s">
        <v>48</v>
      </c>
      <c r="V107" s="81" t="s">
        <v>48</v>
      </c>
      <c r="W107" s="81" t="s">
        <v>49</v>
      </c>
      <c r="X107" s="81" t="s">
        <v>48</v>
      </c>
      <c r="Y107" s="81" t="s">
        <v>48</v>
      </c>
    </row>
    <row r="108" spans="1:25" x14ac:dyDescent="0.3">
      <c r="A108" s="16">
        <v>7502003388107</v>
      </c>
      <c r="B108" s="81" t="s">
        <v>43</v>
      </c>
      <c r="C108" s="81" t="s">
        <v>216</v>
      </c>
      <c r="D108" s="81" t="s">
        <v>45</v>
      </c>
      <c r="E108" s="81" t="s">
        <v>2490</v>
      </c>
      <c r="F108" s="81" t="s">
        <v>2491</v>
      </c>
      <c r="G108" s="81" t="s">
        <v>4345</v>
      </c>
      <c r="H108" s="81" t="s">
        <v>2208</v>
      </c>
      <c r="I108" s="81" t="s">
        <v>2290</v>
      </c>
      <c r="J108" s="81" t="s">
        <v>2186</v>
      </c>
      <c r="K108" s="81" t="s">
        <v>2290</v>
      </c>
      <c r="L108" s="81" t="s">
        <v>2392</v>
      </c>
      <c r="M108" s="81" t="s">
        <v>2290</v>
      </c>
      <c r="N108" s="81" t="s">
        <v>2231</v>
      </c>
      <c r="O108" s="81" t="s">
        <v>2187</v>
      </c>
      <c r="P108" s="81" t="s">
        <v>2187</v>
      </c>
      <c r="Q108" s="81" t="s">
        <v>217</v>
      </c>
      <c r="R108" s="81" t="s">
        <v>46</v>
      </c>
      <c r="S108" s="81" t="s">
        <v>47</v>
      </c>
      <c r="T108" s="81" t="s">
        <v>48</v>
      </c>
      <c r="U108" s="81" t="s">
        <v>48</v>
      </c>
      <c r="V108" s="81" t="s">
        <v>48</v>
      </c>
      <c r="W108" s="81" t="s">
        <v>49</v>
      </c>
      <c r="X108" s="81" t="s">
        <v>48</v>
      </c>
      <c r="Y108" s="81" t="s">
        <v>48</v>
      </c>
    </row>
    <row r="109" spans="1:25" x14ac:dyDescent="0.3">
      <c r="A109" s="16">
        <v>7502003388077</v>
      </c>
      <c r="B109" s="81" t="s">
        <v>43</v>
      </c>
      <c r="C109" s="81" t="s">
        <v>218</v>
      </c>
      <c r="D109" s="81" t="s">
        <v>45</v>
      </c>
      <c r="E109" s="81" t="s">
        <v>2221</v>
      </c>
      <c r="F109" s="81" t="s">
        <v>2222</v>
      </c>
      <c r="G109" s="81" t="s">
        <v>4358</v>
      </c>
      <c r="H109" s="81" t="s">
        <v>2190</v>
      </c>
      <c r="I109" s="81" t="s">
        <v>5616</v>
      </c>
      <c r="J109" s="81" t="s">
        <v>2186</v>
      </c>
      <c r="K109" s="81" t="s">
        <v>5616</v>
      </c>
      <c r="L109" s="81" t="s">
        <v>2392</v>
      </c>
      <c r="M109" s="81" t="s">
        <v>5616</v>
      </c>
      <c r="N109" s="81" t="s">
        <v>2231</v>
      </c>
      <c r="O109" s="81" t="s">
        <v>2187</v>
      </c>
      <c r="P109" s="81" t="s">
        <v>2187</v>
      </c>
      <c r="Q109" s="81" t="s">
        <v>219</v>
      </c>
      <c r="R109" s="81" t="s">
        <v>46</v>
      </c>
      <c r="S109" s="81" t="s">
        <v>46</v>
      </c>
      <c r="T109" s="81" t="s">
        <v>48</v>
      </c>
      <c r="U109" s="81" t="s">
        <v>48</v>
      </c>
      <c r="V109" s="81" t="s">
        <v>48</v>
      </c>
      <c r="W109" s="81" t="s">
        <v>49</v>
      </c>
      <c r="X109" s="81" t="s">
        <v>48</v>
      </c>
      <c r="Y109" s="81" t="s">
        <v>48</v>
      </c>
    </row>
    <row r="110" spans="1:25" x14ac:dyDescent="0.3">
      <c r="A110" s="16">
        <v>7502001165533</v>
      </c>
      <c r="B110" s="81" t="s">
        <v>43</v>
      </c>
      <c r="C110" s="81" t="s">
        <v>1874</v>
      </c>
      <c r="D110" s="81" t="s">
        <v>45</v>
      </c>
      <c r="E110" s="81" t="s">
        <v>2492</v>
      </c>
      <c r="F110" s="81" t="s">
        <v>2493</v>
      </c>
      <c r="G110" s="81" t="s">
        <v>4359</v>
      </c>
      <c r="H110" s="81" t="s">
        <v>2416</v>
      </c>
      <c r="I110" s="81" t="s">
        <v>5617</v>
      </c>
      <c r="J110" s="81" t="s">
        <v>2186</v>
      </c>
      <c r="K110" s="81" t="s">
        <v>5617</v>
      </c>
      <c r="L110" s="81" t="s">
        <v>2392</v>
      </c>
      <c r="M110" s="81" t="s">
        <v>5617</v>
      </c>
      <c r="N110" s="81" t="s">
        <v>2231</v>
      </c>
      <c r="O110" s="81" t="s">
        <v>2187</v>
      </c>
      <c r="P110" s="81" t="s">
        <v>2187</v>
      </c>
      <c r="Q110" s="81" t="s">
        <v>220</v>
      </c>
      <c r="R110" s="81" t="s">
        <v>51</v>
      </c>
      <c r="S110" s="81" t="s">
        <v>47</v>
      </c>
      <c r="T110" s="81" t="s">
        <v>49</v>
      </c>
      <c r="U110" s="81" t="s">
        <v>48</v>
      </c>
      <c r="V110" s="81" t="s">
        <v>48</v>
      </c>
      <c r="W110" s="81" t="s">
        <v>49</v>
      </c>
      <c r="X110" s="81" t="s">
        <v>48</v>
      </c>
      <c r="Y110" s="81" t="s">
        <v>48</v>
      </c>
    </row>
    <row r="111" spans="1:25" x14ac:dyDescent="0.3">
      <c r="A111" s="16">
        <v>7502001165434</v>
      </c>
      <c r="B111" s="81" t="s">
        <v>43</v>
      </c>
      <c r="C111" s="81" t="s">
        <v>221</v>
      </c>
      <c r="D111" s="81" t="s">
        <v>45</v>
      </c>
      <c r="E111" s="81" t="s">
        <v>2494</v>
      </c>
      <c r="F111" s="81" t="s">
        <v>2495</v>
      </c>
      <c r="G111" s="81" t="s">
        <v>5316</v>
      </c>
      <c r="H111" s="81" t="s">
        <v>2269</v>
      </c>
      <c r="I111" s="81" t="s">
        <v>5618</v>
      </c>
      <c r="J111" s="81" t="s">
        <v>2186</v>
      </c>
      <c r="K111" s="81" t="s">
        <v>5618</v>
      </c>
      <c r="L111" s="81" t="s">
        <v>2392</v>
      </c>
      <c r="M111" s="81" t="s">
        <v>5618</v>
      </c>
      <c r="N111" s="81" t="s">
        <v>2231</v>
      </c>
      <c r="O111" s="81" t="s">
        <v>2187</v>
      </c>
      <c r="P111" s="81" t="s">
        <v>2187</v>
      </c>
      <c r="Q111" s="81" t="s">
        <v>222</v>
      </c>
      <c r="R111" s="81" t="s">
        <v>46</v>
      </c>
      <c r="S111" s="81" t="s">
        <v>47</v>
      </c>
      <c r="T111" s="81" t="s">
        <v>48</v>
      </c>
      <c r="U111" s="81" t="s">
        <v>48</v>
      </c>
      <c r="V111" s="81" t="s">
        <v>48</v>
      </c>
      <c r="W111" s="81" t="s">
        <v>49</v>
      </c>
      <c r="X111" s="81" t="s">
        <v>48</v>
      </c>
      <c r="Y111" s="81" t="s">
        <v>48</v>
      </c>
    </row>
    <row r="112" spans="1:25" x14ac:dyDescent="0.3">
      <c r="A112" s="16">
        <v>7502001169289</v>
      </c>
      <c r="B112" s="81" t="s">
        <v>43</v>
      </c>
      <c r="C112" s="81" t="s">
        <v>1875</v>
      </c>
      <c r="D112" s="81" t="s">
        <v>45</v>
      </c>
      <c r="E112" s="81" t="s">
        <v>2352</v>
      </c>
      <c r="F112" s="81" t="s">
        <v>2496</v>
      </c>
      <c r="G112" s="81" t="s">
        <v>4889</v>
      </c>
      <c r="H112" s="81" t="s">
        <v>2217</v>
      </c>
      <c r="I112" s="81" t="s">
        <v>5575</v>
      </c>
      <c r="J112" s="81" t="s">
        <v>2186</v>
      </c>
      <c r="K112" s="81" t="s">
        <v>5575</v>
      </c>
      <c r="L112" s="81" t="s">
        <v>2392</v>
      </c>
      <c r="M112" s="81" t="s">
        <v>5575</v>
      </c>
      <c r="N112" s="81" t="s">
        <v>2231</v>
      </c>
      <c r="O112" s="81" t="s">
        <v>2187</v>
      </c>
      <c r="P112" s="81" t="s">
        <v>2187</v>
      </c>
      <c r="Q112" s="81" t="s">
        <v>223</v>
      </c>
      <c r="R112" s="81" t="s">
        <v>51</v>
      </c>
      <c r="S112" s="81" t="s">
        <v>47</v>
      </c>
      <c r="T112" s="81" t="s">
        <v>49</v>
      </c>
      <c r="U112" s="81" t="s">
        <v>48</v>
      </c>
      <c r="V112" s="81" t="s">
        <v>48</v>
      </c>
      <c r="W112" s="81" t="s">
        <v>49</v>
      </c>
      <c r="X112" s="81" t="s">
        <v>48</v>
      </c>
      <c r="Y112" s="81" t="s">
        <v>48</v>
      </c>
    </row>
    <row r="113" spans="1:25" x14ac:dyDescent="0.3">
      <c r="A113" s="16">
        <v>7502001160019</v>
      </c>
      <c r="B113" s="81" t="s">
        <v>43</v>
      </c>
      <c r="C113" s="81" t="s">
        <v>2497</v>
      </c>
      <c r="D113" s="81" t="s">
        <v>45</v>
      </c>
      <c r="E113" s="81" t="s">
        <v>2498</v>
      </c>
      <c r="F113" s="81" t="s">
        <v>2499</v>
      </c>
      <c r="G113" s="81" t="s">
        <v>2500</v>
      </c>
      <c r="H113" s="81" t="s">
        <v>2209</v>
      </c>
      <c r="I113" s="81" t="s">
        <v>5619</v>
      </c>
      <c r="J113" s="81" t="s">
        <v>2186</v>
      </c>
      <c r="K113" s="81" t="s">
        <v>5619</v>
      </c>
      <c r="L113" s="81" t="s">
        <v>2392</v>
      </c>
      <c r="M113" s="81" t="s">
        <v>5619</v>
      </c>
      <c r="N113" s="81" t="s">
        <v>2231</v>
      </c>
      <c r="O113" s="81" t="s">
        <v>2187</v>
      </c>
      <c r="P113" s="81" t="s">
        <v>2187</v>
      </c>
      <c r="Q113" s="81" t="s">
        <v>224</v>
      </c>
      <c r="R113" s="81" t="s">
        <v>46</v>
      </c>
      <c r="S113" s="81" t="s">
        <v>73</v>
      </c>
      <c r="T113" s="81" t="s">
        <v>48</v>
      </c>
      <c r="U113" s="81" t="s">
        <v>48</v>
      </c>
      <c r="V113" s="81" t="s">
        <v>48</v>
      </c>
      <c r="W113" s="81" t="s">
        <v>49</v>
      </c>
      <c r="X113" s="81" t="s">
        <v>48</v>
      </c>
      <c r="Y113" s="81" t="s">
        <v>48</v>
      </c>
    </row>
    <row r="114" spans="1:25" x14ac:dyDescent="0.3">
      <c r="A114" s="16">
        <v>7502001163072</v>
      </c>
      <c r="B114" s="81" t="s">
        <v>43</v>
      </c>
      <c r="C114" s="81" t="s">
        <v>1876</v>
      </c>
      <c r="D114" s="81" t="s">
        <v>45</v>
      </c>
      <c r="E114" s="81" t="s">
        <v>2501</v>
      </c>
      <c r="F114" s="81" t="s">
        <v>2502</v>
      </c>
      <c r="G114" s="81" t="s">
        <v>5620</v>
      </c>
      <c r="H114" s="81" t="s">
        <v>2259</v>
      </c>
      <c r="I114" s="81" t="s">
        <v>5621</v>
      </c>
      <c r="J114" s="81" t="s">
        <v>2186</v>
      </c>
      <c r="K114" s="81" t="s">
        <v>5621</v>
      </c>
      <c r="L114" s="81" t="s">
        <v>2392</v>
      </c>
      <c r="M114" s="81" t="s">
        <v>5621</v>
      </c>
      <c r="N114" s="81" t="s">
        <v>2231</v>
      </c>
      <c r="O114" s="81" t="s">
        <v>2187</v>
      </c>
      <c r="P114" s="81" t="s">
        <v>2187</v>
      </c>
      <c r="Q114" s="81" t="s">
        <v>43</v>
      </c>
      <c r="R114" s="81" t="s">
        <v>46</v>
      </c>
      <c r="S114" s="81" t="s">
        <v>164</v>
      </c>
      <c r="T114" s="81" t="s">
        <v>48</v>
      </c>
      <c r="U114" s="81" t="s">
        <v>48</v>
      </c>
      <c r="V114" s="81" t="s">
        <v>48</v>
      </c>
      <c r="W114" s="81" t="s">
        <v>49</v>
      </c>
      <c r="X114" s="81" t="s">
        <v>48</v>
      </c>
      <c r="Y114" s="81" t="s">
        <v>48</v>
      </c>
    </row>
    <row r="115" spans="1:25" x14ac:dyDescent="0.3">
      <c r="A115" s="16">
        <v>7502001165397</v>
      </c>
      <c r="B115" s="81" t="s">
        <v>43</v>
      </c>
      <c r="C115" s="81" t="s">
        <v>1877</v>
      </c>
      <c r="D115" s="81" t="s">
        <v>45</v>
      </c>
      <c r="E115" s="81" t="s">
        <v>2257</v>
      </c>
      <c r="F115" s="81" t="s">
        <v>2258</v>
      </c>
      <c r="G115" s="81" t="s">
        <v>4412</v>
      </c>
      <c r="H115" s="81" t="s">
        <v>2503</v>
      </c>
      <c r="I115" s="81" t="s">
        <v>5622</v>
      </c>
      <c r="J115" s="81" t="s">
        <v>2186</v>
      </c>
      <c r="K115" s="81" t="s">
        <v>5622</v>
      </c>
      <c r="L115" s="81" t="s">
        <v>2392</v>
      </c>
      <c r="M115" s="81" t="s">
        <v>5622</v>
      </c>
      <c r="N115" s="81" t="s">
        <v>2231</v>
      </c>
      <c r="O115" s="81" t="s">
        <v>2187</v>
      </c>
      <c r="P115" s="81" t="s">
        <v>2187</v>
      </c>
      <c r="Q115" s="81" t="s">
        <v>43</v>
      </c>
      <c r="R115" s="81" t="s">
        <v>46</v>
      </c>
      <c r="S115" s="81" t="s">
        <v>47</v>
      </c>
      <c r="T115" s="81" t="s">
        <v>48</v>
      </c>
      <c r="U115" s="81" t="s">
        <v>48</v>
      </c>
      <c r="V115" s="81" t="s">
        <v>48</v>
      </c>
      <c r="W115" s="81" t="s">
        <v>49</v>
      </c>
      <c r="X115" s="81" t="s">
        <v>48</v>
      </c>
      <c r="Y115" s="81" t="s">
        <v>48</v>
      </c>
    </row>
    <row r="116" spans="1:25" x14ac:dyDescent="0.3">
      <c r="A116" s="16">
        <v>7502001165526</v>
      </c>
      <c r="B116" s="81" t="s">
        <v>43</v>
      </c>
      <c r="C116" s="81" t="s">
        <v>1878</v>
      </c>
      <c r="D116" s="81" t="s">
        <v>45</v>
      </c>
      <c r="E116" s="81" t="s">
        <v>2458</v>
      </c>
      <c r="F116" s="81" t="s">
        <v>2447</v>
      </c>
      <c r="G116" s="81" t="s">
        <v>3378</v>
      </c>
      <c r="H116" s="81" t="s">
        <v>2243</v>
      </c>
      <c r="I116" s="81" t="s">
        <v>2838</v>
      </c>
      <c r="J116" s="81" t="s">
        <v>2186</v>
      </c>
      <c r="K116" s="81" t="s">
        <v>2838</v>
      </c>
      <c r="L116" s="81" t="s">
        <v>2392</v>
      </c>
      <c r="M116" s="81" t="s">
        <v>2838</v>
      </c>
      <c r="N116" s="81" t="s">
        <v>2231</v>
      </c>
      <c r="O116" s="81" t="s">
        <v>2187</v>
      </c>
      <c r="P116" s="81" t="s">
        <v>2187</v>
      </c>
      <c r="Q116" s="81" t="s">
        <v>225</v>
      </c>
      <c r="R116" s="81" t="s">
        <v>51</v>
      </c>
      <c r="S116" s="81" t="s">
        <v>47</v>
      </c>
      <c r="T116" s="81" t="s">
        <v>49</v>
      </c>
      <c r="U116" s="81" t="s">
        <v>48</v>
      </c>
      <c r="V116" s="81" t="s">
        <v>48</v>
      </c>
      <c r="W116" s="81" t="s">
        <v>49</v>
      </c>
      <c r="X116" s="81" t="s">
        <v>48</v>
      </c>
      <c r="Y116" s="81" t="s">
        <v>48</v>
      </c>
    </row>
    <row r="117" spans="1:25" x14ac:dyDescent="0.3">
      <c r="A117" s="16">
        <v>7502001165045</v>
      </c>
      <c r="B117" s="81" t="s">
        <v>43</v>
      </c>
      <c r="C117" s="81" t="s">
        <v>1879</v>
      </c>
      <c r="D117" s="81" t="s">
        <v>45</v>
      </c>
      <c r="E117" s="81" t="s">
        <v>2427</v>
      </c>
      <c r="F117" s="81" t="s">
        <v>2428</v>
      </c>
      <c r="G117" s="81" t="s">
        <v>2504</v>
      </c>
      <c r="H117" s="81" t="s">
        <v>2217</v>
      </c>
      <c r="I117" s="81" t="s">
        <v>2291</v>
      </c>
      <c r="J117" s="81" t="s">
        <v>2186</v>
      </c>
      <c r="K117" s="81" t="s">
        <v>2291</v>
      </c>
      <c r="L117" s="81" t="s">
        <v>2392</v>
      </c>
      <c r="M117" s="81" t="s">
        <v>2291</v>
      </c>
      <c r="N117" s="81" t="s">
        <v>2231</v>
      </c>
      <c r="O117" s="81" t="s">
        <v>2187</v>
      </c>
      <c r="P117" s="81" t="s">
        <v>2187</v>
      </c>
      <c r="Q117" s="81" t="s">
        <v>43</v>
      </c>
      <c r="R117" s="81" t="s">
        <v>46</v>
      </c>
      <c r="S117" s="81" t="s">
        <v>46</v>
      </c>
      <c r="T117" s="81" t="s">
        <v>48</v>
      </c>
      <c r="U117" s="81" t="s">
        <v>48</v>
      </c>
      <c r="V117" s="81" t="s">
        <v>48</v>
      </c>
      <c r="W117" s="81" t="s">
        <v>49</v>
      </c>
      <c r="X117" s="81" t="s">
        <v>48</v>
      </c>
      <c r="Y117" s="81" t="s">
        <v>48</v>
      </c>
    </row>
    <row r="118" spans="1:25" x14ac:dyDescent="0.3">
      <c r="A118" s="16">
        <v>7502001162426</v>
      </c>
      <c r="B118" s="81" t="s">
        <v>43</v>
      </c>
      <c r="C118" s="81" t="s">
        <v>1880</v>
      </c>
      <c r="D118" s="81" t="s">
        <v>45</v>
      </c>
      <c r="E118" s="81" t="s">
        <v>2344</v>
      </c>
      <c r="F118" s="81" t="s">
        <v>2345</v>
      </c>
      <c r="G118" s="81" t="s">
        <v>5457</v>
      </c>
      <c r="H118" s="81" t="s">
        <v>2400</v>
      </c>
      <c r="I118" s="81" t="s">
        <v>5623</v>
      </c>
      <c r="J118" s="81" t="s">
        <v>2186</v>
      </c>
      <c r="K118" s="81" t="s">
        <v>5623</v>
      </c>
      <c r="L118" s="81" t="s">
        <v>2392</v>
      </c>
      <c r="M118" s="81" t="s">
        <v>5623</v>
      </c>
      <c r="N118" s="81" t="s">
        <v>2231</v>
      </c>
      <c r="O118" s="81" t="s">
        <v>2187</v>
      </c>
      <c r="P118" s="81" t="s">
        <v>2187</v>
      </c>
      <c r="Q118" s="81" t="s">
        <v>226</v>
      </c>
      <c r="R118" s="81" t="s">
        <v>46</v>
      </c>
      <c r="S118" s="81" t="s">
        <v>46</v>
      </c>
      <c r="T118" s="81" t="s">
        <v>48</v>
      </c>
      <c r="U118" s="81" t="s">
        <v>48</v>
      </c>
      <c r="V118" s="81" t="s">
        <v>48</v>
      </c>
      <c r="W118" s="81" t="s">
        <v>49</v>
      </c>
      <c r="X118" s="81" t="s">
        <v>48</v>
      </c>
      <c r="Y118" s="81" t="s">
        <v>48</v>
      </c>
    </row>
    <row r="119" spans="1:25" x14ac:dyDescent="0.3">
      <c r="A119" s="16">
        <v>7503002772508</v>
      </c>
      <c r="B119" s="81" t="s">
        <v>43</v>
      </c>
      <c r="C119" s="81" t="s">
        <v>227</v>
      </c>
      <c r="D119" s="81" t="s">
        <v>45</v>
      </c>
      <c r="E119" s="81" t="s">
        <v>2364</v>
      </c>
      <c r="F119" s="81" t="s">
        <v>2221</v>
      </c>
      <c r="G119" s="81" t="s">
        <v>4515</v>
      </c>
      <c r="H119" s="81" t="s">
        <v>2506</v>
      </c>
      <c r="I119" s="81" t="s">
        <v>5624</v>
      </c>
      <c r="J119" s="81" t="s">
        <v>2186</v>
      </c>
      <c r="K119" s="81" t="s">
        <v>5624</v>
      </c>
      <c r="L119" s="81" t="s">
        <v>2392</v>
      </c>
      <c r="M119" s="81" t="s">
        <v>5624</v>
      </c>
      <c r="N119" s="81" t="s">
        <v>2231</v>
      </c>
      <c r="O119" s="81" t="s">
        <v>2187</v>
      </c>
      <c r="P119" s="81" t="s">
        <v>2187</v>
      </c>
      <c r="Q119" s="81" t="s">
        <v>228</v>
      </c>
      <c r="R119" s="81" t="s">
        <v>46</v>
      </c>
      <c r="S119" s="81" t="s">
        <v>47</v>
      </c>
      <c r="T119" s="81" t="s">
        <v>48</v>
      </c>
      <c r="U119" s="81" t="s">
        <v>48</v>
      </c>
      <c r="V119" s="81" t="s">
        <v>48</v>
      </c>
      <c r="W119" s="81" t="s">
        <v>49</v>
      </c>
      <c r="X119" s="81" t="s">
        <v>48</v>
      </c>
      <c r="Y119" s="81" t="s">
        <v>48</v>
      </c>
    </row>
    <row r="120" spans="1:25" x14ac:dyDescent="0.3">
      <c r="A120" s="16">
        <v>7502216792555</v>
      </c>
      <c r="B120" s="81" t="s">
        <v>43</v>
      </c>
      <c r="C120" s="81" t="s">
        <v>229</v>
      </c>
      <c r="D120" s="81" t="s">
        <v>45</v>
      </c>
      <c r="E120" s="81" t="s">
        <v>2507</v>
      </c>
      <c r="F120" s="81" t="s">
        <v>2508</v>
      </c>
      <c r="G120" s="81" t="s">
        <v>5458</v>
      </c>
      <c r="H120" s="81" t="s">
        <v>2238</v>
      </c>
      <c r="I120" s="81" t="s">
        <v>5625</v>
      </c>
      <c r="J120" s="81" t="s">
        <v>2186</v>
      </c>
      <c r="K120" s="81" t="s">
        <v>5625</v>
      </c>
      <c r="L120" s="81" t="s">
        <v>2392</v>
      </c>
      <c r="M120" s="81" t="s">
        <v>5625</v>
      </c>
      <c r="N120" s="81" t="s">
        <v>2231</v>
      </c>
      <c r="O120" s="81" t="s">
        <v>2187</v>
      </c>
      <c r="P120" s="81" t="s">
        <v>2187</v>
      </c>
      <c r="Q120" s="81" t="s">
        <v>230</v>
      </c>
      <c r="R120" s="81" t="s">
        <v>46</v>
      </c>
      <c r="S120" s="81" t="s">
        <v>46</v>
      </c>
      <c r="T120" s="81" t="s">
        <v>48</v>
      </c>
      <c r="U120" s="81" t="s">
        <v>48</v>
      </c>
      <c r="V120" s="81" t="s">
        <v>48</v>
      </c>
      <c r="W120" s="81" t="s">
        <v>49</v>
      </c>
      <c r="X120" s="81" t="s">
        <v>48</v>
      </c>
      <c r="Y120" s="81" t="s">
        <v>48</v>
      </c>
    </row>
    <row r="121" spans="1:25" x14ac:dyDescent="0.3">
      <c r="A121" s="16">
        <v>7502216794993</v>
      </c>
      <c r="B121" s="81" t="s">
        <v>43</v>
      </c>
      <c r="C121" s="81" t="s">
        <v>231</v>
      </c>
      <c r="D121" s="81" t="s">
        <v>45</v>
      </c>
      <c r="E121" s="81" t="s">
        <v>2283</v>
      </c>
      <c r="F121" s="81" t="s">
        <v>2510</v>
      </c>
      <c r="G121" s="81" t="s">
        <v>5459</v>
      </c>
      <c r="H121" s="81" t="s">
        <v>5626</v>
      </c>
      <c r="I121" s="81" t="s">
        <v>5627</v>
      </c>
      <c r="J121" s="81" t="s">
        <v>2186</v>
      </c>
      <c r="K121" s="81" t="s">
        <v>5627</v>
      </c>
      <c r="L121" s="81" t="s">
        <v>2392</v>
      </c>
      <c r="M121" s="81" t="s">
        <v>5627</v>
      </c>
      <c r="N121" s="81" t="s">
        <v>2231</v>
      </c>
      <c r="O121" s="81" t="s">
        <v>2187</v>
      </c>
      <c r="P121" s="81" t="s">
        <v>2187</v>
      </c>
      <c r="Q121" s="81" t="s">
        <v>232</v>
      </c>
      <c r="R121" s="81" t="s">
        <v>46</v>
      </c>
      <c r="S121" s="81" t="s">
        <v>47</v>
      </c>
      <c r="T121" s="81" t="s">
        <v>48</v>
      </c>
      <c r="U121" s="81" t="s">
        <v>48</v>
      </c>
      <c r="V121" s="81" t="s">
        <v>48</v>
      </c>
      <c r="W121" s="81" t="s">
        <v>49</v>
      </c>
      <c r="X121" s="81" t="s">
        <v>48</v>
      </c>
      <c r="Y121" s="81" t="s">
        <v>48</v>
      </c>
    </row>
    <row r="122" spans="1:25" x14ac:dyDescent="0.3">
      <c r="A122" s="16">
        <v>7502216803244</v>
      </c>
      <c r="B122" s="81" t="s">
        <v>43</v>
      </c>
      <c r="C122" s="81" t="s">
        <v>2099</v>
      </c>
      <c r="D122" s="81" t="s">
        <v>45</v>
      </c>
      <c r="E122" s="81" t="s">
        <v>2323</v>
      </c>
      <c r="F122" s="81" t="s">
        <v>2324</v>
      </c>
      <c r="G122" s="81" t="s">
        <v>3279</v>
      </c>
      <c r="H122" s="81" t="s">
        <v>5628</v>
      </c>
      <c r="I122" s="81" t="s">
        <v>5629</v>
      </c>
      <c r="J122" s="81" t="s">
        <v>2186</v>
      </c>
      <c r="K122" s="81" t="s">
        <v>5629</v>
      </c>
      <c r="L122" s="81" t="s">
        <v>2392</v>
      </c>
      <c r="M122" s="81" t="s">
        <v>5629</v>
      </c>
      <c r="N122" s="81" t="s">
        <v>2231</v>
      </c>
      <c r="O122" s="81" t="s">
        <v>2187</v>
      </c>
      <c r="P122" s="81" t="s">
        <v>2187</v>
      </c>
      <c r="Q122" s="81" t="s">
        <v>233</v>
      </c>
      <c r="R122" s="81" t="s">
        <v>46</v>
      </c>
      <c r="S122" s="81" t="s">
        <v>47</v>
      </c>
      <c r="T122" s="81" t="s">
        <v>48</v>
      </c>
      <c r="U122" s="81" t="s">
        <v>48</v>
      </c>
      <c r="V122" s="81" t="s">
        <v>48</v>
      </c>
      <c r="W122" s="81" t="s">
        <v>49</v>
      </c>
      <c r="X122" s="81" t="s">
        <v>48</v>
      </c>
      <c r="Y122" s="81" t="s">
        <v>48</v>
      </c>
    </row>
    <row r="123" spans="1:25" x14ac:dyDescent="0.3">
      <c r="A123" s="16">
        <v>7502216802889</v>
      </c>
      <c r="B123" s="81" t="s">
        <v>43</v>
      </c>
      <c r="C123" s="81" t="s">
        <v>234</v>
      </c>
      <c r="D123" s="81" t="s">
        <v>45</v>
      </c>
      <c r="E123" s="81" t="s">
        <v>2512</v>
      </c>
      <c r="F123" s="81" t="s">
        <v>2494</v>
      </c>
      <c r="G123" s="81" t="s">
        <v>5460</v>
      </c>
      <c r="H123" s="81" t="s">
        <v>2209</v>
      </c>
      <c r="I123" s="81" t="s">
        <v>5630</v>
      </c>
      <c r="J123" s="81" t="s">
        <v>2186</v>
      </c>
      <c r="K123" s="81" t="s">
        <v>5630</v>
      </c>
      <c r="L123" s="81" t="s">
        <v>2392</v>
      </c>
      <c r="M123" s="81" t="s">
        <v>5630</v>
      </c>
      <c r="N123" s="81" t="s">
        <v>2231</v>
      </c>
      <c r="O123" s="81" t="s">
        <v>2187</v>
      </c>
      <c r="P123" s="81" t="s">
        <v>2187</v>
      </c>
      <c r="Q123" s="81" t="s">
        <v>235</v>
      </c>
      <c r="R123" s="81" t="s">
        <v>46</v>
      </c>
      <c r="S123" s="81" t="s">
        <v>47</v>
      </c>
      <c r="T123" s="81" t="s">
        <v>48</v>
      </c>
      <c r="U123" s="81" t="s">
        <v>48</v>
      </c>
      <c r="V123" s="81" t="s">
        <v>48</v>
      </c>
      <c r="W123" s="81" t="s">
        <v>49</v>
      </c>
      <c r="X123" s="81" t="s">
        <v>48</v>
      </c>
      <c r="Y123" s="81" t="s">
        <v>48</v>
      </c>
    </row>
    <row r="124" spans="1:25" x14ac:dyDescent="0.3">
      <c r="A124" s="16">
        <v>7503001007168</v>
      </c>
      <c r="B124" s="81" t="s">
        <v>43</v>
      </c>
      <c r="C124" s="81" t="s">
        <v>236</v>
      </c>
      <c r="D124" s="81" t="s">
        <v>45</v>
      </c>
      <c r="E124" s="81" t="s">
        <v>2513</v>
      </c>
      <c r="F124" s="81" t="s">
        <v>2514</v>
      </c>
      <c r="G124" s="81" t="s">
        <v>5461</v>
      </c>
      <c r="H124" s="81" t="s">
        <v>2429</v>
      </c>
      <c r="I124" s="81" t="s">
        <v>5631</v>
      </c>
      <c r="J124" s="81" t="s">
        <v>2186</v>
      </c>
      <c r="K124" s="81" t="s">
        <v>5631</v>
      </c>
      <c r="L124" s="81" t="s">
        <v>2392</v>
      </c>
      <c r="M124" s="81" t="s">
        <v>5631</v>
      </c>
      <c r="N124" s="81" t="s">
        <v>2231</v>
      </c>
      <c r="O124" s="81" t="s">
        <v>2187</v>
      </c>
      <c r="P124" s="81" t="s">
        <v>2187</v>
      </c>
      <c r="Q124" s="81" t="s">
        <v>43</v>
      </c>
      <c r="R124" s="81" t="s">
        <v>51</v>
      </c>
      <c r="S124" s="81" t="s">
        <v>81</v>
      </c>
      <c r="T124" s="81" t="s">
        <v>49</v>
      </c>
      <c r="U124" s="81" t="s">
        <v>48</v>
      </c>
      <c r="V124" s="81" t="s">
        <v>48</v>
      </c>
      <c r="W124" s="81" t="s">
        <v>49</v>
      </c>
      <c r="X124" s="81" t="s">
        <v>48</v>
      </c>
      <c r="Y124" s="81" t="s">
        <v>48</v>
      </c>
    </row>
    <row r="125" spans="1:25" x14ac:dyDescent="0.3">
      <c r="A125" s="16">
        <v>7502009740213</v>
      </c>
      <c r="B125" s="81" t="s">
        <v>43</v>
      </c>
      <c r="C125" s="81" t="s">
        <v>1881</v>
      </c>
      <c r="D125" s="81" t="s">
        <v>45</v>
      </c>
      <c r="E125" s="81" t="s">
        <v>2515</v>
      </c>
      <c r="F125" s="81" t="s">
        <v>2516</v>
      </c>
      <c r="G125" s="81" t="s">
        <v>3523</v>
      </c>
      <c r="H125" s="81" t="s">
        <v>2360</v>
      </c>
      <c r="I125" s="81" t="s">
        <v>5632</v>
      </c>
      <c r="J125" s="81" t="s">
        <v>2186</v>
      </c>
      <c r="K125" s="81" t="s">
        <v>5632</v>
      </c>
      <c r="L125" s="81" t="s">
        <v>2392</v>
      </c>
      <c r="M125" s="81" t="s">
        <v>5632</v>
      </c>
      <c r="N125" s="81" t="s">
        <v>2231</v>
      </c>
      <c r="O125" s="81" t="s">
        <v>2187</v>
      </c>
      <c r="P125" s="81" t="s">
        <v>2187</v>
      </c>
      <c r="Q125" s="81" t="s">
        <v>237</v>
      </c>
      <c r="R125" s="81" t="s">
        <v>51</v>
      </c>
      <c r="S125" s="81" t="s">
        <v>81</v>
      </c>
      <c r="T125" s="81" t="s">
        <v>49</v>
      </c>
      <c r="U125" s="81" t="s">
        <v>48</v>
      </c>
      <c r="V125" s="81" t="s">
        <v>48</v>
      </c>
      <c r="W125" s="81" t="s">
        <v>49</v>
      </c>
      <c r="X125" s="81" t="s">
        <v>48</v>
      </c>
      <c r="Y125" s="81" t="s">
        <v>48</v>
      </c>
    </row>
    <row r="126" spans="1:25" x14ac:dyDescent="0.3">
      <c r="A126" s="16">
        <v>821998000434</v>
      </c>
      <c r="B126" s="81" t="s">
        <v>43</v>
      </c>
      <c r="C126" s="81" t="s">
        <v>238</v>
      </c>
      <c r="D126" s="81" t="s">
        <v>45</v>
      </c>
      <c r="E126" s="81" t="s">
        <v>2274</v>
      </c>
      <c r="F126" s="81" t="s">
        <v>2292</v>
      </c>
      <c r="G126" s="81" t="s">
        <v>2517</v>
      </c>
      <c r="H126" s="81" t="s">
        <v>2243</v>
      </c>
      <c r="I126" s="81" t="s">
        <v>5602</v>
      </c>
      <c r="J126" s="81" t="s">
        <v>2186</v>
      </c>
      <c r="K126" s="81" t="s">
        <v>5602</v>
      </c>
      <c r="L126" s="81" t="s">
        <v>2392</v>
      </c>
      <c r="M126" s="81" t="s">
        <v>5602</v>
      </c>
      <c r="N126" s="81" t="s">
        <v>2231</v>
      </c>
      <c r="O126" s="81" t="s">
        <v>2187</v>
      </c>
      <c r="P126" s="81" t="s">
        <v>2187</v>
      </c>
      <c r="Q126" s="81" t="s">
        <v>239</v>
      </c>
      <c r="R126" s="81" t="s">
        <v>46</v>
      </c>
      <c r="S126" s="81" t="s">
        <v>47</v>
      </c>
      <c r="T126" s="81" t="s">
        <v>48</v>
      </c>
      <c r="U126" s="81" t="s">
        <v>48</v>
      </c>
      <c r="V126" s="81" t="s">
        <v>48</v>
      </c>
      <c r="W126" s="81" t="s">
        <v>49</v>
      </c>
      <c r="X126" s="81" t="s">
        <v>48</v>
      </c>
      <c r="Y126" s="81" t="s">
        <v>48</v>
      </c>
    </row>
    <row r="127" spans="1:25" x14ac:dyDescent="0.3">
      <c r="A127" s="16">
        <v>7503020089077</v>
      </c>
      <c r="B127" s="81" t="s">
        <v>43</v>
      </c>
      <c r="C127" s="81" t="s">
        <v>1882</v>
      </c>
      <c r="D127" s="81" t="s">
        <v>45</v>
      </c>
      <c r="E127" s="81" t="s">
        <v>2227</v>
      </c>
      <c r="F127" s="81" t="s">
        <v>2227</v>
      </c>
      <c r="G127" s="81" t="s">
        <v>4890</v>
      </c>
      <c r="H127" s="81" t="s">
        <v>2518</v>
      </c>
      <c r="I127" s="81" t="s">
        <v>5633</v>
      </c>
      <c r="J127" s="81" t="s">
        <v>2186</v>
      </c>
      <c r="K127" s="81" t="s">
        <v>5633</v>
      </c>
      <c r="L127" s="81" t="s">
        <v>2392</v>
      </c>
      <c r="M127" s="81" t="s">
        <v>5633</v>
      </c>
      <c r="N127" s="81" t="s">
        <v>2231</v>
      </c>
      <c r="O127" s="81" t="s">
        <v>2187</v>
      </c>
      <c r="P127" s="81" t="s">
        <v>2187</v>
      </c>
      <c r="Q127" s="81" t="s">
        <v>240</v>
      </c>
      <c r="R127" s="81" t="s">
        <v>101</v>
      </c>
      <c r="S127" s="81" t="s">
        <v>101</v>
      </c>
      <c r="T127" s="81" t="s">
        <v>48</v>
      </c>
      <c r="U127" s="81" t="s">
        <v>48</v>
      </c>
      <c r="V127" s="81" t="s">
        <v>49</v>
      </c>
      <c r="W127" s="81" t="s">
        <v>48</v>
      </c>
      <c r="X127" s="81" t="s">
        <v>48</v>
      </c>
      <c r="Y127" s="81" t="s">
        <v>48</v>
      </c>
    </row>
    <row r="128" spans="1:25" x14ac:dyDescent="0.3">
      <c r="A128" s="16">
        <v>7503003738961</v>
      </c>
      <c r="B128" s="81" t="s">
        <v>43</v>
      </c>
      <c r="C128" s="81" t="s">
        <v>241</v>
      </c>
      <c r="D128" s="81" t="s">
        <v>45</v>
      </c>
      <c r="E128" s="81" t="s">
        <v>2404</v>
      </c>
      <c r="F128" s="81" t="s">
        <v>2519</v>
      </c>
      <c r="G128" s="81" t="s">
        <v>4462</v>
      </c>
      <c r="H128" s="81" t="s">
        <v>2429</v>
      </c>
      <c r="I128" s="81" t="s">
        <v>5634</v>
      </c>
      <c r="J128" s="81" t="s">
        <v>2186</v>
      </c>
      <c r="K128" s="81" t="s">
        <v>5634</v>
      </c>
      <c r="L128" s="81" t="s">
        <v>2392</v>
      </c>
      <c r="M128" s="81" t="s">
        <v>5634</v>
      </c>
      <c r="N128" s="81" t="s">
        <v>2231</v>
      </c>
      <c r="O128" s="81" t="s">
        <v>2187</v>
      </c>
      <c r="P128" s="81" t="s">
        <v>2187</v>
      </c>
      <c r="Q128" s="81" t="s">
        <v>242</v>
      </c>
      <c r="R128" s="81" t="s">
        <v>46</v>
      </c>
      <c r="S128" s="81" t="s">
        <v>46</v>
      </c>
      <c r="T128" s="81" t="s">
        <v>48</v>
      </c>
      <c r="U128" s="81" t="s">
        <v>48</v>
      </c>
      <c r="V128" s="81" t="s">
        <v>48</v>
      </c>
      <c r="W128" s="81" t="s">
        <v>49</v>
      </c>
      <c r="X128" s="81" t="s">
        <v>48</v>
      </c>
      <c r="Y128" s="81" t="s">
        <v>48</v>
      </c>
    </row>
    <row r="129" spans="1:25" x14ac:dyDescent="0.3">
      <c r="A129" s="16">
        <v>7502213042738</v>
      </c>
      <c r="B129" s="81" t="s">
        <v>43</v>
      </c>
      <c r="C129" s="81" t="s">
        <v>1883</v>
      </c>
      <c r="D129" s="81" t="s">
        <v>45</v>
      </c>
      <c r="E129" s="81" t="s">
        <v>2284</v>
      </c>
      <c r="F129" s="81" t="s">
        <v>2520</v>
      </c>
      <c r="G129" s="81" t="s">
        <v>5139</v>
      </c>
      <c r="H129" s="81" t="s">
        <v>2506</v>
      </c>
      <c r="I129" s="81" t="s">
        <v>3828</v>
      </c>
      <c r="J129" s="81" t="s">
        <v>2186</v>
      </c>
      <c r="K129" s="81" t="s">
        <v>3828</v>
      </c>
      <c r="L129" s="81" t="s">
        <v>2392</v>
      </c>
      <c r="M129" s="81" t="s">
        <v>3828</v>
      </c>
      <c r="N129" s="81" t="s">
        <v>2231</v>
      </c>
      <c r="O129" s="81" t="s">
        <v>2187</v>
      </c>
      <c r="P129" s="81" t="s">
        <v>2187</v>
      </c>
      <c r="Q129" s="81" t="s">
        <v>243</v>
      </c>
      <c r="R129" s="81" t="s">
        <v>46</v>
      </c>
      <c r="S129" s="81" t="s">
        <v>46</v>
      </c>
      <c r="T129" s="81" t="s">
        <v>48</v>
      </c>
      <c r="U129" s="81" t="s">
        <v>48</v>
      </c>
      <c r="V129" s="81" t="s">
        <v>48</v>
      </c>
      <c r="W129" s="81" t="s">
        <v>49</v>
      </c>
      <c r="X129" s="81" t="s">
        <v>48</v>
      </c>
      <c r="Y129" s="81" t="s">
        <v>48</v>
      </c>
    </row>
    <row r="130" spans="1:25" x14ac:dyDescent="0.3">
      <c r="A130" s="16">
        <v>785118752866</v>
      </c>
      <c r="B130" s="81" t="s">
        <v>43</v>
      </c>
      <c r="C130" s="81" t="s">
        <v>1884</v>
      </c>
      <c r="D130" s="81" t="s">
        <v>45</v>
      </c>
      <c r="E130" s="81" t="s">
        <v>2262</v>
      </c>
      <c r="F130" s="81" t="s">
        <v>2521</v>
      </c>
      <c r="G130" s="81" t="s">
        <v>5121</v>
      </c>
      <c r="H130" s="81" t="s">
        <v>2393</v>
      </c>
      <c r="I130" s="81" t="s">
        <v>5635</v>
      </c>
      <c r="J130" s="81" t="s">
        <v>2186</v>
      </c>
      <c r="K130" s="81" t="s">
        <v>5635</v>
      </c>
      <c r="L130" s="81" t="s">
        <v>2392</v>
      </c>
      <c r="M130" s="81" t="s">
        <v>5635</v>
      </c>
      <c r="N130" s="81" t="s">
        <v>2231</v>
      </c>
      <c r="O130" s="81" t="s">
        <v>2187</v>
      </c>
      <c r="P130" s="81" t="s">
        <v>2187</v>
      </c>
      <c r="Q130" s="81" t="s">
        <v>108</v>
      </c>
      <c r="R130" s="81" t="s">
        <v>46</v>
      </c>
      <c r="S130" s="81" t="s">
        <v>46</v>
      </c>
      <c r="T130" s="81" t="s">
        <v>48</v>
      </c>
      <c r="U130" s="81" t="s">
        <v>48</v>
      </c>
      <c r="V130" s="81" t="s">
        <v>48</v>
      </c>
      <c r="W130" s="81" t="s">
        <v>49</v>
      </c>
      <c r="X130" s="81" t="s">
        <v>48</v>
      </c>
      <c r="Y130" s="81" t="s">
        <v>48</v>
      </c>
    </row>
    <row r="131" spans="1:25" x14ac:dyDescent="0.3">
      <c r="A131" s="16">
        <v>81</v>
      </c>
      <c r="B131" s="81" t="s">
        <v>43</v>
      </c>
      <c r="C131" s="81" t="s">
        <v>244</v>
      </c>
      <c r="D131" s="81" t="s">
        <v>45</v>
      </c>
      <c r="E131" s="81" t="s">
        <v>2412</v>
      </c>
      <c r="F131" s="81" t="s">
        <v>2412</v>
      </c>
      <c r="G131" s="81" t="s">
        <v>2522</v>
      </c>
      <c r="H131" s="81" t="s">
        <v>2523</v>
      </c>
      <c r="I131" s="81" t="s">
        <v>3234</v>
      </c>
      <c r="J131" s="81" t="s">
        <v>2186</v>
      </c>
      <c r="K131" s="81" t="s">
        <v>3234</v>
      </c>
      <c r="L131" s="81" t="s">
        <v>2392</v>
      </c>
      <c r="M131" s="81" t="s">
        <v>3234</v>
      </c>
      <c r="N131" s="81" t="s">
        <v>2231</v>
      </c>
      <c r="O131" s="81" t="s">
        <v>2187</v>
      </c>
      <c r="P131" s="81" t="s">
        <v>2187</v>
      </c>
      <c r="Q131" s="81" t="s">
        <v>43</v>
      </c>
      <c r="R131" s="81" t="s">
        <v>106</v>
      </c>
      <c r="S131" s="81" t="s">
        <v>106</v>
      </c>
      <c r="T131" s="81" t="s">
        <v>48</v>
      </c>
      <c r="U131" s="81" t="s">
        <v>48</v>
      </c>
      <c r="V131" s="81" t="s">
        <v>49</v>
      </c>
      <c r="W131" s="81" t="s">
        <v>48</v>
      </c>
      <c r="X131" s="81" t="s">
        <v>48</v>
      </c>
      <c r="Y131" s="81" t="s">
        <v>48</v>
      </c>
    </row>
    <row r="132" spans="1:25" x14ac:dyDescent="0.3">
      <c r="A132" s="16">
        <v>821998000250</v>
      </c>
      <c r="B132" s="81" t="s">
        <v>43</v>
      </c>
      <c r="C132" s="81" t="s">
        <v>1885</v>
      </c>
      <c r="D132" s="81" t="s">
        <v>45</v>
      </c>
      <c r="E132" s="81" t="s">
        <v>2427</v>
      </c>
      <c r="F132" s="81" t="s">
        <v>2428</v>
      </c>
      <c r="G132" s="81" t="s">
        <v>2525</v>
      </c>
      <c r="H132" s="81" t="s">
        <v>2209</v>
      </c>
      <c r="I132" s="81" t="s">
        <v>5636</v>
      </c>
      <c r="J132" s="81" t="s">
        <v>2186</v>
      </c>
      <c r="K132" s="81" t="s">
        <v>5636</v>
      </c>
      <c r="L132" s="81" t="s">
        <v>2392</v>
      </c>
      <c r="M132" s="81" t="s">
        <v>5636</v>
      </c>
      <c r="N132" s="81" t="s">
        <v>2231</v>
      </c>
      <c r="O132" s="81" t="s">
        <v>2187</v>
      </c>
      <c r="P132" s="81" t="s">
        <v>2187</v>
      </c>
      <c r="Q132" s="81" t="s">
        <v>245</v>
      </c>
      <c r="R132" s="81" t="s">
        <v>46</v>
      </c>
      <c r="S132" s="81" t="s">
        <v>46</v>
      </c>
      <c r="T132" s="81" t="s">
        <v>48</v>
      </c>
      <c r="U132" s="81" t="s">
        <v>48</v>
      </c>
      <c r="V132" s="81" t="s">
        <v>48</v>
      </c>
      <c r="W132" s="81" t="s">
        <v>49</v>
      </c>
      <c r="X132" s="81" t="s">
        <v>48</v>
      </c>
      <c r="Y132" s="81" t="s">
        <v>48</v>
      </c>
    </row>
    <row r="133" spans="1:25" x14ac:dyDescent="0.3">
      <c r="A133" s="16">
        <v>7502227426449</v>
      </c>
      <c r="B133" s="81" t="s">
        <v>43</v>
      </c>
      <c r="C133" s="81" t="s">
        <v>1886</v>
      </c>
      <c r="D133" s="81" t="s">
        <v>45</v>
      </c>
      <c r="E133" s="81" t="s">
        <v>2295</v>
      </c>
      <c r="F133" s="81" t="s">
        <v>2486</v>
      </c>
      <c r="G133" s="81" t="s">
        <v>7104</v>
      </c>
      <c r="H133" s="81" t="s">
        <v>2669</v>
      </c>
      <c r="I133" s="81" t="s">
        <v>5637</v>
      </c>
      <c r="J133" s="81" t="s">
        <v>2186</v>
      </c>
      <c r="K133" s="81" t="s">
        <v>5637</v>
      </c>
      <c r="L133" s="81" t="s">
        <v>2392</v>
      </c>
      <c r="M133" s="81" t="s">
        <v>5637</v>
      </c>
      <c r="N133" s="81" t="s">
        <v>2231</v>
      </c>
      <c r="O133" s="81" t="s">
        <v>2187</v>
      </c>
      <c r="P133" s="81" t="s">
        <v>2187</v>
      </c>
      <c r="Q133" s="81" t="s">
        <v>246</v>
      </c>
      <c r="R133" s="81" t="s">
        <v>46</v>
      </c>
      <c r="S133" s="81" t="s">
        <v>46</v>
      </c>
      <c r="T133" s="81" t="s">
        <v>48</v>
      </c>
      <c r="U133" s="81" t="s">
        <v>48</v>
      </c>
      <c r="V133" s="81" t="s">
        <v>48</v>
      </c>
      <c r="W133" s="81" t="s">
        <v>49</v>
      </c>
      <c r="X133" s="81" t="s">
        <v>48</v>
      </c>
      <c r="Y133" s="81" t="s">
        <v>48</v>
      </c>
    </row>
    <row r="134" spans="1:25" x14ac:dyDescent="0.3">
      <c r="A134" s="16">
        <v>7502009740206</v>
      </c>
      <c r="B134" s="81" t="s">
        <v>43</v>
      </c>
      <c r="C134" s="81" t="s">
        <v>1887</v>
      </c>
      <c r="D134" s="81" t="s">
        <v>45</v>
      </c>
      <c r="E134" s="81" t="s">
        <v>2338</v>
      </c>
      <c r="F134" s="81" t="s">
        <v>2526</v>
      </c>
      <c r="G134" s="81" t="s">
        <v>5070</v>
      </c>
      <c r="H134" s="81" t="s">
        <v>2217</v>
      </c>
      <c r="I134" s="81" t="s">
        <v>5638</v>
      </c>
      <c r="J134" s="81" t="s">
        <v>2186</v>
      </c>
      <c r="K134" s="81" t="s">
        <v>5638</v>
      </c>
      <c r="L134" s="81" t="s">
        <v>2392</v>
      </c>
      <c r="M134" s="81" t="s">
        <v>5638</v>
      </c>
      <c r="N134" s="81" t="s">
        <v>2231</v>
      </c>
      <c r="O134" s="81" t="s">
        <v>2187</v>
      </c>
      <c r="P134" s="81" t="s">
        <v>2187</v>
      </c>
      <c r="Q134" s="81" t="s">
        <v>247</v>
      </c>
      <c r="R134" s="81" t="s">
        <v>51</v>
      </c>
      <c r="S134" s="81" t="s">
        <v>81</v>
      </c>
      <c r="T134" s="81" t="s">
        <v>49</v>
      </c>
      <c r="U134" s="81" t="s">
        <v>48</v>
      </c>
      <c r="V134" s="81" t="s">
        <v>48</v>
      </c>
      <c r="W134" s="81" t="s">
        <v>49</v>
      </c>
      <c r="X134" s="81" t="s">
        <v>48</v>
      </c>
      <c r="Y134" s="81" t="s">
        <v>48</v>
      </c>
    </row>
    <row r="135" spans="1:25" x14ac:dyDescent="0.3">
      <c r="A135" s="16">
        <v>780083140212</v>
      </c>
      <c r="B135" s="81" t="s">
        <v>43</v>
      </c>
      <c r="C135" s="81" t="s">
        <v>248</v>
      </c>
      <c r="D135" s="81" t="s">
        <v>45</v>
      </c>
      <c r="E135" s="81" t="s">
        <v>2262</v>
      </c>
      <c r="F135" s="81" t="s">
        <v>2521</v>
      </c>
      <c r="G135" s="81" t="s">
        <v>2527</v>
      </c>
      <c r="H135" s="81" t="s">
        <v>2424</v>
      </c>
      <c r="I135" s="81" t="s">
        <v>5639</v>
      </c>
      <c r="J135" s="81" t="s">
        <v>2186</v>
      </c>
      <c r="K135" s="81" t="s">
        <v>5639</v>
      </c>
      <c r="L135" s="81" t="s">
        <v>2392</v>
      </c>
      <c r="M135" s="81" t="s">
        <v>5639</v>
      </c>
      <c r="N135" s="81" t="s">
        <v>2231</v>
      </c>
      <c r="O135" s="81" t="s">
        <v>2187</v>
      </c>
      <c r="P135" s="81" t="s">
        <v>2187</v>
      </c>
      <c r="Q135" s="81" t="s">
        <v>43</v>
      </c>
      <c r="R135" s="81" t="s">
        <v>46</v>
      </c>
      <c r="S135" s="81" t="s">
        <v>47</v>
      </c>
      <c r="T135" s="81" t="s">
        <v>48</v>
      </c>
      <c r="U135" s="81" t="s">
        <v>48</v>
      </c>
      <c r="V135" s="81" t="s">
        <v>48</v>
      </c>
      <c r="W135" s="81" t="s">
        <v>49</v>
      </c>
      <c r="X135" s="81" t="s">
        <v>48</v>
      </c>
      <c r="Y135" s="81" t="s">
        <v>48</v>
      </c>
    </row>
    <row r="136" spans="1:25" x14ac:dyDescent="0.3">
      <c r="A136" s="16">
        <v>780083140731</v>
      </c>
      <c r="B136" s="81" t="s">
        <v>43</v>
      </c>
      <c r="C136" s="81" t="s">
        <v>2100</v>
      </c>
      <c r="D136" s="81" t="s">
        <v>45</v>
      </c>
      <c r="E136" s="81" t="s">
        <v>2528</v>
      </c>
      <c r="F136" s="81" t="s">
        <v>2529</v>
      </c>
      <c r="G136" s="81" t="s">
        <v>4965</v>
      </c>
      <c r="H136" s="81" t="s">
        <v>2434</v>
      </c>
      <c r="I136" s="81" t="s">
        <v>5640</v>
      </c>
      <c r="J136" s="81" t="s">
        <v>2186</v>
      </c>
      <c r="K136" s="81" t="s">
        <v>5640</v>
      </c>
      <c r="L136" s="81" t="s">
        <v>2392</v>
      </c>
      <c r="M136" s="81" t="s">
        <v>5640</v>
      </c>
      <c r="N136" s="81" t="s">
        <v>2231</v>
      </c>
      <c r="O136" s="81" t="s">
        <v>2187</v>
      </c>
      <c r="P136" s="81" t="s">
        <v>2187</v>
      </c>
      <c r="Q136" s="81" t="s">
        <v>43</v>
      </c>
      <c r="R136" s="81" t="s">
        <v>46</v>
      </c>
      <c r="S136" s="81" t="s">
        <v>46</v>
      </c>
      <c r="T136" s="81" t="s">
        <v>48</v>
      </c>
      <c r="U136" s="81" t="s">
        <v>48</v>
      </c>
      <c r="V136" s="81" t="s">
        <v>48</v>
      </c>
      <c r="W136" s="81" t="s">
        <v>49</v>
      </c>
      <c r="X136" s="81" t="s">
        <v>48</v>
      </c>
      <c r="Y136" s="81" t="s">
        <v>48</v>
      </c>
    </row>
    <row r="137" spans="1:25" x14ac:dyDescent="0.3">
      <c r="A137" s="16">
        <v>7502001163232</v>
      </c>
      <c r="B137" s="81" t="s">
        <v>43</v>
      </c>
      <c r="C137" s="81" t="s">
        <v>1888</v>
      </c>
      <c r="D137" s="81" t="s">
        <v>45</v>
      </c>
      <c r="E137" s="81" t="s">
        <v>2375</v>
      </c>
      <c r="F137" s="81" t="s">
        <v>2530</v>
      </c>
      <c r="G137" s="81" t="s">
        <v>5097</v>
      </c>
      <c r="H137" s="81" t="s">
        <v>2287</v>
      </c>
      <c r="I137" s="81" t="s">
        <v>5641</v>
      </c>
      <c r="J137" s="81" t="s">
        <v>2186</v>
      </c>
      <c r="K137" s="81" t="s">
        <v>5641</v>
      </c>
      <c r="L137" s="81" t="s">
        <v>2392</v>
      </c>
      <c r="M137" s="81" t="s">
        <v>5641</v>
      </c>
      <c r="N137" s="81" t="s">
        <v>2231</v>
      </c>
      <c r="O137" s="81" t="s">
        <v>2187</v>
      </c>
      <c r="P137" s="81" t="s">
        <v>2187</v>
      </c>
      <c r="Q137" s="81" t="s">
        <v>43</v>
      </c>
      <c r="R137" s="81" t="s">
        <v>46</v>
      </c>
      <c r="S137" s="81" t="s">
        <v>164</v>
      </c>
      <c r="T137" s="81" t="s">
        <v>48</v>
      </c>
      <c r="U137" s="81" t="s">
        <v>48</v>
      </c>
      <c r="V137" s="81" t="s">
        <v>48</v>
      </c>
      <c r="W137" s="81" t="s">
        <v>49</v>
      </c>
      <c r="X137" s="81" t="s">
        <v>48</v>
      </c>
      <c r="Y137" s="81" t="s">
        <v>48</v>
      </c>
    </row>
    <row r="138" spans="1:25" x14ac:dyDescent="0.3">
      <c r="A138" s="16">
        <v>7503008344785</v>
      </c>
      <c r="B138" s="81" t="s">
        <v>43</v>
      </c>
      <c r="C138" s="81" t="s">
        <v>249</v>
      </c>
      <c r="D138" s="81" t="s">
        <v>45</v>
      </c>
      <c r="E138" s="81" t="s">
        <v>2531</v>
      </c>
      <c r="F138" s="81" t="s">
        <v>2532</v>
      </c>
      <c r="G138" s="81" t="s">
        <v>7105</v>
      </c>
      <c r="H138" s="81" t="s">
        <v>2202</v>
      </c>
      <c r="I138" s="81" t="s">
        <v>5594</v>
      </c>
      <c r="J138" s="81" t="s">
        <v>2186</v>
      </c>
      <c r="K138" s="81" t="s">
        <v>5594</v>
      </c>
      <c r="L138" s="81" t="s">
        <v>2392</v>
      </c>
      <c r="M138" s="81" t="s">
        <v>5594</v>
      </c>
      <c r="N138" s="81" t="s">
        <v>2231</v>
      </c>
      <c r="O138" s="81" t="s">
        <v>2187</v>
      </c>
      <c r="P138" s="81" t="s">
        <v>2187</v>
      </c>
      <c r="Q138" s="81" t="s">
        <v>250</v>
      </c>
      <c r="R138" s="81" t="s">
        <v>46</v>
      </c>
      <c r="S138" s="81" t="s">
        <v>46</v>
      </c>
      <c r="T138" s="81" t="s">
        <v>48</v>
      </c>
      <c r="U138" s="81" t="s">
        <v>48</v>
      </c>
      <c r="V138" s="81" t="s">
        <v>48</v>
      </c>
      <c r="W138" s="81" t="s">
        <v>49</v>
      </c>
      <c r="X138" s="81" t="s">
        <v>48</v>
      </c>
      <c r="Y138" s="81" t="s">
        <v>48</v>
      </c>
    </row>
    <row r="139" spans="1:25" x14ac:dyDescent="0.3">
      <c r="A139" s="16">
        <v>7502003381672</v>
      </c>
      <c r="B139" s="81" t="s">
        <v>43</v>
      </c>
      <c r="C139" s="81" t="s">
        <v>1798</v>
      </c>
      <c r="D139" s="81" t="s">
        <v>45</v>
      </c>
      <c r="E139" s="81" t="s">
        <v>2398</v>
      </c>
      <c r="F139" s="81" t="s">
        <v>2399</v>
      </c>
      <c r="G139" s="81" t="s">
        <v>5642</v>
      </c>
      <c r="H139" s="81" t="s">
        <v>2503</v>
      </c>
      <c r="I139" s="81" t="s">
        <v>5643</v>
      </c>
      <c r="J139" s="81" t="s">
        <v>2186</v>
      </c>
      <c r="K139" s="81" t="s">
        <v>5643</v>
      </c>
      <c r="L139" s="81" t="s">
        <v>2392</v>
      </c>
      <c r="M139" s="81" t="s">
        <v>5643</v>
      </c>
      <c r="N139" s="81" t="s">
        <v>2231</v>
      </c>
      <c r="O139" s="81" t="s">
        <v>2187</v>
      </c>
      <c r="P139" s="81" t="s">
        <v>2187</v>
      </c>
      <c r="Q139" s="81" t="s">
        <v>43</v>
      </c>
      <c r="R139" s="81" t="s">
        <v>46</v>
      </c>
      <c r="S139" s="81" t="s">
        <v>46</v>
      </c>
      <c r="T139" s="81" t="s">
        <v>48</v>
      </c>
      <c r="U139" s="81" t="s">
        <v>48</v>
      </c>
      <c r="V139" s="81" t="s">
        <v>48</v>
      </c>
      <c r="W139" s="81" t="s">
        <v>49</v>
      </c>
      <c r="X139" s="81" t="s">
        <v>48</v>
      </c>
      <c r="Y139" s="81" t="s">
        <v>48</v>
      </c>
    </row>
    <row r="140" spans="1:25" x14ac:dyDescent="0.3">
      <c r="A140" s="16">
        <v>7501825302599</v>
      </c>
      <c r="B140" s="81" t="s">
        <v>43</v>
      </c>
      <c r="C140" s="81" t="s">
        <v>251</v>
      </c>
      <c r="D140" s="81" t="s">
        <v>45</v>
      </c>
      <c r="E140" s="81" t="s">
        <v>2355</v>
      </c>
      <c r="F140" s="81" t="s">
        <v>2507</v>
      </c>
      <c r="G140" s="81" t="s">
        <v>2534</v>
      </c>
      <c r="H140" s="81" t="s">
        <v>5644</v>
      </c>
      <c r="I140" s="81" t="s">
        <v>5645</v>
      </c>
      <c r="J140" s="81" t="s">
        <v>2186</v>
      </c>
      <c r="K140" s="81" t="s">
        <v>5645</v>
      </c>
      <c r="L140" s="81" t="s">
        <v>2392</v>
      </c>
      <c r="M140" s="81" t="s">
        <v>5645</v>
      </c>
      <c r="N140" s="81" t="s">
        <v>2231</v>
      </c>
      <c r="O140" s="81" t="s">
        <v>2187</v>
      </c>
      <c r="P140" s="81" t="s">
        <v>2187</v>
      </c>
      <c r="Q140" s="81" t="s">
        <v>252</v>
      </c>
      <c r="R140" s="81" t="s">
        <v>46</v>
      </c>
      <c r="S140" s="81" t="s">
        <v>47</v>
      </c>
      <c r="T140" s="81" t="s">
        <v>48</v>
      </c>
      <c r="U140" s="81" t="s">
        <v>48</v>
      </c>
      <c r="V140" s="81" t="s">
        <v>48</v>
      </c>
      <c r="W140" s="81" t="s">
        <v>49</v>
      </c>
      <c r="X140" s="81" t="s">
        <v>48</v>
      </c>
      <c r="Y140" s="81" t="s">
        <v>48</v>
      </c>
    </row>
    <row r="141" spans="1:25" x14ac:dyDescent="0.3">
      <c r="A141" s="16">
        <v>7502211789277</v>
      </c>
      <c r="B141" s="81" t="s">
        <v>43</v>
      </c>
      <c r="C141" s="81" t="s">
        <v>2536</v>
      </c>
      <c r="D141" s="81" t="s">
        <v>45</v>
      </c>
      <c r="E141" s="81" t="s">
        <v>2263</v>
      </c>
      <c r="F141" s="81" t="s">
        <v>2335</v>
      </c>
      <c r="G141" s="81" t="s">
        <v>5434</v>
      </c>
      <c r="H141" s="81" t="s">
        <v>5646</v>
      </c>
      <c r="I141" s="81" t="s">
        <v>5647</v>
      </c>
      <c r="J141" s="81" t="s">
        <v>2186</v>
      </c>
      <c r="K141" s="81" t="s">
        <v>5647</v>
      </c>
      <c r="L141" s="81" t="s">
        <v>2392</v>
      </c>
      <c r="M141" s="81" t="s">
        <v>5647</v>
      </c>
      <c r="N141" s="81" t="s">
        <v>2231</v>
      </c>
      <c r="O141" s="81" t="s">
        <v>2187</v>
      </c>
      <c r="P141" s="81" t="s">
        <v>2187</v>
      </c>
      <c r="Q141" s="81" t="s">
        <v>253</v>
      </c>
      <c r="R141" s="81" t="s">
        <v>46</v>
      </c>
      <c r="S141" s="81" t="s">
        <v>164</v>
      </c>
      <c r="T141" s="81" t="s">
        <v>48</v>
      </c>
      <c r="U141" s="81" t="s">
        <v>48</v>
      </c>
      <c r="V141" s="81" t="s">
        <v>48</v>
      </c>
      <c r="W141" s="81" t="s">
        <v>49</v>
      </c>
      <c r="X141" s="81" t="s">
        <v>48</v>
      </c>
      <c r="Y141" s="81" t="s">
        <v>48</v>
      </c>
    </row>
    <row r="142" spans="1:25" x14ac:dyDescent="0.3">
      <c r="A142" s="16">
        <v>7502216806481</v>
      </c>
      <c r="B142" s="81" t="s">
        <v>43</v>
      </c>
      <c r="C142" s="81" t="s">
        <v>1734</v>
      </c>
      <c r="D142" s="81" t="s">
        <v>45</v>
      </c>
      <c r="E142" s="81" t="s">
        <v>2510</v>
      </c>
      <c r="F142" s="81" t="s">
        <v>2538</v>
      </c>
      <c r="G142" s="81" t="s">
        <v>2539</v>
      </c>
      <c r="H142" s="81" t="s">
        <v>2181</v>
      </c>
      <c r="I142" s="81" t="s">
        <v>5648</v>
      </c>
      <c r="J142" s="81" t="s">
        <v>2186</v>
      </c>
      <c r="K142" s="81" t="s">
        <v>5648</v>
      </c>
      <c r="L142" s="81" t="s">
        <v>2392</v>
      </c>
      <c r="M142" s="81" t="s">
        <v>5648</v>
      </c>
      <c r="N142" s="81" t="s">
        <v>2231</v>
      </c>
      <c r="O142" s="81" t="s">
        <v>2187</v>
      </c>
      <c r="P142" s="81" t="s">
        <v>2187</v>
      </c>
      <c r="Q142" s="81" t="s">
        <v>43</v>
      </c>
      <c r="R142" s="81" t="s">
        <v>46</v>
      </c>
      <c r="S142" s="81" t="s">
        <v>47</v>
      </c>
      <c r="T142" s="81" t="s">
        <v>48</v>
      </c>
      <c r="U142" s="81" t="s">
        <v>48</v>
      </c>
      <c r="V142" s="81" t="s">
        <v>48</v>
      </c>
      <c r="W142" s="81" t="s">
        <v>49</v>
      </c>
      <c r="X142" s="81" t="s">
        <v>48</v>
      </c>
      <c r="Y142" s="81" t="s">
        <v>48</v>
      </c>
    </row>
    <row r="143" spans="1:25" x14ac:dyDescent="0.3">
      <c r="A143" s="16">
        <v>7502216797376</v>
      </c>
      <c r="B143" s="81" t="s">
        <v>43</v>
      </c>
      <c r="C143" s="81" t="s">
        <v>254</v>
      </c>
      <c r="D143" s="81" t="s">
        <v>45</v>
      </c>
      <c r="E143" s="81" t="s">
        <v>2338</v>
      </c>
      <c r="F143" s="81" t="s">
        <v>2526</v>
      </c>
      <c r="G143" s="81" t="s">
        <v>5201</v>
      </c>
      <c r="H143" s="81" t="s">
        <v>2237</v>
      </c>
      <c r="I143" s="81" t="s">
        <v>5649</v>
      </c>
      <c r="J143" s="81" t="s">
        <v>2186</v>
      </c>
      <c r="K143" s="81" t="s">
        <v>5649</v>
      </c>
      <c r="L143" s="81" t="s">
        <v>2392</v>
      </c>
      <c r="M143" s="81" t="s">
        <v>5649</v>
      </c>
      <c r="N143" s="81" t="s">
        <v>2231</v>
      </c>
      <c r="O143" s="81" t="s">
        <v>2187</v>
      </c>
      <c r="P143" s="81" t="s">
        <v>2187</v>
      </c>
      <c r="Q143" s="81" t="s">
        <v>255</v>
      </c>
      <c r="R143" s="81" t="s">
        <v>46</v>
      </c>
      <c r="S143" s="81" t="s">
        <v>47</v>
      </c>
      <c r="T143" s="81" t="s">
        <v>48</v>
      </c>
      <c r="U143" s="81" t="s">
        <v>48</v>
      </c>
      <c r="V143" s="81" t="s">
        <v>48</v>
      </c>
      <c r="W143" s="81" t="s">
        <v>49</v>
      </c>
      <c r="X143" s="81" t="s">
        <v>48</v>
      </c>
      <c r="Y143" s="81" t="s">
        <v>48</v>
      </c>
    </row>
    <row r="144" spans="1:25" x14ac:dyDescent="0.3">
      <c r="A144" s="16">
        <v>7501258203593</v>
      </c>
      <c r="B144" s="81" t="s">
        <v>43</v>
      </c>
      <c r="C144" s="81" t="s">
        <v>5009</v>
      </c>
      <c r="D144" s="81" t="s">
        <v>45</v>
      </c>
      <c r="E144" s="81" t="s">
        <v>2227</v>
      </c>
      <c r="F144" s="81" t="s">
        <v>2227</v>
      </c>
      <c r="G144" s="81" t="s">
        <v>4794</v>
      </c>
      <c r="H144" s="81" t="s">
        <v>2287</v>
      </c>
      <c r="I144" s="81" t="s">
        <v>5258</v>
      </c>
      <c r="J144" s="81" t="s">
        <v>2186</v>
      </c>
      <c r="K144" s="81" t="s">
        <v>5258</v>
      </c>
      <c r="L144" s="81" t="s">
        <v>2392</v>
      </c>
      <c r="M144" s="81" t="s">
        <v>5258</v>
      </c>
      <c r="N144" s="81" t="s">
        <v>2231</v>
      </c>
      <c r="O144" s="81" t="s">
        <v>2187</v>
      </c>
      <c r="P144" s="81" t="s">
        <v>2187</v>
      </c>
      <c r="Q144" s="81" t="s">
        <v>5010</v>
      </c>
      <c r="R144" s="81" t="s">
        <v>106</v>
      </c>
      <c r="S144" s="81" t="s">
        <v>106</v>
      </c>
      <c r="T144" s="81" t="s">
        <v>48</v>
      </c>
      <c r="U144" s="81" t="s">
        <v>48</v>
      </c>
      <c r="V144" s="81" t="s">
        <v>48</v>
      </c>
      <c r="W144" s="81" t="s">
        <v>49</v>
      </c>
      <c r="X144" s="81" t="s">
        <v>48</v>
      </c>
      <c r="Y144" s="81" t="s">
        <v>48</v>
      </c>
    </row>
    <row r="145" spans="1:25" x14ac:dyDescent="0.3">
      <c r="A145" s="16">
        <v>7501825300366</v>
      </c>
      <c r="B145" s="81" t="s">
        <v>43</v>
      </c>
      <c r="C145" s="81" t="s">
        <v>256</v>
      </c>
      <c r="D145" s="81" t="s">
        <v>45</v>
      </c>
      <c r="E145" s="81" t="s">
        <v>2540</v>
      </c>
      <c r="F145" s="81" t="s">
        <v>2541</v>
      </c>
      <c r="G145" s="81" t="s">
        <v>4516</v>
      </c>
      <c r="H145" s="81" t="s">
        <v>2343</v>
      </c>
      <c r="I145" s="81" t="s">
        <v>2328</v>
      </c>
      <c r="J145" s="81" t="s">
        <v>2186</v>
      </c>
      <c r="K145" s="81" t="s">
        <v>2328</v>
      </c>
      <c r="L145" s="81" t="s">
        <v>2392</v>
      </c>
      <c r="M145" s="81" t="s">
        <v>2328</v>
      </c>
      <c r="N145" s="81" t="s">
        <v>2231</v>
      </c>
      <c r="O145" s="81" t="s">
        <v>2187</v>
      </c>
      <c r="P145" s="81" t="s">
        <v>2187</v>
      </c>
      <c r="Q145" s="81" t="s">
        <v>43</v>
      </c>
      <c r="R145" s="81" t="s">
        <v>46</v>
      </c>
      <c r="S145" s="81" t="s">
        <v>46</v>
      </c>
      <c r="T145" s="81" t="s">
        <v>48</v>
      </c>
      <c r="U145" s="81" t="s">
        <v>48</v>
      </c>
      <c r="V145" s="81" t="s">
        <v>48</v>
      </c>
      <c r="W145" s="81" t="s">
        <v>49</v>
      </c>
      <c r="X145" s="81" t="s">
        <v>48</v>
      </c>
      <c r="Y145" s="81" t="s">
        <v>48</v>
      </c>
    </row>
    <row r="146" spans="1:25" x14ac:dyDescent="0.3">
      <c r="A146" s="16">
        <v>7501573900153</v>
      </c>
      <c r="B146" s="81" t="s">
        <v>43</v>
      </c>
      <c r="C146" s="81" t="s">
        <v>2101</v>
      </c>
      <c r="D146" s="81" t="s">
        <v>45</v>
      </c>
      <c r="E146" s="81" t="s">
        <v>2227</v>
      </c>
      <c r="F146" s="81" t="s">
        <v>2227</v>
      </c>
      <c r="G146" s="81" t="s">
        <v>4449</v>
      </c>
      <c r="H146" s="81" t="s">
        <v>2198</v>
      </c>
      <c r="I146" s="81" t="s">
        <v>5650</v>
      </c>
      <c r="J146" s="81" t="s">
        <v>2186</v>
      </c>
      <c r="K146" s="81" t="s">
        <v>5650</v>
      </c>
      <c r="L146" s="81" t="s">
        <v>2392</v>
      </c>
      <c r="M146" s="81" t="s">
        <v>5650</v>
      </c>
      <c r="N146" s="81" t="s">
        <v>2231</v>
      </c>
      <c r="O146" s="81" t="s">
        <v>2187</v>
      </c>
      <c r="P146" s="81" t="s">
        <v>2187</v>
      </c>
      <c r="Q146" s="81" t="s">
        <v>4450</v>
      </c>
      <c r="R146" s="81" t="s">
        <v>203</v>
      </c>
      <c r="S146" s="81" t="s">
        <v>203</v>
      </c>
      <c r="T146" s="81" t="s">
        <v>48</v>
      </c>
      <c r="U146" s="81" t="s">
        <v>48</v>
      </c>
      <c r="V146" s="81" t="s">
        <v>48</v>
      </c>
      <c r="W146" s="81" t="s">
        <v>49</v>
      </c>
      <c r="X146" s="81" t="s">
        <v>48</v>
      </c>
      <c r="Y146" s="81" t="s">
        <v>48</v>
      </c>
    </row>
    <row r="147" spans="1:25" x14ac:dyDescent="0.3">
      <c r="A147" s="16">
        <v>7502009740763</v>
      </c>
      <c r="B147" s="81" t="s">
        <v>43</v>
      </c>
      <c r="C147" s="81" t="s">
        <v>1889</v>
      </c>
      <c r="D147" s="81" t="s">
        <v>45</v>
      </c>
      <c r="E147" s="81" t="s">
        <v>2543</v>
      </c>
      <c r="F147" s="81" t="s">
        <v>2544</v>
      </c>
      <c r="G147" s="81" t="s">
        <v>4891</v>
      </c>
      <c r="H147" s="81" t="s">
        <v>2503</v>
      </c>
      <c r="I147" s="81" t="s">
        <v>5651</v>
      </c>
      <c r="J147" s="81" t="s">
        <v>2186</v>
      </c>
      <c r="K147" s="81" t="s">
        <v>5651</v>
      </c>
      <c r="L147" s="81" t="s">
        <v>2392</v>
      </c>
      <c r="M147" s="81" t="s">
        <v>5651</v>
      </c>
      <c r="N147" s="81" t="s">
        <v>2231</v>
      </c>
      <c r="O147" s="81" t="s">
        <v>2187</v>
      </c>
      <c r="P147" s="81" t="s">
        <v>2187</v>
      </c>
      <c r="Q147" s="81" t="s">
        <v>257</v>
      </c>
      <c r="R147" s="81" t="s">
        <v>51</v>
      </c>
      <c r="S147" s="81" t="s">
        <v>47</v>
      </c>
      <c r="T147" s="81" t="s">
        <v>49</v>
      </c>
      <c r="U147" s="81" t="s">
        <v>48</v>
      </c>
      <c r="V147" s="81" t="s">
        <v>48</v>
      </c>
      <c r="W147" s="81" t="s">
        <v>49</v>
      </c>
      <c r="X147" s="81" t="s">
        <v>48</v>
      </c>
      <c r="Y147" s="81" t="s">
        <v>48</v>
      </c>
    </row>
    <row r="148" spans="1:25" x14ac:dyDescent="0.3">
      <c r="A148" s="16">
        <v>7502216796331</v>
      </c>
      <c r="B148" s="81" t="s">
        <v>43</v>
      </c>
      <c r="C148" s="81" t="s">
        <v>258</v>
      </c>
      <c r="D148" s="81" t="s">
        <v>45</v>
      </c>
      <c r="E148" s="81" t="s">
        <v>2545</v>
      </c>
      <c r="F148" s="81" t="s">
        <v>2333</v>
      </c>
      <c r="G148" s="81" t="s">
        <v>5071</v>
      </c>
      <c r="H148" s="81" t="s">
        <v>2535</v>
      </c>
      <c r="I148" s="81" t="s">
        <v>5652</v>
      </c>
      <c r="J148" s="81" t="s">
        <v>2186</v>
      </c>
      <c r="K148" s="81" t="s">
        <v>5652</v>
      </c>
      <c r="L148" s="81" t="s">
        <v>2392</v>
      </c>
      <c r="M148" s="81" t="s">
        <v>5652</v>
      </c>
      <c r="N148" s="81" t="s">
        <v>2231</v>
      </c>
      <c r="O148" s="81" t="s">
        <v>2187</v>
      </c>
      <c r="P148" s="81" t="s">
        <v>2187</v>
      </c>
      <c r="Q148" s="81" t="s">
        <v>259</v>
      </c>
      <c r="R148" s="81" t="s">
        <v>46</v>
      </c>
      <c r="S148" s="81" t="s">
        <v>46</v>
      </c>
      <c r="T148" s="81" t="s">
        <v>48</v>
      </c>
      <c r="U148" s="81" t="s">
        <v>48</v>
      </c>
      <c r="V148" s="81" t="s">
        <v>48</v>
      </c>
      <c r="W148" s="81" t="s">
        <v>49</v>
      </c>
      <c r="X148" s="81" t="s">
        <v>48</v>
      </c>
      <c r="Y148" s="81" t="s">
        <v>48</v>
      </c>
    </row>
    <row r="149" spans="1:25" x14ac:dyDescent="0.3">
      <c r="A149" s="16">
        <v>7502001165489</v>
      </c>
      <c r="B149" s="81" t="s">
        <v>43</v>
      </c>
      <c r="C149" s="81" t="s">
        <v>1890</v>
      </c>
      <c r="D149" s="81" t="s">
        <v>45</v>
      </c>
      <c r="E149" s="81" t="s">
        <v>2546</v>
      </c>
      <c r="F149" s="81" t="s">
        <v>2547</v>
      </c>
      <c r="G149" s="81" t="s">
        <v>5098</v>
      </c>
      <c r="H149" s="81" t="s">
        <v>2325</v>
      </c>
      <c r="I149" s="81" t="s">
        <v>5653</v>
      </c>
      <c r="J149" s="81" t="s">
        <v>2186</v>
      </c>
      <c r="K149" s="81" t="s">
        <v>5653</v>
      </c>
      <c r="L149" s="81" t="s">
        <v>2392</v>
      </c>
      <c r="M149" s="81" t="s">
        <v>5653</v>
      </c>
      <c r="N149" s="81" t="s">
        <v>2231</v>
      </c>
      <c r="O149" s="81" t="s">
        <v>2187</v>
      </c>
      <c r="P149" s="81" t="s">
        <v>2187</v>
      </c>
      <c r="Q149" s="81" t="s">
        <v>260</v>
      </c>
      <c r="R149" s="81" t="s">
        <v>46</v>
      </c>
      <c r="S149" s="81" t="s">
        <v>46</v>
      </c>
      <c r="T149" s="81" t="s">
        <v>48</v>
      </c>
      <c r="U149" s="81" t="s">
        <v>48</v>
      </c>
      <c r="V149" s="81" t="s">
        <v>48</v>
      </c>
      <c r="W149" s="81" t="s">
        <v>49</v>
      </c>
      <c r="X149" s="81" t="s">
        <v>48</v>
      </c>
      <c r="Y149" s="81" t="s">
        <v>48</v>
      </c>
    </row>
    <row r="150" spans="1:25" x14ac:dyDescent="0.3">
      <c r="A150" s="16">
        <v>4015630006779</v>
      </c>
      <c r="B150" s="81" t="s">
        <v>43</v>
      </c>
      <c r="C150" s="81" t="s">
        <v>2102</v>
      </c>
      <c r="D150" s="81" t="s">
        <v>45</v>
      </c>
      <c r="E150" s="81" t="s">
        <v>2363</v>
      </c>
      <c r="F150" s="81" t="s">
        <v>2364</v>
      </c>
      <c r="G150" s="81" t="s">
        <v>2548</v>
      </c>
      <c r="H150" s="81" t="s">
        <v>5654</v>
      </c>
      <c r="I150" s="81" t="s">
        <v>5655</v>
      </c>
      <c r="J150" s="81" t="s">
        <v>2186</v>
      </c>
      <c r="K150" s="81" t="s">
        <v>5655</v>
      </c>
      <c r="L150" s="81" t="s">
        <v>2392</v>
      </c>
      <c r="M150" s="81" t="s">
        <v>5655</v>
      </c>
      <c r="N150" s="81" t="s">
        <v>2231</v>
      </c>
      <c r="O150" s="81" t="s">
        <v>2187</v>
      </c>
      <c r="P150" s="81" t="s">
        <v>2187</v>
      </c>
      <c r="Q150" s="81" t="s">
        <v>43</v>
      </c>
      <c r="R150" s="81" t="s">
        <v>122</v>
      </c>
      <c r="S150" s="81" t="s">
        <v>123</v>
      </c>
      <c r="T150" s="81" t="s">
        <v>48</v>
      </c>
      <c r="U150" s="81" t="s">
        <v>48</v>
      </c>
      <c r="V150" s="81" t="s">
        <v>49</v>
      </c>
      <c r="W150" s="81" t="s">
        <v>48</v>
      </c>
      <c r="X150" s="81" t="s">
        <v>48</v>
      </c>
      <c r="Y150" s="81" t="s">
        <v>48</v>
      </c>
    </row>
    <row r="151" spans="1:25" x14ac:dyDescent="0.3">
      <c r="A151" s="16">
        <v>7501075710250</v>
      </c>
      <c r="B151" s="81" t="s">
        <v>43</v>
      </c>
      <c r="C151" s="81" t="s">
        <v>261</v>
      </c>
      <c r="D151" s="81" t="s">
        <v>45</v>
      </c>
      <c r="E151" s="81" t="s">
        <v>2549</v>
      </c>
      <c r="F151" s="81" t="s">
        <v>2550</v>
      </c>
      <c r="G151" s="81" t="s">
        <v>4657</v>
      </c>
      <c r="H151" s="81" t="s">
        <v>2237</v>
      </c>
      <c r="I151" s="81" t="s">
        <v>5656</v>
      </c>
      <c r="J151" s="81" t="s">
        <v>2186</v>
      </c>
      <c r="K151" s="81" t="s">
        <v>5656</v>
      </c>
      <c r="L151" s="81" t="s">
        <v>2392</v>
      </c>
      <c r="M151" s="81" t="s">
        <v>5656</v>
      </c>
      <c r="N151" s="81" t="s">
        <v>2231</v>
      </c>
      <c r="O151" s="81" t="s">
        <v>2187</v>
      </c>
      <c r="P151" s="81" t="s">
        <v>2187</v>
      </c>
      <c r="Q151" s="81" t="s">
        <v>262</v>
      </c>
      <c r="R151" s="81" t="s">
        <v>46</v>
      </c>
      <c r="S151" s="81" t="s">
        <v>47</v>
      </c>
      <c r="T151" s="81" t="s">
        <v>48</v>
      </c>
      <c r="U151" s="81" t="s">
        <v>48</v>
      </c>
      <c r="V151" s="81" t="s">
        <v>48</v>
      </c>
      <c r="W151" s="81" t="s">
        <v>49</v>
      </c>
      <c r="X151" s="81" t="s">
        <v>48</v>
      </c>
      <c r="Y151" s="81" t="s">
        <v>48</v>
      </c>
    </row>
    <row r="152" spans="1:25" x14ac:dyDescent="0.3">
      <c r="A152" s="16">
        <v>7501165003040</v>
      </c>
      <c r="B152" s="81" t="s">
        <v>43</v>
      </c>
      <c r="C152" s="81" t="s">
        <v>1891</v>
      </c>
      <c r="D152" s="81" t="s">
        <v>45</v>
      </c>
      <c r="E152" s="81" t="s">
        <v>2333</v>
      </c>
      <c r="F152" s="81" t="s">
        <v>2551</v>
      </c>
      <c r="G152" s="81" t="s">
        <v>5657</v>
      </c>
      <c r="H152" s="81" t="s">
        <v>2904</v>
      </c>
      <c r="I152" s="81" t="s">
        <v>5658</v>
      </c>
      <c r="J152" s="81" t="s">
        <v>2186</v>
      </c>
      <c r="K152" s="81" t="s">
        <v>5658</v>
      </c>
      <c r="L152" s="81" t="s">
        <v>2392</v>
      </c>
      <c r="M152" s="81" t="s">
        <v>5658</v>
      </c>
      <c r="N152" s="81" t="s">
        <v>2231</v>
      </c>
      <c r="O152" s="81" t="s">
        <v>2187</v>
      </c>
      <c r="P152" s="81" t="s">
        <v>2187</v>
      </c>
      <c r="Q152" s="81" t="s">
        <v>263</v>
      </c>
      <c r="R152" s="81" t="s">
        <v>203</v>
      </c>
      <c r="S152" s="81" t="s">
        <v>203</v>
      </c>
      <c r="T152" s="81" t="s">
        <v>48</v>
      </c>
      <c r="U152" s="81" t="s">
        <v>48</v>
      </c>
      <c r="V152" s="81" t="s">
        <v>48</v>
      </c>
      <c r="W152" s="81" t="s">
        <v>49</v>
      </c>
      <c r="X152" s="81" t="s">
        <v>48</v>
      </c>
      <c r="Y152" s="81" t="s">
        <v>48</v>
      </c>
    </row>
    <row r="153" spans="1:25" x14ac:dyDescent="0.3">
      <c r="A153" s="16">
        <v>7502211780359</v>
      </c>
      <c r="B153" s="81" t="s">
        <v>43</v>
      </c>
      <c r="C153" s="81" t="s">
        <v>264</v>
      </c>
      <c r="D153" s="81" t="s">
        <v>45</v>
      </c>
      <c r="E153" s="81" t="s">
        <v>2554</v>
      </c>
      <c r="F153" s="81" t="s">
        <v>2555</v>
      </c>
      <c r="G153" s="81" t="s">
        <v>5177</v>
      </c>
      <c r="H153" s="81" t="s">
        <v>2217</v>
      </c>
      <c r="I153" s="81" t="s">
        <v>5659</v>
      </c>
      <c r="J153" s="81" t="s">
        <v>2186</v>
      </c>
      <c r="K153" s="81" t="s">
        <v>5659</v>
      </c>
      <c r="L153" s="81" t="s">
        <v>2392</v>
      </c>
      <c r="M153" s="81" t="s">
        <v>5659</v>
      </c>
      <c r="N153" s="81" t="s">
        <v>2231</v>
      </c>
      <c r="O153" s="81" t="s">
        <v>2187</v>
      </c>
      <c r="P153" s="81" t="s">
        <v>2187</v>
      </c>
      <c r="Q153" s="81" t="s">
        <v>265</v>
      </c>
      <c r="R153" s="81" t="s">
        <v>46</v>
      </c>
      <c r="S153" s="81" t="s">
        <v>46</v>
      </c>
      <c r="T153" s="81" t="s">
        <v>48</v>
      </c>
      <c r="U153" s="81" t="s">
        <v>48</v>
      </c>
      <c r="V153" s="81" t="s">
        <v>48</v>
      </c>
      <c r="W153" s="81" t="s">
        <v>49</v>
      </c>
      <c r="X153" s="81" t="s">
        <v>48</v>
      </c>
      <c r="Y153" s="81" t="s">
        <v>48</v>
      </c>
    </row>
    <row r="154" spans="1:25" x14ac:dyDescent="0.3">
      <c r="A154" s="16">
        <v>7501400800564</v>
      </c>
      <c r="B154" s="81" t="s">
        <v>43</v>
      </c>
      <c r="C154" s="81" t="s">
        <v>1892</v>
      </c>
      <c r="D154" s="81" t="s">
        <v>45</v>
      </c>
      <c r="E154" s="81" t="s">
        <v>2557</v>
      </c>
      <c r="F154" s="81" t="s">
        <v>2370</v>
      </c>
      <c r="G154" s="81" t="s">
        <v>5178</v>
      </c>
      <c r="H154" s="81" t="s">
        <v>2682</v>
      </c>
      <c r="I154" s="81" t="s">
        <v>5660</v>
      </c>
      <c r="J154" s="81" t="s">
        <v>2186</v>
      </c>
      <c r="K154" s="81" t="s">
        <v>5660</v>
      </c>
      <c r="L154" s="81" t="s">
        <v>2392</v>
      </c>
      <c r="M154" s="81" t="s">
        <v>5660</v>
      </c>
      <c r="N154" s="81" t="s">
        <v>2231</v>
      </c>
      <c r="O154" s="81" t="s">
        <v>2187</v>
      </c>
      <c r="P154" s="81" t="s">
        <v>2187</v>
      </c>
      <c r="Q154" s="81" t="s">
        <v>43</v>
      </c>
      <c r="R154" s="81" t="s">
        <v>46</v>
      </c>
      <c r="S154" s="81" t="s">
        <v>47</v>
      </c>
      <c r="T154" s="81" t="s">
        <v>48</v>
      </c>
      <c r="U154" s="81" t="s">
        <v>48</v>
      </c>
      <c r="V154" s="81" t="s">
        <v>48</v>
      </c>
      <c r="W154" s="81" t="s">
        <v>49</v>
      </c>
      <c r="X154" s="81" t="s">
        <v>48</v>
      </c>
      <c r="Y154" s="81" t="s">
        <v>48</v>
      </c>
    </row>
    <row r="155" spans="1:25" x14ac:dyDescent="0.3">
      <c r="A155" s="16">
        <v>7502208891471</v>
      </c>
      <c r="B155" s="81" t="s">
        <v>43</v>
      </c>
      <c r="C155" s="81" t="s">
        <v>266</v>
      </c>
      <c r="D155" s="81" t="s">
        <v>45</v>
      </c>
      <c r="E155" s="81" t="s">
        <v>2357</v>
      </c>
      <c r="F155" s="81" t="s">
        <v>2457</v>
      </c>
      <c r="G155" s="81" t="s">
        <v>4298</v>
      </c>
      <c r="H155" s="81" t="s">
        <v>2503</v>
      </c>
      <c r="I155" s="81" t="s">
        <v>5661</v>
      </c>
      <c r="J155" s="81" t="s">
        <v>2186</v>
      </c>
      <c r="K155" s="81" t="s">
        <v>5661</v>
      </c>
      <c r="L155" s="81" t="s">
        <v>2392</v>
      </c>
      <c r="M155" s="81" t="s">
        <v>5661</v>
      </c>
      <c r="N155" s="81" t="s">
        <v>2231</v>
      </c>
      <c r="O155" s="81" t="s">
        <v>2187</v>
      </c>
      <c r="P155" s="81" t="s">
        <v>2187</v>
      </c>
      <c r="Q155" s="81" t="s">
        <v>267</v>
      </c>
      <c r="R155" s="81" t="s">
        <v>46</v>
      </c>
      <c r="S155" s="81" t="s">
        <v>46</v>
      </c>
      <c r="T155" s="81" t="s">
        <v>48</v>
      </c>
      <c r="U155" s="81" t="s">
        <v>48</v>
      </c>
      <c r="V155" s="81" t="s">
        <v>48</v>
      </c>
      <c r="W155" s="81" t="s">
        <v>49</v>
      </c>
      <c r="X155" s="81" t="s">
        <v>48</v>
      </c>
      <c r="Y155" s="81" t="s">
        <v>48</v>
      </c>
    </row>
    <row r="156" spans="1:25" x14ac:dyDescent="0.3">
      <c r="A156" s="16">
        <v>7502009744013</v>
      </c>
      <c r="B156" s="81" t="s">
        <v>43</v>
      </c>
      <c r="C156" s="81" t="s">
        <v>2103</v>
      </c>
      <c r="D156" s="81" t="s">
        <v>45</v>
      </c>
      <c r="E156" s="81" t="s">
        <v>2262</v>
      </c>
      <c r="F156" s="81" t="s">
        <v>2521</v>
      </c>
      <c r="G156" s="81" t="s">
        <v>3775</v>
      </c>
      <c r="H156" s="81" t="s">
        <v>2353</v>
      </c>
      <c r="I156" s="81" t="s">
        <v>5662</v>
      </c>
      <c r="J156" s="81" t="s">
        <v>2186</v>
      </c>
      <c r="K156" s="81" t="s">
        <v>5662</v>
      </c>
      <c r="L156" s="81" t="s">
        <v>2392</v>
      </c>
      <c r="M156" s="81" t="s">
        <v>5662</v>
      </c>
      <c r="N156" s="81" t="s">
        <v>2231</v>
      </c>
      <c r="O156" s="81" t="s">
        <v>2187</v>
      </c>
      <c r="P156" s="81" t="s">
        <v>2187</v>
      </c>
      <c r="Q156" s="81" t="s">
        <v>268</v>
      </c>
      <c r="R156" s="81" t="s">
        <v>46</v>
      </c>
      <c r="S156" s="81" t="s">
        <v>47</v>
      </c>
      <c r="T156" s="81" t="s">
        <v>48</v>
      </c>
      <c r="U156" s="81" t="s">
        <v>48</v>
      </c>
      <c r="V156" s="81" t="s">
        <v>48</v>
      </c>
      <c r="W156" s="81" t="s">
        <v>49</v>
      </c>
      <c r="X156" s="81" t="s">
        <v>48</v>
      </c>
      <c r="Y156" s="81" t="s">
        <v>48</v>
      </c>
    </row>
    <row r="157" spans="1:25" x14ac:dyDescent="0.3">
      <c r="A157" s="16">
        <v>7502227425022</v>
      </c>
      <c r="B157" s="81" t="s">
        <v>43</v>
      </c>
      <c r="C157" s="81" t="s">
        <v>269</v>
      </c>
      <c r="D157" s="81" t="s">
        <v>45</v>
      </c>
      <c r="E157" s="81" t="s">
        <v>2562</v>
      </c>
      <c r="F157" s="81" t="s">
        <v>2563</v>
      </c>
      <c r="G157" s="81" t="s">
        <v>7106</v>
      </c>
      <c r="H157" s="81" t="s">
        <v>2264</v>
      </c>
      <c r="I157" s="81" t="s">
        <v>5663</v>
      </c>
      <c r="J157" s="81" t="s">
        <v>2186</v>
      </c>
      <c r="K157" s="81" t="s">
        <v>5663</v>
      </c>
      <c r="L157" s="81" t="s">
        <v>2392</v>
      </c>
      <c r="M157" s="81" t="s">
        <v>5663</v>
      </c>
      <c r="N157" s="81" t="s">
        <v>2231</v>
      </c>
      <c r="O157" s="81" t="s">
        <v>2187</v>
      </c>
      <c r="P157" s="81" t="s">
        <v>2187</v>
      </c>
      <c r="Q157" s="81" t="s">
        <v>270</v>
      </c>
      <c r="R157" s="81" t="s">
        <v>46</v>
      </c>
      <c r="S157" s="81" t="s">
        <v>46</v>
      </c>
      <c r="T157" s="81" t="s">
        <v>48</v>
      </c>
      <c r="U157" s="81" t="s">
        <v>48</v>
      </c>
      <c r="V157" s="81" t="s">
        <v>48</v>
      </c>
      <c r="W157" s="81" t="s">
        <v>49</v>
      </c>
      <c r="X157" s="81" t="s">
        <v>48</v>
      </c>
      <c r="Y157" s="81" t="s">
        <v>48</v>
      </c>
    </row>
    <row r="158" spans="1:25" x14ac:dyDescent="0.3">
      <c r="A158" s="16">
        <v>650240013805</v>
      </c>
      <c r="B158" s="81" t="s">
        <v>43</v>
      </c>
      <c r="C158" s="81" t="s">
        <v>271</v>
      </c>
      <c r="D158" s="81" t="s">
        <v>45</v>
      </c>
      <c r="E158" s="81" t="s">
        <v>2564</v>
      </c>
      <c r="F158" s="81" t="s">
        <v>2565</v>
      </c>
      <c r="G158" s="81" t="s">
        <v>5179</v>
      </c>
      <c r="H158" s="81" t="s">
        <v>2416</v>
      </c>
      <c r="I158" s="81" t="s">
        <v>3380</v>
      </c>
      <c r="J158" s="81" t="s">
        <v>2186</v>
      </c>
      <c r="K158" s="81" t="s">
        <v>3380</v>
      </c>
      <c r="L158" s="81" t="s">
        <v>2392</v>
      </c>
      <c r="M158" s="81" t="s">
        <v>3380</v>
      </c>
      <c r="N158" s="81" t="s">
        <v>2231</v>
      </c>
      <c r="O158" s="81" t="s">
        <v>2187</v>
      </c>
      <c r="P158" s="81" t="s">
        <v>2187</v>
      </c>
      <c r="Q158" s="81" t="s">
        <v>272</v>
      </c>
      <c r="R158" s="81" t="s">
        <v>203</v>
      </c>
      <c r="S158" s="81" t="s">
        <v>47</v>
      </c>
      <c r="T158" s="81" t="s">
        <v>48</v>
      </c>
      <c r="U158" s="81" t="s">
        <v>48</v>
      </c>
      <c r="V158" s="81" t="s">
        <v>48</v>
      </c>
      <c r="W158" s="81" t="s">
        <v>49</v>
      </c>
      <c r="X158" s="81" t="s">
        <v>48</v>
      </c>
      <c r="Y158" s="81" t="s">
        <v>48</v>
      </c>
    </row>
    <row r="159" spans="1:25" x14ac:dyDescent="0.3">
      <c r="A159" s="16">
        <v>7501008443026</v>
      </c>
      <c r="B159" s="81" t="s">
        <v>43</v>
      </c>
      <c r="C159" s="81" t="s">
        <v>273</v>
      </c>
      <c r="D159" s="81" t="s">
        <v>45</v>
      </c>
      <c r="E159" s="81" t="s">
        <v>2298</v>
      </c>
      <c r="F159" s="81" t="s">
        <v>2545</v>
      </c>
      <c r="G159" s="81" t="s">
        <v>5317</v>
      </c>
      <c r="H159" s="81" t="s">
        <v>2567</v>
      </c>
      <c r="I159" s="81" t="s">
        <v>4154</v>
      </c>
      <c r="J159" s="81" t="s">
        <v>2186</v>
      </c>
      <c r="K159" s="81" t="s">
        <v>4486</v>
      </c>
      <c r="L159" s="81" t="s">
        <v>2392</v>
      </c>
      <c r="M159" s="81" t="s">
        <v>2568</v>
      </c>
      <c r="N159" s="81" t="s">
        <v>2231</v>
      </c>
      <c r="O159" s="81" t="s">
        <v>2187</v>
      </c>
      <c r="P159" s="81" t="s">
        <v>2187</v>
      </c>
      <c r="Q159" s="81" t="s">
        <v>43</v>
      </c>
      <c r="R159" s="81" t="s">
        <v>203</v>
      </c>
      <c r="S159" s="81" t="s">
        <v>47</v>
      </c>
      <c r="T159" s="81" t="s">
        <v>48</v>
      </c>
      <c r="U159" s="81" t="s">
        <v>48</v>
      </c>
      <c r="V159" s="81" t="s">
        <v>48</v>
      </c>
      <c r="W159" s="81" t="s">
        <v>49</v>
      </c>
      <c r="X159" s="81" t="s">
        <v>48</v>
      </c>
      <c r="Y159" s="81" t="s">
        <v>48</v>
      </c>
    </row>
    <row r="160" spans="1:25" x14ac:dyDescent="0.3">
      <c r="A160" s="16">
        <v>7501075710113</v>
      </c>
      <c r="B160" s="81" t="s">
        <v>43</v>
      </c>
      <c r="C160" s="81" t="s">
        <v>274</v>
      </c>
      <c r="D160" s="81" t="s">
        <v>45</v>
      </c>
      <c r="E160" s="81" t="s">
        <v>2443</v>
      </c>
      <c r="F160" s="81" t="s">
        <v>2483</v>
      </c>
      <c r="G160" s="81" t="s">
        <v>5237</v>
      </c>
      <c r="H160" s="81" t="s">
        <v>2287</v>
      </c>
      <c r="I160" s="81" t="s">
        <v>5664</v>
      </c>
      <c r="J160" s="81" t="s">
        <v>2186</v>
      </c>
      <c r="K160" s="81" t="s">
        <v>5664</v>
      </c>
      <c r="L160" s="81" t="s">
        <v>2392</v>
      </c>
      <c r="M160" s="81" t="s">
        <v>5664</v>
      </c>
      <c r="N160" s="81" t="s">
        <v>2231</v>
      </c>
      <c r="O160" s="81" t="s">
        <v>2187</v>
      </c>
      <c r="P160" s="81" t="s">
        <v>2187</v>
      </c>
      <c r="Q160" s="81" t="s">
        <v>43</v>
      </c>
      <c r="R160" s="81" t="s">
        <v>46</v>
      </c>
      <c r="S160" s="81" t="s">
        <v>46</v>
      </c>
      <c r="T160" s="81" t="s">
        <v>48</v>
      </c>
      <c r="U160" s="81" t="s">
        <v>48</v>
      </c>
      <c r="V160" s="81" t="s">
        <v>48</v>
      </c>
      <c r="W160" s="81" t="s">
        <v>49</v>
      </c>
      <c r="X160" s="81" t="s">
        <v>48</v>
      </c>
      <c r="Y160" s="81" t="s">
        <v>48</v>
      </c>
    </row>
    <row r="161" spans="1:25" x14ac:dyDescent="0.3">
      <c r="A161" s="16">
        <v>7501349012011</v>
      </c>
      <c r="B161" s="81" t="s">
        <v>43</v>
      </c>
      <c r="C161" s="81" t="s">
        <v>275</v>
      </c>
      <c r="D161" s="81" t="s">
        <v>45</v>
      </c>
      <c r="E161" s="81" t="s">
        <v>2308</v>
      </c>
      <c r="F161" s="81" t="s">
        <v>2180</v>
      </c>
      <c r="G161" s="81" t="s">
        <v>2569</v>
      </c>
      <c r="H161" s="81" t="s">
        <v>5238</v>
      </c>
      <c r="I161" s="81" t="s">
        <v>5665</v>
      </c>
      <c r="J161" s="81" t="s">
        <v>2186</v>
      </c>
      <c r="K161" s="81" t="s">
        <v>5665</v>
      </c>
      <c r="L161" s="81" t="s">
        <v>2392</v>
      </c>
      <c r="M161" s="81" t="s">
        <v>5665</v>
      </c>
      <c r="N161" s="81" t="s">
        <v>2231</v>
      </c>
      <c r="O161" s="81" t="s">
        <v>2187</v>
      </c>
      <c r="P161" s="81" t="s">
        <v>2187</v>
      </c>
      <c r="Q161" s="81" t="s">
        <v>276</v>
      </c>
      <c r="R161" s="81" t="s">
        <v>51</v>
      </c>
      <c r="S161" s="81" t="s">
        <v>73</v>
      </c>
      <c r="T161" s="81" t="s">
        <v>49</v>
      </c>
      <c r="U161" s="81" t="s">
        <v>48</v>
      </c>
      <c r="V161" s="81" t="s">
        <v>48</v>
      </c>
      <c r="W161" s="81" t="s">
        <v>49</v>
      </c>
      <c r="X161" s="81" t="s">
        <v>48</v>
      </c>
      <c r="Y161" s="81" t="s">
        <v>48</v>
      </c>
    </row>
    <row r="162" spans="1:25" x14ac:dyDescent="0.3">
      <c r="A162" s="16">
        <v>7501349021488</v>
      </c>
      <c r="B162" s="81" t="s">
        <v>43</v>
      </c>
      <c r="C162" s="81" t="s">
        <v>277</v>
      </c>
      <c r="D162" s="81" t="s">
        <v>45</v>
      </c>
      <c r="E162" s="81" t="s">
        <v>2281</v>
      </c>
      <c r="F162" s="81" t="s">
        <v>2570</v>
      </c>
      <c r="G162" s="81" t="s">
        <v>4849</v>
      </c>
      <c r="H162" s="81" t="s">
        <v>2429</v>
      </c>
      <c r="I162" s="81" t="s">
        <v>5532</v>
      </c>
      <c r="J162" s="81" t="s">
        <v>2186</v>
      </c>
      <c r="K162" s="81" t="s">
        <v>5532</v>
      </c>
      <c r="L162" s="81" t="s">
        <v>2392</v>
      </c>
      <c r="M162" s="81" t="s">
        <v>5532</v>
      </c>
      <c r="N162" s="81" t="s">
        <v>2231</v>
      </c>
      <c r="O162" s="81" t="s">
        <v>2187</v>
      </c>
      <c r="P162" s="81" t="s">
        <v>2187</v>
      </c>
      <c r="Q162" s="81" t="s">
        <v>278</v>
      </c>
      <c r="R162" s="81" t="s">
        <v>51</v>
      </c>
      <c r="S162" s="81" t="s">
        <v>73</v>
      </c>
      <c r="T162" s="81" t="s">
        <v>49</v>
      </c>
      <c r="U162" s="81" t="s">
        <v>48</v>
      </c>
      <c r="V162" s="81" t="s">
        <v>48</v>
      </c>
      <c r="W162" s="81" t="s">
        <v>49</v>
      </c>
      <c r="X162" s="81" t="s">
        <v>48</v>
      </c>
      <c r="Y162" s="81" t="s">
        <v>48</v>
      </c>
    </row>
    <row r="163" spans="1:25" x14ac:dyDescent="0.3">
      <c r="A163" s="16">
        <v>7501349021594</v>
      </c>
      <c r="B163" s="81" t="s">
        <v>43</v>
      </c>
      <c r="C163" s="81" t="s">
        <v>279</v>
      </c>
      <c r="D163" s="81" t="s">
        <v>45</v>
      </c>
      <c r="E163" s="81" t="s">
        <v>2435</v>
      </c>
      <c r="F163" s="81" t="s">
        <v>2204</v>
      </c>
      <c r="G163" s="81" t="s">
        <v>3304</v>
      </c>
      <c r="H163" s="81" t="s">
        <v>2223</v>
      </c>
      <c r="I163" s="81" t="s">
        <v>5666</v>
      </c>
      <c r="J163" s="81" t="s">
        <v>2186</v>
      </c>
      <c r="K163" s="81" t="s">
        <v>5666</v>
      </c>
      <c r="L163" s="81" t="s">
        <v>2392</v>
      </c>
      <c r="M163" s="81" t="s">
        <v>5666</v>
      </c>
      <c r="N163" s="81" t="s">
        <v>2231</v>
      </c>
      <c r="O163" s="81" t="s">
        <v>2187</v>
      </c>
      <c r="P163" s="81" t="s">
        <v>2187</v>
      </c>
      <c r="Q163" s="81" t="s">
        <v>280</v>
      </c>
      <c r="R163" s="81" t="s">
        <v>51</v>
      </c>
      <c r="S163" s="81" t="s">
        <v>47</v>
      </c>
      <c r="T163" s="81" t="s">
        <v>49</v>
      </c>
      <c r="U163" s="81" t="s">
        <v>48</v>
      </c>
      <c r="V163" s="81" t="s">
        <v>48</v>
      </c>
      <c r="W163" s="81" t="s">
        <v>49</v>
      </c>
      <c r="X163" s="81" t="s">
        <v>48</v>
      </c>
      <c r="Y163" s="81" t="s">
        <v>48</v>
      </c>
    </row>
    <row r="164" spans="1:25" x14ac:dyDescent="0.3">
      <c r="A164" s="16">
        <v>780083140922</v>
      </c>
      <c r="B164" s="81" t="s">
        <v>43</v>
      </c>
      <c r="C164" s="81" t="s">
        <v>1893</v>
      </c>
      <c r="D164" s="81" t="s">
        <v>45</v>
      </c>
      <c r="E164" s="81" t="s">
        <v>2571</v>
      </c>
      <c r="F164" s="81" t="s">
        <v>2572</v>
      </c>
      <c r="G164" s="81" t="s">
        <v>5239</v>
      </c>
      <c r="H164" s="81" t="s">
        <v>2415</v>
      </c>
      <c r="I164" s="81" t="s">
        <v>2691</v>
      </c>
      <c r="J164" s="81" t="s">
        <v>2186</v>
      </c>
      <c r="K164" s="81" t="s">
        <v>2691</v>
      </c>
      <c r="L164" s="81" t="s">
        <v>2392</v>
      </c>
      <c r="M164" s="81" t="s">
        <v>2691</v>
      </c>
      <c r="N164" s="81" t="s">
        <v>2231</v>
      </c>
      <c r="O164" s="81" t="s">
        <v>2187</v>
      </c>
      <c r="P164" s="81" t="s">
        <v>2187</v>
      </c>
      <c r="Q164" s="81" t="s">
        <v>281</v>
      </c>
      <c r="R164" s="81" t="s">
        <v>51</v>
      </c>
      <c r="S164" s="81" t="s">
        <v>81</v>
      </c>
      <c r="T164" s="81" t="s">
        <v>49</v>
      </c>
      <c r="U164" s="81" t="s">
        <v>48</v>
      </c>
      <c r="V164" s="81" t="s">
        <v>48</v>
      </c>
      <c r="W164" s="81" t="s">
        <v>49</v>
      </c>
      <c r="X164" s="81" t="s">
        <v>48</v>
      </c>
      <c r="Y164" s="81" t="s">
        <v>48</v>
      </c>
    </row>
    <row r="165" spans="1:25" x14ac:dyDescent="0.3">
      <c r="A165" s="16">
        <v>7501075721072</v>
      </c>
      <c r="B165" s="81" t="s">
        <v>43</v>
      </c>
      <c r="C165" s="81" t="s">
        <v>282</v>
      </c>
      <c r="D165" s="81" t="s">
        <v>45</v>
      </c>
      <c r="E165" s="81" t="s">
        <v>2494</v>
      </c>
      <c r="F165" s="81" t="s">
        <v>2574</v>
      </c>
      <c r="G165" s="81" t="s">
        <v>2575</v>
      </c>
      <c r="H165" s="81" t="s">
        <v>2193</v>
      </c>
      <c r="I165" s="81" t="s">
        <v>2429</v>
      </c>
      <c r="J165" s="81" t="s">
        <v>2186</v>
      </c>
      <c r="K165" s="81" t="s">
        <v>2429</v>
      </c>
      <c r="L165" s="81" t="s">
        <v>2392</v>
      </c>
      <c r="M165" s="81" t="s">
        <v>2429</v>
      </c>
      <c r="N165" s="81" t="s">
        <v>2231</v>
      </c>
      <c r="O165" s="81" t="s">
        <v>2187</v>
      </c>
      <c r="P165" s="81" t="s">
        <v>2187</v>
      </c>
      <c r="Q165" s="81" t="s">
        <v>283</v>
      </c>
      <c r="R165" s="81" t="s">
        <v>46</v>
      </c>
      <c r="S165" s="81" t="s">
        <v>46</v>
      </c>
      <c r="T165" s="81" t="s">
        <v>48</v>
      </c>
      <c r="U165" s="81" t="s">
        <v>48</v>
      </c>
      <c r="V165" s="81" t="s">
        <v>48</v>
      </c>
      <c r="W165" s="81" t="s">
        <v>49</v>
      </c>
      <c r="X165" s="81" t="s">
        <v>48</v>
      </c>
      <c r="Y165" s="81" t="s">
        <v>48</v>
      </c>
    </row>
    <row r="166" spans="1:25" x14ac:dyDescent="0.3">
      <c r="A166" s="16">
        <v>7501088509773</v>
      </c>
      <c r="B166" s="81" t="s">
        <v>43</v>
      </c>
      <c r="C166" s="81" t="s">
        <v>2576</v>
      </c>
      <c r="D166" s="81" t="s">
        <v>45</v>
      </c>
      <c r="E166" s="81" t="s">
        <v>2577</v>
      </c>
      <c r="F166" s="81" t="s">
        <v>2578</v>
      </c>
      <c r="G166" s="81" t="s">
        <v>5462</v>
      </c>
      <c r="H166" s="81" t="s">
        <v>3336</v>
      </c>
      <c r="I166" s="81" t="s">
        <v>4487</v>
      </c>
      <c r="J166" s="81" t="s">
        <v>2186</v>
      </c>
      <c r="K166" s="81" t="s">
        <v>3004</v>
      </c>
      <c r="L166" s="81" t="s">
        <v>2392</v>
      </c>
      <c r="M166" s="81" t="s">
        <v>2904</v>
      </c>
      <c r="N166" s="81" t="s">
        <v>2231</v>
      </c>
      <c r="O166" s="81" t="s">
        <v>2187</v>
      </c>
      <c r="P166" s="81" t="s">
        <v>2187</v>
      </c>
      <c r="Q166" s="81" t="s">
        <v>284</v>
      </c>
      <c r="R166" s="81" t="s">
        <v>203</v>
      </c>
      <c r="S166" s="81" t="s">
        <v>203</v>
      </c>
      <c r="T166" s="81" t="s">
        <v>48</v>
      </c>
      <c r="U166" s="81" t="s">
        <v>48</v>
      </c>
      <c r="V166" s="81" t="s">
        <v>48</v>
      </c>
      <c r="W166" s="81" t="s">
        <v>49</v>
      </c>
      <c r="X166" s="81" t="s">
        <v>48</v>
      </c>
      <c r="Y166" s="81" t="s">
        <v>48</v>
      </c>
    </row>
    <row r="167" spans="1:25" x14ac:dyDescent="0.3">
      <c r="A167" s="16">
        <v>7502253600714</v>
      </c>
      <c r="B167" s="81" t="s">
        <v>43</v>
      </c>
      <c r="C167" s="81" t="s">
        <v>285</v>
      </c>
      <c r="D167" s="81" t="s">
        <v>45</v>
      </c>
      <c r="E167" s="81" t="s">
        <v>2227</v>
      </c>
      <c r="F167" s="81" t="s">
        <v>2227</v>
      </c>
      <c r="G167" s="81" t="s">
        <v>2579</v>
      </c>
      <c r="H167" s="81" t="s">
        <v>2580</v>
      </c>
      <c r="I167" s="81" t="s">
        <v>5667</v>
      </c>
      <c r="J167" s="81" t="s">
        <v>2186</v>
      </c>
      <c r="K167" s="81" t="s">
        <v>5667</v>
      </c>
      <c r="L167" s="81" t="s">
        <v>2392</v>
      </c>
      <c r="M167" s="81" t="s">
        <v>5667</v>
      </c>
      <c r="N167" s="81" t="s">
        <v>2231</v>
      </c>
      <c r="O167" s="81" t="s">
        <v>2187</v>
      </c>
      <c r="P167" s="81" t="s">
        <v>2187</v>
      </c>
      <c r="Q167" s="81" t="s">
        <v>43</v>
      </c>
      <c r="R167" s="81" t="s">
        <v>101</v>
      </c>
      <c r="S167" s="81" t="s">
        <v>101</v>
      </c>
      <c r="T167" s="81" t="s">
        <v>48</v>
      </c>
      <c r="U167" s="81" t="s">
        <v>48</v>
      </c>
      <c r="V167" s="81" t="s">
        <v>49</v>
      </c>
      <c r="W167" s="81" t="s">
        <v>48</v>
      </c>
      <c r="X167" s="81" t="s">
        <v>48</v>
      </c>
      <c r="Y167" s="81" t="s">
        <v>48</v>
      </c>
    </row>
    <row r="168" spans="1:25" x14ac:dyDescent="0.3">
      <c r="A168" s="16">
        <v>7501318673205</v>
      </c>
      <c r="B168" s="81" t="s">
        <v>43</v>
      </c>
      <c r="C168" s="81" t="s">
        <v>286</v>
      </c>
      <c r="D168" s="81" t="s">
        <v>45</v>
      </c>
      <c r="E168" s="81" t="s">
        <v>2465</v>
      </c>
      <c r="F168" s="81" t="s">
        <v>2210</v>
      </c>
      <c r="G168" s="81" t="s">
        <v>4767</v>
      </c>
      <c r="H168" s="81" t="s">
        <v>4800</v>
      </c>
      <c r="I168" s="81" t="s">
        <v>4827</v>
      </c>
      <c r="J168" s="81" t="s">
        <v>2186</v>
      </c>
      <c r="K168" s="81" t="s">
        <v>4827</v>
      </c>
      <c r="L168" s="81" t="s">
        <v>2392</v>
      </c>
      <c r="M168" s="81" t="s">
        <v>4827</v>
      </c>
      <c r="N168" s="81" t="s">
        <v>2231</v>
      </c>
      <c r="O168" s="81" t="s">
        <v>2187</v>
      </c>
      <c r="P168" s="81" t="s">
        <v>2187</v>
      </c>
      <c r="Q168" s="81" t="s">
        <v>43</v>
      </c>
      <c r="R168" s="81" t="s">
        <v>203</v>
      </c>
      <c r="S168" s="81" t="s">
        <v>47</v>
      </c>
      <c r="T168" s="81" t="s">
        <v>48</v>
      </c>
      <c r="U168" s="81" t="s">
        <v>48</v>
      </c>
      <c r="V168" s="81" t="s">
        <v>48</v>
      </c>
      <c r="W168" s="81" t="s">
        <v>49</v>
      </c>
      <c r="X168" s="81" t="s">
        <v>48</v>
      </c>
      <c r="Y168" s="81" t="s">
        <v>48</v>
      </c>
    </row>
    <row r="169" spans="1:25" x14ac:dyDescent="0.3">
      <c r="A169" s="16">
        <v>7501318612655</v>
      </c>
      <c r="B169" s="81" t="s">
        <v>43</v>
      </c>
      <c r="C169" s="81" t="s">
        <v>287</v>
      </c>
      <c r="D169" s="81" t="s">
        <v>45</v>
      </c>
      <c r="E169" s="81" t="s">
        <v>2234</v>
      </c>
      <c r="F169" s="81" t="s">
        <v>2583</v>
      </c>
      <c r="G169" s="81" t="s">
        <v>4850</v>
      </c>
      <c r="H169" s="81" t="s">
        <v>2682</v>
      </c>
      <c r="I169" s="81" t="s">
        <v>5668</v>
      </c>
      <c r="J169" s="81" t="s">
        <v>2186</v>
      </c>
      <c r="K169" s="81" t="s">
        <v>5668</v>
      </c>
      <c r="L169" s="81" t="s">
        <v>2392</v>
      </c>
      <c r="M169" s="81" t="s">
        <v>5668</v>
      </c>
      <c r="N169" s="81" t="s">
        <v>2231</v>
      </c>
      <c r="O169" s="81" t="s">
        <v>2187</v>
      </c>
      <c r="P169" s="81" t="s">
        <v>2187</v>
      </c>
      <c r="Q169" s="81" t="s">
        <v>288</v>
      </c>
      <c r="R169" s="81" t="s">
        <v>203</v>
      </c>
      <c r="S169" s="81" t="s">
        <v>47</v>
      </c>
      <c r="T169" s="81" t="s">
        <v>48</v>
      </c>
      <c r="U169" s="81" t="s">
        <v>48</v>
      </c>
      <c r="V169" s="81" t="s">
        <v>48</v>
      </c>
      <c r="W169" s="81" t="s">
        <v>49</v>
      </c>
      <c r="X169" s="81" t="s">
        <v>48</v>
      </c>
      <c r="Y169" s="81" t="s">
        <v>48</v>
      </c>
    </row>
    <row r="170" spans="1:25" x14ac:dyDescent="0.3">
      <c r="A170" s="16">
        <v>7502001162976</v>
      </c>
      <c r="B170" s="81" t="s">
        <v>43</v>
      </c>
      <c r="C170" s="81" t="s">
        <v>289</v>
      </c>
      <c r="D170" s="81" t="s">
        <v>45</v>
      </c>
      <c r="E170" s="81" t="s">
        <v>2585</v>
      </c>
      <c r="F170" s="81" t="s">
        <v>2586</v>
      </c>
      <c r="G170" s="81" t="s">
        <v>2752</v>
      </c>
      <c r="H170" s="81" t="s">
        <v>2243</v>
      </c>
      <c r="I170" s="81" t="s">
        <v>5669</v>
      </c>
      <c r="J170" s="81" t="s">
        <v>2186</v>
      </c>
      <c r="K170" s="81" t="s">
        <v>5669</v>
      </c>
      <c r="L170" s="81" t="s">
        <v>2392</v>
      </c>
      <c r="M170" s="81" t="s">
        <v>5669</v>
      </c>
      <c r="N170" s="81" t="s">
        <v>2231</v>
      </c>
      <c r="O170" s="81" t="s">
        <v>2187</v>
      </c>
      <c r="P170" s="81" t="s">
        <v>2187</v>
      </c>
      <c r="Q170" s="81" t="s">
        <v>290</v>
      </c>
      <c r="R170" s="81" t="s">
        <v>46</v>
      </c>
      <c r="S170" s="81" t="s">
        <v>46</v>
      </c>
      <c r="T170" s="81" t="s">
        <v>48</v>
      </c>
      <c r="U170" s="81" t="s">
        <v>48</v>
      </c>
      <c r="V170" s="81" t="s">
        <v>48</v>
      </c>
      <c r="W170" s="81" t="s">
        <v>49</v>
      </c>
      <c r="X170" s="81" t="s">
        <v>48</v>
      </c>
      <c r="Y170" s="81" t="s">
        <v>48</v>
      </c>
    </row>
    <row r="171" spans="1:25" x14ac:dyDescent="0.3">
      <c r="A171" s="16">
        <v>7503000422283</v>
      </c>
      <c r="B171" s="81" t="s">
        <v>43</v>
      </c>
      <c r="C171" s="81" t="s">
        <v>1799</v>
      </c>
      <c r="D171" s="81" t="s">
        <v>45</v>
      </c>
      <c r="E171" s="81" t="s">
        <v>2587</v>
      </c>
      <c r="F171" s="81" t="s">
        <v>2588</v>
      </c>
      <c r="G171" s="81" t="s">
        <v>5463</v>
      </c>
      <c r="H171" s="81" t="s">
        <v>2243</v>
      </c>
      <c r="I171" s="81" t="s">
        <v>5670</v>
      </c>
      <c r="J171" s="81" t="s">
        <v>2186</v>
      </c>
      <c r="K171" s="81" t="s">
        <v>5670</v>
      </c>
      <c r="L171" s="81" t="s">
        <v>2392</v>
      </c>
      <c r="M171" s="81" t="s">
        <v>5670</v>
      </c>
      <c r="N171" s="81" t="s">
        <v>2231</v>
      </c>
      <c r="O171" s="81" t="s">
        <v>2187</v>
      </c>
      <c r="P171" s="81" t="s">
        <v>2187</v>
      </c>
      <c r="Q171" s="81" t="s">
        <v>291</v>
      </c>
      <c r="R171" s="81" t="s">
        <v>51</v>
      </c>
      <c r="S171" s="81" t="s">
        <v>47</v>
      </c>
      <c r="T171" s="81" t="s">
        <v>49</v>
      </c>
      <c r="U171" s="81" t="s">
        <v>48</v>
      </c>
      <c r="V171" s="81" t="s">
        <v>48</v>
      </c>
      <c r="W171" s="81" t="s">
        <v>49</v>
      </c>
      <c r="X171" s="81" t="s">
        <v>48</v>
      </c>
      <c r="Y171" s="81" t="s">
        <v>48</v>
      </c>
    </row>
    <row r="172" spans="1:25" x14ac:dyDescent="0.3">
      <c r="A172" s="16">
        <v>7502001165564</v>
      </c>
      <c r="B172" s="81" t="s">
        <v>43</v>
      </c>
      <c r="C172" s="81" t="s">
        <v>2104</v>
      </c>
      <c r="D172" s="81" t="s">
        <v>45</v>
      </c>
      <c r="E172" s="81" t="s">
        <v>2492</v>
      </c>
      <c r="F172" s="81" t="s">
        <v>2589</v>
      </c>
      <c r="G172" s="81" t="s">
        <v>2504</v>
      </c>
      <c r="H172" s="81" t="s">
        <v>5671</v>
      </c>
      <c r="I172" s="81" t="s">
        <v>5672</v>
      </c>
      <c r="J172" s="81" t="s">
        <v>2186</v>
      </c>
      <c r="K172" s="81" t="s">
        <v>5672</v>
      </c>
      <c r="L172" s="81" t="s">
        <v>2392</v>
      </c>
      <c r="M172" s="81" t="s">
        <v>5672</v>
      </c>
      <c r="N172" s="81" t="s">
        <v>2231</v>
      </c>
      <c r="O172" s="81" t="s">
        <v>2187</v>
      </c>
      <c r="P172" s="81" t="s">
        <v>2187</v>
      </c>
      <c r="Q172" s="81" t="s">
        <v>291</v>
      </c>
      <c r="R172" s="81" t="s">
        <v>51</v>
      </c>
      <c r="S172" s="81" t="s">
        <v>81</v>
      </c>
      <c r="T172" s="81" t="s">
        <v>49</v>
      </c>
      <c r="U172" s="81" t="s">
        <v>48</v>
      </c>
      <c r="V172" s="81" t="s">
        <v>48</v>
      </c>
      <c r="W172" s="81" t="s">
        <v>49</v>
      </c>
      <c r="X172" s="81" t="s">
        <v>48</v>
      </c>
      <c r="Y172" s="81" t="s">
        <v>48</v>
      </c>
    </row>
    <row r="173" spans="1:25" x14ac:dyDescent="0.3">
      <c r="A173" s="16">
        <v>7502001166066</v>
      </c>
      <c r="B173" s="81" t="s">
        <v>43</v>
      </c>
      <c r="C173" s="81" t="s">
        <v>2105</v>
      </c>
      <c r="D173" s="81" t="s">
        <v>45</v>
      </c>
      <c r="E173" s="81" t="s">
        <v>2590</v>
      </c>
      <c r="F173" s="81" t="s">
        <v>2591</v>
      </c>
      <c r="G173" s="81" t="s">
        <v>3275</v>
      </c>
      <c r="H173" s="81" t="s">
        <v>2218</v>
      </c>
      <c r="I173" s="81" t="s">
        <v>2202</v>
      </c>
      <c r="J173" s="81" t="s">
        <v>2186</v>
      </c>
      <c r="K173" s="81" t="s">
        <v>2202</v>
      </c>
      <c r="L173" s="81" t="s">
        <v>2392</v>
      </c>
      <c r="M173" s="81" t="s">
        <v>2202</v>
      </c>
      <c r="N173" s="81" t="s">
        <v>2231</v>
      </c>
      <c r="O173" s="81" t="s">
        <v>2187</v>
      </c>
      <c r="P173" s="81" t="s">
        <v>2187</v>
      </c>
      <c r="Q173" s="81" t="s">
        <v>292</v>
      </c>
      <c r="R173" s="81" t="s">
        <v>46</v>
      </c>
      <c r="S173" s="81" t="s">
        <v>46</v>
      </c>
      <c r="T173" s="81" t="s">
        <v>48</v>
      </c>
      <c r="U173" s="81" t="s">
        <v>48</v>
      </c>
      <c r="V173" s="81" t="s">
        <v>48</v>
      </c>
      <c r="W173" s="81" t="s">
        <v>49</v>
      </c>
      <c r="X173" s="81" t="s">
        <v>48</v>
      </c>
      <c r="Y173" s="81" t="s">
        <v>48</v>
      </c>
    </row>
    <row r="174" spans="1:25" x14ac:dyDescent="0.3">
      <c r="A174" s="16">
        <v>73796712105</v>
      </c>
      <c r="B174" s="81" t="s">
        <v>43</v>
      </c>
      <c r="C174" s="81" t="s">
        <v>293</v>
      </c>
      <c r="D174" s="81" t="s">
        <v>45</v>
      </c>
      <c r="E174" s="81" t="s">
        <v>2227</v>
      </c>
      <c r="F174" s="81" t="s">
        <v>2227</v>
      </c>
      <c r="G174" s="81" t="s">
        <v>2592</v>
      </c>
      <c r="H174" s="81" t="s">
        <v>2593</v>
      </c>
      <c r="I174" s="81" t="s">
        <v>5673</v>
      </c>
      <c r="J174" s="81" t="s">
        <v>2186</v>
      </c>
      <c r="K174" s="81" t="s">
        <v>5673</v>
      </c>
      <c r="L174" s="81" t="s">
        <v>2392</v>
      </c>
      <c r="M174" s="81" t="s">
        <v>5673</v>
      </c>
      <c r="N174" s="81" t="s">
        <v>2231</v>
      </c>
      <c r="O174" s="81" t="s">
        <v>2187</v>
      </c>
      <c r="P174" s="81" t="s">
        <v>2187</v>
      </c>
      <c r="Q174" s="81" t="s">
        <v>43</v>
      </c>
      <c r="R174" s="81" t="s">
        <v>122</v>
      </c>
      <c r="S174" s="81" t="s">
        <v>123</v>
      </c>
      <c r="T174" s="81" t="s">
        <v>48</v>
      </c>
      <c r="U174" s="81" t="s">
        <v>48</v>
      </c>
      <c r="V174" s="81" t="s">
        <v>49</v>
      </c>
      <c r="W174" s="81" t="s">
        <v>48</v>
      </c>
      <c r="X174" s="81" t="s">
        <v>48</v>
      </c>
      <c r="Y174" s="81" t="s">
        <v>48</v>
      </c>
    </row>
    <row r="175" spans="1:25" x14ac:dyDescent="0.3">
      <c r="A175" s="16">
        <v>73796612320</v>
      </c>
      <c r="B175" s="81" t="s">
        <v>43</v>
      </c>
      <c r="C175" s="81" t="s">
        <v>294</v>
      </c>
      <c r="D175" s="81" t="s">
        <v>45</v>
      </c>
      <c r="E175" s="81" t="s">
        <v>2227</v>
      </c>
      <c r="F175" s="81" t="s">
        <v>2227</v>
      </c>
      <c r="G175" s="81" t="s">
        <v>2594</v>
      </c>
      <c r="H175" s="81" t="s">
        <v>2595</v>
      </c>
      <c r="I175" s="81" t="s">
        <v>5674</v>
      </c>
      <c r="J175" s="81" t="s">
        <v>2186</v>
      </c>
      <c r="K175" s="81" t="s">
        <v>5674</v>
      </c>
      <c r="L175" s="81" t="s">
        <v>2392</v>
      </c>
      <c r="M175" s="81" t="s">
        <v>5674</v>
      </c>
      <c r="N175" s="81" t="s">
        <v>2231</v>
      </c>
      <c r="O175" s="81" t="s">
        <v>2187</v>
      </c>
      <c r="P175" s="81" t="s">
        <v>2187</v>
      </c>
      <c r="Q175" s="81" t="s">
        <v>43</v>
      </c>
      <c r="R175" s="81" t="s">
        <v>122</v>
      </c>
      <c r="S175" s="81" t="s">
        <v>123</v>
      </c>
      <c r="T175" s="81" t="s">
        <v>48</v>
      </c>
      <c r="U175" s="81" t="s">
        <v>48</v>
      </c>
      <c r="V175" s="81" t="s">
        <v>49</v>
      </c>
      <c r="W175" s="81" t="s">
        <v>48</v>
      </c>
      <c r="X175" s="81" t="s">
        <v>48</v>
      </c>
      <c r="Y175" s="81" t="s">
        <v>48</v>
      </c>
    </row>
    <row r="176" spans="1:25" x14ac:dyDescent="0.3">
      <c r="A176" s="16">
        <v>7501349025288</v>
      </c>
      <c r="B176" s="81" t="s">
        <v>43</v>
      </c>
      <c r="C176" s="81" t="s">
        <v>295</v>
      </c>
      <c r="D176" s="81" t="s">
        <v>45</v>
      </c>
      <c r="E176" s="81" t="s">
        <v>2519</v>
      </c>
      <c r="F176" s="81" t="s">
        <v>2597</v>
      </c>
      <c r="G176" s="81" t="s">
        <v>5437</v>
      </c>
      <c r="H176" s="81" t="s">
        <v>2343</v>
      </c>
      <c r="I176" s="81" t="s">
        <v>5675</v>
      </c>
      <c r="J176" s="81" t="s">
        <v>2186</v>
      </c>
      <c r="K176" s="81" t="s">
        <v>5675</v>
      </c>
      <c r="L176" s="81" t="s">
        <v>2392</v>
      </c>
      <c r="M176" s="81" t="s">
        <v>5675</v>
      </c>
      <c r="N176" s="81" t="s">
        <v>2231</v>
      </c>
      <c r="O176" s="81" t="s">
        <v>2187</v>
      </c>
      <c r="P176" s="81" t="s">
        <v>2187</v>
      </c>
      <c r="Q176" s="81" t="s">
        <v>296</v>
      </c>
      <c r="R176" s="81" t="s">
        <v>51</v>
      </c>
      <c r="S176" s="81" t="s">
        <v>73</v>
      </c>
      <c r="T176" s="81" t="s">
        <v>49</v>
      </c>
      <c r="U176" s="81" t="s">
        <v>48</v>
      </c>
      <c r="V176" s="81" t="s">
        <v>48</v>
      </c>
      <c r="W176" s="81" t="s">
        <v>49</v>
      </c>
      <c r="X176" s="81" t="s">
        <v>48</v>
      </c>
      <c r="Y176" s="81" t="s">
        <v>48</v>
      </c>
    </row>
    <row r="177" spans="1:25" x14ac:dyDescent="0.3">
      <c r="A177" s="16">
        <v>7501349025271</v>
      </c>
      <c r="B177" s="81" t="s">
        <v>43</v>
      </c>
      <c r="C177" s="81" t="s">
        <v>1894</v>
      </c>
      <c r="D177" s="81" t="s">
        <v>45</v>
      </c>
      <c r="E177" s="81" t="s">
        <v>2598</v>
      </c>
      <c r="F177" s="81" t="s">
        <v>2599</v>
      </c>
      <c r="G177" s="81" t="s">
        <v>2231</v>
      </c>
      <c r="H177" s="81" t="s">
        <v>2243</v>
      </c>
      <c r="I177" s="81" t="s">
        <v>2880</v>
      </c>
      <c r="J177" s="81" t="s">
        <v>2186</v>
      </c>
      <c r="K177" s="81" t="s">
        <v>2880</v>
      </c>
      <c r="L177" s="81" t="s">
        <v>2392</v>
      </c>
      <c r="M177" s="81" t="s">
        <v>2880</v>
      </c>
      <c r="N177" s="81" t="s">
        <v>2231</v>
      </c>
      <c r="O177" s="81" t="s">
        <v>2187</v>
      </c>
      <c r="P177" s="81" t="s">
        <v>2187</v>
      </c>
      <c r="Q177" s="81" t="s">
        <v>43</v>
      </c>
      <c r="R177" s="81" t="s">
        <v>51</v>
      </c>
      <c r="S177" s="81" t="s">
        <v>73</v>
      </c>
      <c r="T177" s="81" t="s">
        <v>49</v>
      </c>
      <c r="U177" s="81" t="s">
        <v>48</v>
      </c>
      <c r="V177" s="81" t="s">
        <v>48</v>
      </c>
      <c r="W177" s="81" t="s">
        <v>49</v>
      </c>
      <c r="X177" s="81" t="s">
        <v>48</v>
      </c>
      <c r="Y177" s="81" t="s">
        <v>48</v>
      </c>
    </row>
    <row r="178" spans="1:25" x14ac:dyDescent="0.3">
      <c r="A178" s="16">
        <v>7501008427347</v>
      </c>
      <c r="B178" s="81" t="s">
        <v>43</v>
      </c>
      <c r="C178" s="81" t="s">
        <v>297</v>
      </c>
      <c r="D178" s="81" t="s">
        <v>45</v>
      </c>
      <c r="E178" s="81" t="s">
        <v>2233</v>
      </c>
      <c r="F178" s="81" t="s">
        <v>2234</v>
      </c>
      <c r="G178" s="81" t="s">
        <v>5318</v>
      </c>
      <c r="H178" s="81" t="s">
        <v>2415</v>
      </c>
      <c r="I178" s="81" t="s">
        <v>5464</v>
      </c>
      <c r="J178" s="81" t="s">
        <v>2186</v>
      </c>
      <c r="K178" s="81" t="s">
        <v>5464</v>
      </c>
      <c r="L178" s="81" t="s">
        <v>2392</v>
      </c>
      <c r="M178" s="81" t="s">
        <v>5464</v>
      </c>
      <c r="N178" s="81" t="s">
        <v>2231</v>
      </c>
      <c r="O178" s="81" t="s">
        <v>2187</v>
      </c>
      <c r="P178" s="81" t="s">
        <v>2187</v>
      </c>
      <c r="Q178" s="81" t="s">
        <v>298</v>
      </c>
      <c r="R178" s="81" t="s">
        <v>203</v>
      </c>
      <c r="S178" s="81" t="s">
        <v>203</v>
      </c>
      <c r="T178" s="81" t="s">
        <v>48</v>
      </c>
      <c r="U178" s="81" t="s">
        <v>48</v>
      </c>
      <c r="V178" s="81" t="s">
        <v>48</v>
      </c>
      <c r="W178" s="81" t="s">
        <v>49</v>
      </c>
      <c r="X178" s="81" t="s">
        <v>48</v>
      </c>
      <c r="Y178" s="81" t="s">
        <v>48</v>
      </c>
    </row>
    <row r="179" spans="1:25" x14ac:dyDescent="0.3">
      <c r="A179" s="16">
        <v>650240007651</v>
      </c>
      <c r="B179" s="81" t="s">
        <v>43</v>
      </c>
      <c r="C179" s="81" t="s">
        <v>2106</v>
      </c>
      <c r="D179" s="81" t="s">
        <v>45</v>
      </c>
      <c r="E179" s="81" t="s">
        <v>2300</v>
      </c>
      <c r="F179" s="81" t="s">
        <v>2601</v>
      </c>
      <c r="G179" s="81" t="s">
        <v>4958</v>
      </c>
      <c r="H179" s="81" t="s">
        <v>2424</v>
      </c>
      <c r="I179" s="81" t="s">
        <v>5676</v>
      </c>
      <c r="J179" s="81" t="s">
        <v>2186</v>
      </c>
      <c r="K179" s="81" t="s">
        <v>5676</v>
      </c>
      <c r="L179" s="81" t="s">
        <v>2392</v>
      </c>
      <c r="M179" s="81" t="s">
        <v>5676</v>
      </c>
      <c r="N179" s="81" t="s">
        <v>2231</v>
      </c>
      <c r="O179" s="81" t="s">
        <v>2187</v>
      </c>
      <c r="P179" s="81" t="s">
        <v>2187</v>
      </c>
      <c r="Q179" s="81" t="s">
        <v>299</v>
      </c>
      <c r="R179" s="81" t="s">
        <v>203</v>
      </c>
      <c r="S179" s="81" t="s">
        <v>47</v>
      </c>
      <c r="T179" s="81" t="s">
        <v>48</v>
      </c>
      <c r="U179" s="81" t="s">
        <v>48</v>
      </c>
      <c r="V179" s="81" t="s">
        <v>48</v>
      </c>
      <c r="W179" s="81" t="s">
        <v>49</v>
      </c>
      <c r="X179" s="81" t="s">
        <v>48</v>
      </c>
      <c r="Y179" s="81" t="s">
        <v>48</v>
      </c>
    </row>
    <row r="180" spans="1:25" x14ac:dyDescent="0.3">
      <c r="A180" s="16">
        <v>7501573900535</v>
      </c>
      <c r="B180" s="81" t="s">
        <v>43</v>
      </c>
      <c r="C180" s="81" t="s">
        <v>300</v>
      </c>
      <c r="D180" s="81" t="s">
        <v>45</v>
      </c>
      <c r="E180" s="81" t="s">
        <v>2448</v>
      </c>
      <c r="F180" s="81" t="s">
        <v>2540</v>
      </c>
      <c r="G180" s="81" t="s">
        <v>5465</v>
      </c>
      <c r="H180" s="81" t="s">
        <v>2269</v>
      </c>
      <c r="I180" s="81" t="s">
        <v>5677</v>
      </c>
      <c r="J180" s="81" t="s">
        <v>2186</v>
      </c>
      <c r="K180" s="81" t="s">
        <v>5677</v>
      </c>
      <c r="L180" s="81" t="s">
        <v>2392</v>
      </c>
      <c r="M180" s="81" t="s">
        <v>5677</v>
      </c>
      <c r="N180" s="81" t="s">
        <v>2231</v>
      </c>
      <c r="O180" s="81" t="s">
        <v>2187</v>
      </c>
      <c r="P180" s="81" t="s">
        <v>2187</v>
      </c>
      <c r="Q180" s="81" t="s">
        <v>301</v>
      </c>
      <c r="R180" s="81" t="s">
        <v>46</v>
      </c>
      <c r="S180" s="81" t="s">
        <v>47</v>
      </c>
      <c r="T180" s="81" t="s">
        <v>48</v>
      </c>
      <c r="U180" s="81" t="s">
        <v>48</v>
      </c>
      <c r="V180" s="81" t="s">
        <v>48</v>
      </c>
      <c r="W180" s="81" t="s">
        <v>49</v>
      </c>
      <c r="X180" s="81" t="s">
        <v>48</v>
      </c>
      <c r="Y180" s="81" t="s">
        <v>48</v>
      </c>
    </row>
    <row r="181" spans="1:25" x14ac:dyDescent="0.3">
      <c r="A181" s="16">
        <v>7501573900115</v>
      </c>
      <c r="B181" s="81" t="s">
        <v>43</v>
      </c>
      <c r="C181" s="81" t="s">
        <v>2107</v>
      </c>
      <c r="D181" s="81" t="s">
        <v>45</v>
      </c>
      <c r="E181" s="81" t="s">
        <v>2602</v>
      </c>
      <c r="F181" s="81" t="s">
        <v>2603</v>
      </c>
      <c r="G181" s="81" t="s">
        <v>7107</v>
      </c>
      <c r="H181" s="81" t="s">
        <v>2353</v>
      </c>
      <c r="I181" s="81" t="s">
        <v>5140</v>
      </c>
      <c r="J181" s="81" t="s">
        <v>2186</v>
      </c>
      <c r="K181" s="81" t="s">
        <v>5140</v>
      </c>
      <c r="L181" s="81" t="s">
        <v>2392</v>
      </c>
      <c r="M181" s="81" t="s">
        <v>5140</v>
      </c>
      <c r="N181" s="81" t="s">
        <v>2231</v>
      </c>
      <c r="O181" s="81" t="s">
        <v>2187</v>
      </c>
      <c r="P181" s="81" t="s">
        <v>2187</v>
      </c>
      <c r="Q181" s="81" t="s">
        <v>302</v>
      </c>
      <c r="R181" s="81" t="s">
        <v>46</v>
      </c>
      <c r="S181" s="81" t="s">
        <v>46</v>
      </c>
      <c r="T181" s="81" t="s">
        <v>48</v>
      </c>
      <c r="U181" s="81" t="s">
        <v>48</v>
      </c>
      <c r="V181" s="81" t="s">
        <v>48</v>
      </c>
      <c r="W181" s="81" t="s">
        <v>49</v>
      </c>
      <c r="X181" s="81" t="s">
        <v>48</v>
      </c>
      <c r="Y181" s="81" t="s">
        <v>48</v>
      </c>
    </row>
    <row r="182" spans="1:25" x14ac:dyDescent="0.3">
      <c r="A182" s="16">
        <v>7501573900177</v>
      </c>
      <c r="B182" s="81" t="s">
        <v>43</v>
      </c>
      <c r="C182" s="81" t="s">
        <v>1800</v>
      </c>
      <c r="D182" s="81" t="s">
        <v>45</v>
      </c>
      <c r="E182" s="81" t="s">
        <v>2604</v>
      </c>
      <c r="F182" s="81" t="s">
        <v>2605</v>
      </c>
      <c r="G182" s="81" t="s">
        <v>5141</v>
      </c>
      <c r="H182" s="81" t="s">
        <v>2264</v>
      </c>
      <c r="I182" s="81" t="s">
        <v>2797</v>
      </c>
      <c r="J182" s="81" t="s">
        <v>2186</v>
      </c>
      <c r="K182" s="81" t="s">
        <v>2797</v>
      </c>
      <c r="L182" s="81" t="s">
        <v>2392</v>
      </c>
      <c r="M182" s="81" t="s">
        <v>2797</v>
      </c>
      <c r="N182" s="81" t="s">
        <v>2231</v>
      </c>
      <c r="O182" s="81" t="s">
        <v>2187</v>
      </c>
      <c r="P182" s="81" t="s">
        <v>2187</v>
      </c>
      <c r="Q182" s="81" t="s">
        <v>303</v>
      </c>
      <c r="R182" s="81" t="s">
        <v>46</v>
      </c>
      <c r="S182" s="81" t="s">
        <v>47</v>
      </c>
      <c r="T182" s="81" t="s">
        <v>48</v>
      </c>
      <c r="U182" s="81" t="s">
        <v>48</v>
      </c>
      <c r="V182" s="81" t="s">
        <v>48</v>
      </c>
      <c r="W182" s="81" t="s">
        <v>49</v>
      </c>
      <c r="X182" s="81" t="s">
        <v>48</v>
      </c>
      <c r="Y182" s="81" t="s">
        <v>48</v>
      </c>
    </row>
    <row r="183" spans="1:25" x14ac:dyDescent="0.3">
      <c r="A183" s="16">
        <v>7502001165496</v>
      </c>
      <c r="B183" s="81" t="s">
        <v>43</v>
      </c>
      <c r="C183" s="81" t="s">
        <v>304</v>
      </c>
      <c r="D183" s="81" t="s">
        <v>45</v>
      </c>
      <c r="E183" s="81" t="s">
        <v>2606</v>
      </c>
      <c r="F183" s="81" t="s">
        <v>2607</v>
      </c>
      <c r="G183" s="81" t="s">
        <v>2752</v>
      </c>
      <c r="H183" s="81" t="s">
        <v>2243</v>
      </c>
      <c r="I183" s="81" t="s">
        <v>5659</v>
      </c>
      <c r="J183" s="81" t="s">
        <v>2186</v>
      </c>
      <c r="K183" s="81" t="s">
        <v>5659</v>
      </c>
      <c r="L183" s="81" t="s">
        <v>2392</v>
      </c>
      <c r="M183" s="81" t="s">
        <v>5659</v>
      </c>
      <c r="N183" s="81" t="s">
        <v>2231</v>
      </c>
      <c r="O183" s="81" t="s">
        <v>2187</v>
      </c>
      <c r="P183" s="81" t="s">
        <v>2187</v>
      </c>
      <c r="Q183" s="81" t="s">
        <v>305</v>
      </c>
      <c r="R183" s="81" t="s">
        <v>46</v>
      </c>
      <c r="S183" s="81" t="s">
        <v>47</v>
      </c>
      <c r="T183" s="81" t="s">
        <v>48</v>
      </c>
      <c r="U183" s="81" t="s">
        <v>48</v>
      </c>
      <c r="V183" s="81" t="s">
        <v>48</v>
      </c>
      <c r="W183" s="81" t="s">
        <v>49</v>
      </c>
      <c r="X183" s="81" t="s">
        <v>48</v>
      </c>
      <c r="Y183" s="81" t="s">
        <v>48</v>
      </c>
    </row>
    <row r="184" spans="1:25" x14ac:dyDescent="0.3">
      <c r="A184" s="16">
        <v>7501008433515</v>
      </c>
      <c r="B184" s="81" t="s">
        <v>43</v>
      </c>
      <c r="C184" s="81" t="s">
        <v>1895</v>
      </c>
      <c r="D184" s="81" t="s">
        <v>45</v>
      </c>
      <c r="E184" s="81" t="s">
        <v>2551</v>
      </c>
      <c r="F184" s="81" t="s">
        <v>2608</v>
      </c>
      <c r="G184" s="81" t="s">
        <v>5184</v>
      </c>
      <c r="H184" s="81" t="s">
        <v>5466</v>
      </c>
      <c r="I184" s="81" t="s">
        <v>5467</v>
      </c>
      <c r="J184" s="81" t="s">
        <v>2186</v>
      </c>
      <c r="K184" s="81" t="s">
        <v>5467</v>
      </c>
      <c r="L184" s="81" t="s">
        <v>2392</v>
      </c>
      <c r="M184" s="81" t="s">
        <v>5467</v>
      </c>
      <c r="N184" s="81" t="s">
        <v>2231</v>
      </c>
      <c r="O184" s="81" t="s">
        <v>2187</v>
      </c>
      <c r="P184" s="81" t="s">
        <v>2187</v>
      </c>
      <c r="Q184" s="81" t="s">
        <v>43</v>
      </c>
      <c r="R184" s="81" t="s">
        <v>203</v>
      </c>
      <c r="S184" s="81" t="s">
        <v>47</v>
      </c>
      <c r="T184" s="81" t="s">
        <v>48</v>
      </c>
      <c r="U184" s="81" t="s">
        <v>48</v>
      </c>
      <c r="V184" s="81" t="s">
        <v>48</v>
      </c>
      <c r="W184" s="81" t="s">
        <v>49</v>
      </c>
      <c r="X184" s="81" t="s">
        <v>48</v>
      </c>
      <c r="Y184" s="81" t="s">
        <v>48</v>
      </c>
    </row>
    <row r="185" spans="1:25" x14ac:dyDescent="0.3">
      <c r="A185" s="16">
        <v>7502216792579</v>
      </c>
      <c r="B185" s="81" t="s">
        <v>43</v>
      </c>
      <c r="C185" s="81" t="s">
        <v>306</v>
      </c>
      <c r="D185" s="81" t="s">
        <v>45</v>
      </c>
      <c r="E185" s="81" t="s">
        <v>2606</v>
      </c>
      <c r="F185" s="81" t="s">
        <v>2607</v>
      </c>
      <c r="G185" s="81" t="s">
        <v>5468</v>
      </c>
      <c r="H185" s="81" t="s">
        <v>2237</v>
      </c>
      <c r="I185" s="81" t="s">
        <v>5678</v>
      </c>
      <c r="J185" s="81" t="s">
        <v>2186</v>
      </c>
      <c r="K185" s="81" t="s">
        <v>5678</v>
      </c>
      <c r="L185" s="81" t="s">
        <v>2392</v>
      </c>
      <c r="M185" s="81" t="s">
        <v>5678</v>
      </c>
      <c r="N185" s="81" t="s">
        <v>2231</v>
      </c>
      <c r="O185" s="81" t="s">
        <v>2187</v>
      </c>
      <c r="P185" s="81" t="s">
        <v>2187</v>
      </c>
      <c r="Q185" s="81" t="s">
        <v>307</v>
      </c>
      <c r="R185" s="81" t="s">
        <v>46</v>
      </c>
      <c r="S185" s="81" t="s">
        <v>47</v>
      </c>
      <c r="T185" s="81" t="s">
        <v>48</v>
      </c>
      <c r="U185" s="81" t="s">
        <v>48</v>
      </c>
      <c r="V185" s="81" t="s">
        <v>48</v>
      </c>
      <c r="W185" s="81" t="s">
        <v>49</v>
      </c>
      <c r="X185" s="81" t="s">
        <v>48</v>
      </c>
      <c r="Y185" s="81" t="s">
        <v>48</v>
      </c>
    </row>
    <row r="186" spans="1:25" x14ac:dyDescent="0.3">
      <c r="A186" s="16">
        <v>7502009745126</v>
      </c>
      <c r="B186" s="81" t="s">
        <v>43</v>
      </c>
      <c r="C186" s="81" t="s">
        <v>308</v>
      </c>
      <c r="D186" s="81" t="s">
        <v>45</v>
      </c>
      <c r="E186" s="81" t="s">
        <v>2233</v>
      </c>
      <c r="F186" s="81" t="s">
        <v>2234</v>
      </c>
      <c r="G186" s="81" t="s">
        <v>4828</v>
      </c>
      <c r="H186" s="81" t="s">
        <v>2396</v>
      </c>
      <c r="I186" s="81" t="s">
        <v>5679</v>
      </c>
      <c r="J186" s="81" t="s">
        <v>2186</v>
      </c>
      <c r="K186" s="81" t="s">
        <v>5679</v>
      </c>
      <c r="L186" s="81" t="s">
        <v>2392</v>
      </c>
      <c r="M186" s="81" t="s">
        <v>5679</v>
      </c>
      <c r="N186" s="81" t="s">
        <v>2231</v>
      </c>
      <c r="O186" s="81" t="s">
        <v>2187</v>
      </c>
      <c r="P186" s="81" t="s">
        <v>2187</v>
      </c>
      <c r="Q186" s="81" t="s">
        <v>43</v>
      </c>
      <c r="R186" s="81" t="s">
        <v>51</v>
      </c>
      <c r="S186" s="81" t="s">
        <v>47</v>
      </c>
      <c r="T186" s="81" t="s">
        <v>49</v>
      </c>
      <c r="U186" s="81" t="s">
        <v>48</v>
      </c>
      <c r="V186" s="81" t="s">
        <v>48</v>
      </c>
      <c r="W186" s="81" t="s">
        <v>49</v>
      </c>
      <c r="X186" s="81" t="s">
        <v>48</v>
      </c>
      <c r="Y186" s="81" t="s">
        <v>48</v>
      </c>
    </row>
    <row r="187" spans="1:25" x14ac:dyDescent="0.3">
      <c r="A187" s="16">
        <v>7503000422627</v>
      </c>
      <c r="B187" s="81" t="s">
        <v>43</v>
      </c>
      <c r="C187" s="81" t="s">
        <v>309</v>
      </c>
      <c r="D187" s="81" t="s">
        <v>45</v>
      </c>
      <c r="E187" s="81" t="s">
        <v>2335</v>
      </c>
      <c r="F187" s="81" t="s">
        <v>2612</v>
      </c>
      <c r="G187" s="81" t="s">
        <v>4928</v>
      </c>
      <c r="H187" s="81" t="s">
        <v>2259</v>
      </c>
      <c r="I187" s="81" t="s">
        <v>5680</v>
      </c>
      <c r="J187" s="81" t="s">
        <v>2186</v>
      </c>
      <c r="K187" s="81" t="s">
        <v>5680</v>
      </c>
      <c r="L187" s="81" t="s">
        <v>2392</v>
      </c>
      <c r="M187" s="81" t="s">
        <v>5680</v>
      </c>
      <c r="N187" s="81" t="s">
        <v>2231</v>
      </c>
      <c r="O187" s="81" t="s">
        <v>2187</v>
      </c>
      <c r="P187" s="81" t="s">
        <v>2187</v>
      </c>
      <c r="Q187" s="81" t="s">
        <v>310</v>
      </c>
      <c r="R187" s="81" t="s">
        <v>51</v>
      </c>
      <c r="S187" s="81" t="s">
        <v>81</v>
      </c>
      <c r="T187" s="81" t="s">
        <v>49</v>
      </c>
      <c r="U187" s="81" t="s">
        <v>48</v>
      </c>
      <c r="V187" s="81" t="s">
        <v>48</v>
      </c>
      <c r="W187" s="81" t="s">
        <v>49</v>
      </c>
      <c r="X187" s="81" t="s">
        <v>48</v>
      </c>
      <c r="Y187" s="81" t="s">
        <v>48</v>
      </c>
    </row>
    <row r="188" spans="1:25" x14ac:dyDescent="0.3">
      <c r="A188" s="16">
        <v>7501349022799</v>
      </c>
      <c r="B188" s="81" t="s">
        <v>43</v>
      </c>
      <c r="C188" s="81" t="s">
        <v>311</v>
      </c>
      <c r="D188" s="81" t="s">
        <v>45</v>
      </c>
      <c r="E188" s="81" t="s">
        <v>2528</v>
      </c>
      <c r="F188" s="81" t="s">
        <v>2529</v>
      </c>
      <c r="G188" s="81" t="s">
        <v>5681</v>
      </c>
      <c r="H188" s="81" t="s">
        <v>2190</v>
      </c>
      <c r="I188" s="81" t="s">
        <v>5682</v>
      </c>
      <c r="J188" s="81" t="s">
        <v>2186</v>
      </c>
      <c r="K188" s="81" t="s">
        <v>5682</v>
      </c>
      <c r="L188" s="81" t="s">
        <v>2392</v>
      </c>
      <c r="M188" s="81" t="s">
        <v>5682</v>
      </c>
      <c r="N188" s="81" t="s">
        <v>2231</v>
      </c>
      <c r="O188" s="81" t="s">
        <v>2187</v>
      </c>
      <c r="P188" s="81" t="s">
        <v>2187</v>
      </c>
      <c r="Q188" s="81" t="s">
        <v>312</v>
      </c>
      <c r="R188" s="81" t="s">
        <v>51</v>
      </c>
      <c r="S188" s="81" t="s">
        <v>73</v>
      </c>
      <c r="T188" s="81" t="s">
        <v>49</v>
      </c>
      <c r="U188" s="81" t="s">
        <v>48</v>
      </c>
      <c r="V188" s="81" t="s">
        <v>48</v>
      </c>
      <c r="W188" s="81" t="s">
        <v>49</v>
      </c>
      <c r="X188" s="81" t="s">
        <v>48</v>
      </c>
      <c r="Y188" s="81" t="s">
        <v>48</v>
      </c>
    </row>
    <row r="189" spans="1:25" x14ac:dyDescent="0.3">
      <c r="A189" s="16">
        <v>7501537102982</v>
      </c>
      <c r="B189" s="81" t="s">
        <v>43</v>
      </c>
      <c r="C189" s="81" t="s">
        <v>313</v>
      </c>
      <c r="D189" s="81" t="s">
        <v>45</v>
      </c>
      <c r="E189" s="81" t="s">
        <v>2613</v>
      </c>
      <c r="F189" s="81" t="s">
        <v>2587</v>
      </c>
      <c r="G189" s="81" t="s">
        <v>5240</v>
      </c>
      <c r="H189" s="81" t="s">
        <v>2252</v>
      </c>
      <c r="I189" s="81" t="s">
        <v>5683</v>
      </c>
      <c r="J189" s="81" t="s">
        <v>2186</v>
      </c>
      <c r="K189" s="81" t="s">
        <v>5683</v>
      </c>
      <c r="L189" s="81" t="s">
        <v>2392</v>
      </c>
      <c r="M189" s="81" t="s">
        <v>5683</v>
      </c>
      <c r="N189" s="81" t="s">
        <v>2231</v>
      </c>
      <c r="O189" s="81" t="s">
        <v>2187</v>
      </c>
      <c r="P189" s="81" t="s">
        <v>2187</v>
      </c>
      <c r="Q189" s="81" t="s">
        <v>43</v>
      </c>
      <c r="R189" s="81" t="s">
        <v>46</v>
      </c>
      <c r="S189" s="81" t="s">
        <v>46</v>
      </c>
      <c r="T189" s="81" t="s">
        <v>48</v>
      </c>
      <c r="U189" s="81" t="s">
        <v>48</v>
      </c>
      <c r="V189" s="81" t="s">
        <v>48</v>
      </c>
      <c r="W189" s="81" t="s">
        <v>49</v>
      </c>
      <c r="X189" s="81" t="s">
        <v>48</v>
      </c>
      <c r="Y189" s="81" t="s">
        <v>48</v>
      </c>
    </row>
    <row r="190" spans="1:25" x14ac:dyDescent="0.3">
      <c r="A190" s="16">
        <v>7502208892355</v>
      </c>
      <c r="B190" s="81" t="s">
        <v>43</v>
      </c>
      <c r="C190" s="81" t="s">
        <v>314</v>
      </c>
      <c r="D190" s="81" t="s">
        <v>45</v>
      </c>
      <c r="E190" s="81" t="s">
        <v>2280</v>
      </c>
      <c r="F190" s="81" t="s">
        <v>2281</v>
      </c>
      <c r="G190" s="81" t="s">
        <v>2615</v>
      </c>
      <c r="H190" s="81" t="s">
        <v>2381</v>
      </c>
      <c r="I190" s="81" t="s">
        <v>5684</v>
      </c>
      <c r="J190" s="81" t="s">
        <v>2186</v>
      </c>
      <c r="K190" s="81" t="s">
        <v>5684</v>
      </c>
      <c r="L190" s="81" t="s">
        <v>2392</v>
      </c>
      <c r="M190" s="81" t="s">
        <v>5684</v>
      </c>
      <c r="N190" s="81" t="s">
        <v>2231</v>
      </c>
      <c r="O190" s="81" t="s">
        <v>2187</v>
      </c>
      <c r="P190" s="81" t="s">
        <v>2187</v>
      </c>
      <c r="Q190" s="81" t="s">
        <v>315</v>
      </c>
      <c r="R190" s="81" t="s">
        <v>46</v>
      </c>
      <c r="S190" s="81" t="s">
        <v>47</v>
      </c>
      <c r="T190" s="81" t="s">
        <v>48</v>
      </c>
      <c r="U190" s="81" t="s">
        <v>48</v>
      </c>
      <c r="V190" s="81" t="s">
        <v>48</v>
      </c>
      <c r="W190" s="81" t="s">
        <v>49</v>
      </c>
      <c r="X190" s="81" t="s">
        <v>48</v>
      </c>
      <c r="Y190" s="81" t="s">
        <v>48</v>
      </c>
    </row>
    <row r="191" spans="1:25" x14ac:dyDescent="0.3">
      <c r="A191" s="16">
        <v>7502225092479</v>
      </c>
      <c r="B191" s="81" t="s">
        <v>43</v>
      </c>
      <c r="C191" s="81" t="s">
        <v>316</v>
      </c>
      <c r="D191" s="81" t="s">
        <v>45</v>
      </c>
      <c r="E191" s="81" t="s">
        <v>2616</v>
      </c>
      <c r="F191" s="81" t="s">
        <v>2617</v>
      </c>
      <c r="G191" s="81" t="s">
        <v>5378</v>
      </c>
      <c r="H191" s="81" t="s">
        <v>2243</v>
      </c>
      <c r="I191" s="81" t="s">
        <v>5258</v>
      </c>
      <c r="J191" s="81" t="s">
        <v>2186</v>
      </c>
      <c r="K191" s="81" t="s">
        <v>5258</v>
      </c>
      <c r="L191" s="81" t="s">
        <v>2392</v>
      </c>
      <c r="M191" s="81" t="s">
        <v>5258</v>
      </c>
      <c r="N191" s="81" t="s">
        <v>2231</v>
      </c>
      <c r="O191" s="81" t="s">
        <v>2187</v>
      </c>
      <c r="P191" s="81" t="s">
        <v>2187</v>
      </c>
      <c r="Q191" s="81" t="s">
        <v>317</v>
      </c>
      <c r="R191" s="81" t="s">
        <v>51</v>
      </c>
      <c r="S191" s="81" t="s">
        <v>47</v>
      </c>
      <c r="T191" s="81" t="s">
        <v>49</v>
      </c>
      <c r="U191" s="81" t="s">
        <v>48</v>
      </c>
      <c r="V191" s="81" t="s">
        <v>48</v>
      </c>
      <c r="W191" s="81" t="s">
        <v>49</v>
      </c>
      <c r="X191" s="81" t="s">
        <v>48</v>
      </c>
      <c r="Y191" s="81" t="s">
        <v>48</v>
      </c>
    </row>
    <row r="192" spans="1:25" x14ac:dyDescent="0.3">
      <c r="A192" s="16">
        <v>7501836002969</v>
      </c>
      <c r="B192" s="81" t="s">
        <v>43</v>
      </c>
      <c r="C192" s="81" t="s">
        <v>318</v>
      </c>
      <c r="D192" s="81" t="s">
        <v>45</v>
      </c>
      <c r="E192" s="81" t="s">
        <v>2326</v>
      </c>
      <c r="F192" s="81" t="s">
        <v>2618</v>
      </c>
      <c r="G192" s="81" t="s">
        <v>5685</v>
      </c>
      <c r="H192" s="81" t="s">
        <v>3330</v>
      </c>
      <c r="I192" s="81" t="s">
        <v>5686</v>
      </c>
      <c r="J192" s="81" t="s">
        <v>2186</v>
      </c>
      <c r="K192" s="81" t="s">
        <v>5686</v>
      </c>
      <c r="L192" s="81" t="s">
        <v>2392</v>
      </c>
      <c r="M192" s="81" t="s">
        <v>5686</v>
      </c>
      <c r="N192" s="81" t="s">
        <v>2231</v>
      </c>
      <c r="O192" s="81" t="s">
        <v>2187</v>
      </c>
      <c r="P192" s="81" t="s">
        <v>2187</v>
      </c>
      <c r="Q192" s="81" t="s">
        <v>319</v>
      </c>
      <c r="R192" s="81" t="s">
        <v>46</v>
      </c>
      <c r="S192" s="81" t="s">
        <v>47</v>
      </c>
      <c r="T192" s="81" t="s">
        <v>48</v>
      </c>
      <c r="U192" s="81" t="s">
        <v>48</v>
      </c>
      <c r="V192" s="81" t="s">
        <v>48</v>
      </c>
      <c r="W192" s="81" t="s">
        <v>49</v>
      </c>
      <c r="X192" s="81" t="s">
        <v>48</v>
      </c>
      <c r="Y192" s="81" t="s">
        <v>48</v>
      </c>
    </row>
    <row r="193" spans="1:25" x14ac:dyDescent="0.3">
      <c r="A193" s="16">
        <v>7501075710786</v>
      </c>
      <c r="B193" s="81" t="s">
        <v>43</v>
      </c>
      <c r="C193" s="81" t="s">
        <v>320</v>
      </c>
      <c r="D193" s="81" t="s">
        <v>45</v>
      </c>
      <c r="E193" s="81" t="s">
        <v>2338</v>
      </c>
      <c r="F193" s="81" t="s">
        <v>2339</v>
      </c>
      <c r="G193" s="81" t="s">
        <v>4476</v>
      </c>
      <c r="H193" s="81" t="s">
        <v>2198</v>
      </c>
      <c r="I193" s="81" t="s">
        <v>5687</v>
      </c>
      <c r="J193" s="81" t="s">
        <v>2186</v>
      </c>
      <c r="K193" s="81" t="s">
        <v>5687</v>
      </c>
      <c r="L193" s="81" t="s">
        <v>2392</v>
      </c>
      <c r="M193" s="81" t="s">
        <v>5687</v>
      </c>
      <c r="N193" s="81" t="s">
        <v>2231</v>
      </c>
      <c r="O193" s="81" t="s">
        <v>2187</v>
      </c>
      <c r="P193" s="81" t="s">
        <v>2187</v>
      </c>
      <c r="Q193" s="81" t="s">
        <v>321</v>
      </c>
      <c r="R193" s="81" t="s">
        <v>46</v>
      </c>
      <c r="S193" s="81" t="s">
        <v>47</v>
      </c>
      <c r="T193" s="81" t="s">
        <v>48</v>
      </c>
      <c r="U193" s="81" t="s">
        <v>48</v>
      </c>
      <c r="V193" s="81" t="s">
        <v>48</v>
      </c>
      <c r="W193" s="81" t="s">
        <v>49</v>
      </c>
      <c r="X193" s="81" t="s">
        <v>48</v>
      </c>
      <c r="Y193" s="81" t="s">
        <v>48</v>
      </c>
    </row>
    <row r="194" spans="1:25" x14ac:dyDescent="0.3">
      <c r="A194" s="16">
        <v>7502009740503</v>
      </c>
      <c r="B194" s="81" t="s">
        <v>43</v>
      </c>
      <c r="C194" s="81" t="s">
        <v>1801</v>
      </c>
      <c r="D194" s="81" t="s">
        <v>45</v>
      </c>
      <c r="E194" s="81" t="s">
        <v>2540</v>
      </c>
      <c r="F194" s="81" t="s">
        <v>2541</v>
      </c>
      <c r="G194" s="81" t="s">
        <v>5688</v>
      </c>
      <c r="H194" s="81" t="s">
        <v>2209</v>
      </c>
      <c r="I194" s="81" t="s">
        <v>5689</v>
      </c>
      <c r="J194" s="81" t="s">
        <v>2186</v>
      </c>
      <c r="K194" s="81" t="s">
        <v>5689</v>
      </c>
      <c r="L194" s="81" t="s">
        <v>2392</v>
      </c>
      <c r="M194" s="81" t="s">
        <v>5689</v>
      </c>
      <c r="N194" s="81" t="s">
        <v>2231</v>
      </c>
      <c r="O194" s="81" t="s">
        <v>2187</v>
      </c>
      <c r="P194" s="81" t="s">
        <v>2187</v>
      </c>
      <c r="Q194" s="81" t="s">
        <v>322</v>
      </c>
      <c r="R194" s="81" t="s">
        <v>51</v>
      </c>
      <c r="S194" s="81" t="s">
        <v>81</v>
      </c>
      <c r="T194" s="81" t="s">
        <v>49</v>
      </c>
      <c r="U194" s="81" t="s">
        <v>48</v>
      </c>
      <c r="V194" s="81" t="s">
        <v>48</v>
      </c>
      <c r="W194" s="81" t="s">
        <v>49</v>
      </c>
      <c r="X194" s="81" t="s">
        <v>48</v>
      </c>
      <c r="Y194" s="81" t="s">
        <v>48</v>
      </c>
    </row>
    <row r="195" spans="1:25" x14ac:dyDescent="0.3">
      <c r="A195" s="16">
        <v>7502009745140</v>
      </c>
      <c r="B195" s="81" t="s">
        <v>43</v>
      </c>
      <c r="C195" s="81" t="s">
        <v>1896</v>
      </c>
      <c r="D195" s="81" t="s">
        <v>45</v>
      </c>
      <c r="E195" s="81" t="s">
        <v>2398</v>
      </c>
      <c r="F195" s="81" t="s">
        <v>2399</v>
      </c>
      <c r="G195" s="81" t="s">
        <v>4517</v>
      </c>
      <c r="H195" s="81" t="s">
        <v>2535</v>
      </c>
      <c r="I195" s="81" t="s">
        <v>5690</v>
      </c>
      <c r="J195" s="81" t="s">
        <v>2186</v>
      </c>
      <c r="K195" s="81" t="s">
        <v>5690</v>
      </c>
      <c r="L195" s="81" t="s">
        <v>2392</v>
      </c>
      <c r="M195" s="81" t="s">
        <v>5690</v>
      </c>
      <c r="N195" s="81" t="s">
        <v>2231</v>
      </c>
      <c r="O195" s="81" t="s">
        <v>2187</v>
      </c>
      <c r="P195" s="81" t="s">
        <v>2187</v>
      </c>
      <c r="Q195" s="81" t="s">
        <v>323</v>
      </c>
      <c r="R195" s="81" t="s">
        <v>51</v>
      </c>
      <c r="S195" s="81" t="s">
        <v>81</v>
      </c>
      <c r="T195" s="81" t="s">
        <v>49</v>
      </c>
      <c r="U195" s="81" t="s">
        <v>48</v>
      </c>
      <c r="V195" s="81" t="s">
        <v>48</v>
      </c>
      <c r="W195" s="81" t="s">
        <v>49</v>
      </c>
      <c r="X195" s="81" t="s">
        <v>48</v>
      </c>
      <c r="Y195" s="81" t="s">
        <v>48</v>
      </c>
    </row>
    <row r="196" spans="1:25" x14ac:dyDescent="0.3">
      <c r="A196" s="16">
        <v>7501349021860</v>
      </c>
      <c r="B196" s="81" t="s">
        <v>43</v>
      </c>
      <c r="C196" s="81" t="s">
        <v>324</v>
      </c>
      <c r="D196" s="81" t="s">
        <v>45</v>
      </c>
      <c r="E196" s="81" t="s">
        <v>2334</v>
      </c>
      <c r="F196" s="81" t="s">
        <v>2619</v>
      </c>
      <c r="G196" s="81" t="s">
        <v>4561</v>
      </c>
      <c r="H196" s="81" t="s">
        <v>2243</v>
      </c>
      <c r="I196" s="81" t="s">
        <v>5691</v>
      </c>
      <c r="J196" s="81" t="s">
        <v>2186</v>
      </c>
      <c r="K196" s="81" t="s">
        <v>5691</v>
      </c>
      <c r="L196" s="81" t="s">
        <v>2392</v>
      </c>
      <c r="M196" s="81" t="s">
        <v>5691</v>
      </c>
      <c r="N196" s="81" t="s">
        <v>2231</v>
      </c>
      <c r="O196" s="81" t="s">
        <v>2187</v>
      </c>
      <c r="P196" s="81" t="s">
        <v>2187</v>
      </c>
      <c r="Q196" s="81" t="s">
        <v>325</v>
      </c>
      <c r="R196" s="81" t="s">
        <v>51</v>
      </c>
      <c r="S196" s="81" t="s">
        <v>73</v>
      </c>
      <c r="T196" s="81" t="s">
        <v>49</v>
      </c>
      <c r="U196" s="81" t="s">
        <v>48</v>
      </c>
      <c r="V196" s="81" t="s">
        <v>48</v>
      </c>
      <c r="W196" s="81" t="s">
        <v>49</v>
      </c>
      <c r="X196" s="81" t="s">
        <v>48</v>
      </c>
      <c r="Y196" s="81" t="s">
        <v>48</v>
      </c>
    </row>
    <row r="197" spans="1:25" x14ac:dyDescent="0.3">
      <c r="A197" s="16">
        <v>7501349021044</v>
      </c>
      <c r="B197" s="81" t="s">
        <v>43</v>
      </c>
      <c r="C197" s="81" t="s">
        <v>326</v>
      </c>
      <c r="D197" s="81" t="s">
        <v>45</v>
      </c>
      <c r="E197" s="81" t="s">
        <v>2471</v>
      </c>
      <c r="F197" s="81" t="s">
        <v>2481</v>
      </c>
      <c r="G197" s="81" t="s">
        <v>5692</v>
      </c>
      <c r="H197" s="81" t="s">
        <v>2424</v>
      </c>
      <c r="I197" s="81" t="s">
        <v>5693</v>
      </c>
      <c r="J197" s="81" t="s">
        <v>2186</v>
      </c>
      <c r="K197" s="81" t="s">
        <v>5693</v>
      </c>
      <c r="L197" s="81" t="s">
        <v>2392</v>
      </c>
      <c r="M197" s="81" t="s">
        <v>5693</v>
      </c>
      <c r="N197" s="81" t="s">
        <v>2231</v>
      </c>
      <c r="O197" s="81" t="s">
        <v>2187</v>
      </c>
      <c r="P197" s="81" t="s">
        <v>2187</v>
      </c>
      <c r="Q197" s="81" t="s">
        <v>325</v>
      </c>
      <c r="R197" s="81" t="s">
        <v>51</v>
      </c>
      <c r="S197" s="81" t="s">
        <v>73</v>
      </c>
      <c r="T197" s="81" t="s">
        <v>49</v>
      </c>
      <c r="U197" s="81" t="s">
        <v>48</v>
      </c>
      <c r="V197" s="81" t="s">
        <v>48</v>
      </c>
      <c r="W197" s="81" t="s">
        <v>49</v>
      </c>
      <c r="X197" s="81" t="s">
        <v>48</v>
      </c>
      <c r="Y197" s="81" t="s">
        <v>48</v>
      </c>
    </row>
    <row r="198" spans="1:25" x14ac:dyDescent="0.3">
      <c r="A198" s="16">
        <v>7502211784272</v>
      </c>
      <c r="B198" s="81" t="s">
        <v>43</v>
      </c>
      <c r="C198" s="81" t="s">
        <v>1897</v>
      </c>
      <c r="D198" s="81" t="s">
        <v>45</v>
      </c>
      <c r="E198" s="81" t="s">
        <v>2620</v>
      </c>
      <c r="F198" s="81" t="s">
        <v>2362</v>
      </c>
      <c r="G198" s="81" t="s">
        <v>4810</v>
      </c>
      <c r="H198" s="81" t="s">
        <v>2400</v>
      </c>
      <c r="I198" s="81" t="s">
        <v>5694</v>
      </c>
      <c r="J198" s="81" t="s">
        <v>2186</v>
      </c>
      <c r="K198" s="81" t="s">
        <v>5694</v>
      </c>
      <c r="L198" s="81" t="s">
        <v>2392</v>
      </c>
      <c r="M198" s="81" t="s">
        <v>5694</v>
      </c>
      <c r="N198" s="81" t="s">
        <v>2231</v>
      </c>
      <c r="O198" s="81" t="s">
        <v>2187</v>
      </c>
      <c r="P198" s="81" t="s">
        <v>2187</v>
      </c>
      <c r="Q198" s="81" t="s">
        <v>327</v>
      </c>
      <c r="R198" s="81" t="s">
        <v>46</v>
      </c>
      <c r="S198" s="81" t="s">
        <v>46</v>
      </c>
      <c r="T198" s="81" t="s">
        <v>48</v>
      </c>
      <c r="U198" s="81" t="s">
        <v>48</v>
      </c>
      <c r="V198" s="81" t="s">
        <v>48</v>
      </c>
      <c r="W198" s="81" t="s">
        <v>49</v>
      </c>
      <c r="X198" s="81" t="s">
        <v>48</v>
      </c>
      <c r="Y198" s="81" t="s">
        <v>48</v>
      </c>
    </row>
    <row r="199" spans="1:25" x14ac:dyDescent="0.3">
      <c r="A199" s="16">
        <v>7502001163485</v>
      </c>
      <c r="B199" s="81" t="s">
        <v>43</v>
      </c>
      <c r="C199" s="81" t="s">
        <v>328</v>
      </c>
      <c r="D199" s="81" t="s">
        <v>45</v>
      </c>
      <c r="E199" s="81" t="s">
        <v>2333</v>
      </c>
      <c r="F199" s="81" t="s">
        <v>2551</v>
      </c>
      <c r="G199" s="81" t="s">
        <v>2622</v>
      </c>
      <c r="H199" s="81" t="s">
        <v>2503</v>
      </c>
      <c r="I199" s="81" t="s">
        <v>5695</v>
      </c>
      <c r="J199" s="81" t="s">
        <v>2186</v>
      </c>
      <c r="K199" s="81" t="s">
        <v>5695</v>
      </c>
      <c r="L199" s="81" t="s">
        <v>2392</v>
      </c>
      <c r="M199" s="81" t="s">
        <v>5695</v>
      </c>
      <c r="N199" s="81" t="s">
        <v>2231</v>
      </c>
      <c r="O199" s="81" t="s">
        <v>2187</v>
      </c>
      <c r="P199" s="81" t="s">
        <v>2187</v>
      </c>
      <c r="Q199" s="81" t="s">
        <v>329</v>
      </c>
      <c r="R199" s="81" t="s">
        <v>46</v>
      </c>
      <c r="S199" s="81" t="s">
        <v>46</v>
      </c>
      <c r="T199" s="81" t="s">
        <v>48</v>
      </c>
      <c r="U199" s="81" t="s">
        <v>48</v>
      </c>
      <c r="V199" s="81" t="s">
        <v>48</v>
      </c>
      <c r="W199" s="81" t="s">
        <v>49</v>
      </c>
      <c r="X199" s="81" t="s">
        <v>48</v>
      </c>
      <c r="Y199" s="81" t="s">
        <v>48</v>
      </c>
    </row>
    <row r="200" spans="1:25" x14ac:dyDescent="0.3">
      <c r="A200" s="16">
        <v>7502009742774</v>
      </c>
      <c r="B200" s="81" t="s">
        <v>43</v>
      </c>
      <c r="C200" s="81" t="s">
        <v>2108</v>
      </c>
      <c r="D200" s="81" t="s">
        <v>45</v>
      </c>
      <c r="E200" s="81" t="s">
        <v>2521</v>
      </c>
      <c r="F200" s="81" t="s">
        <v>2528</v>
      </c>
      <c r="G200" s="81" t="s">
        <v>5379</v>
      </c>
      <c r="H200" s="81" t="s">
        <v>2315</v>
      </c>
      <c r="I200" s="81" t="s">
        <v>2426</v>
      </c>
      <c r="J200" s="81" t="s">
        <v>2186</v>
      </c>
      <c r="K200" s="81" t="s">
        <v>2426</v>
      </c>
      <c r="L200" s="81" t="s">
        <v>2392</v>
      </c>
      <c r="M200" s="81" t="s">
        <v>2426</v>
      </c>
      <c r="N200" s="81" t="s">
        <v>2231</v>
      </c>
      <c r="O200" s="81" t="s">
        <v>2187</v>
      </c>
      <c r="P200" s="81" t="s">
        <v>2187</v>
      </c>
      <c r="Q200" s="81" t="s">
        <v>330</v>
      </c>
      <c r="R200" s="81" t="s">
        <v>46</v>
      </c>
      <c r="S200" s="81" t="s">
        <v>46</v>
      </c>
      <c r="T200" s="81" t="s">
        <v>48</v>
      </c>
      <c r="U200" s="81" t="s">
        <v>48</v>
      </c>
      <c r="V200" s="81" t="s">
        <v>48</v>
      </c>
      <c r="W200" s="81" t="s">
        <v>49</v>
      </c>
      <c r="X200" s="81" t="s">
        <v>48</v>
      </c>
      <c r="Y200" s="81" t="s">
        <v>48</v>
      </c>
    </row>
    <row r="201" spans="1:25" x14ac:dyDescent="0.3">
      <c r="A201" s="16">
        <v>7502009740268</v>
      </c>
      <c r="B201" s="81" t="s">
        <v>43</v>
      </c>
      <c r="C201" s="81" t="s">
        <v>331</v>
      </c>
      <c r="D201" s="81" t="s">
        <v>45</v>
      </c>
      <c r="E201" s="81" t="s">
        <v>2623</v>
      </c>
      <c r="F201" s="81" t="s">
        <v>2624</v>
      </c>
      <c r="G201" s="81" t="s">
        <v>2625</v>
      </c>
      <c r="H201" s="81" t="s">
        <v>2242</v>
      </c>
      <c r="I201" s="81" t="s">
        <v>5696</v>
      </c>
      <c r="J201" s="81" t="s">
        <v>2186</v>
      </c>
      <c r="K201" s="81" t="s">
        <v>5696</v>
      </c>
      <c r="L201" s="81" t="s">
        <v>2392</v>
      </c>
      <c r="M201" s="81" t="s">
        <v>5696</v>
      </c>
      <c r="N201" s="81" t="s">
        <v>2231</v>
      </c>
      <c r="O201" s="81" t="s">
        <v>2187</v>
      </c>
      <c r="P201" s="81" t="s">
        <v>2187</v>
      </c>
      <c r="Q201" s="81" t="s">
        <v>332</v>
      </c>
      <c r="R201" s="81" t="s">
        <v>46</v>
      </c>
      <c r="S201" s="81" t="s">
        <v>46</v>
      </c>
      <c r="T201" s="81" t="s">
        <v>48</v>
      </c>
      <c r="U201" s="81" t="s">
        <v>48</v>
      </c>
      <c r="V201" s="81" t="s">
        <v>48</v>
      </c>
      <c r="W201" s="81" t="s">
        <v>49</v>
      </c>
      <c r="X201" s="81" t="s">
        <v>48</v>
      </c>
      <c r="Y201" s="81" t="s">
        <v>48</v>
      </c>
    </row>
    <row r="202" spans="1:25" x14ac:dyDescent="0.3">
      <c r="A202" s="16">
        <v>780083144302</v>
      </c>
      <c r="B202" s="81" t="s">
        <v>43</v>
      </c>
      <c r="C202" s="81" t="s">
        <v>333</v>
      </c>
      <c r="D202" s="81" t="s">
        <v>45</v>
      </c>
      <c r="E202" s="81" t="s">
        <v>2604</v>
      </c>
      <c r="F202" s="81" t="s">
        <v>2627</v>
      </c>
      <c r="G202" s="81" t="s">
        <v>4829</v>
      </c>
      <c r="H202" s="81" t="s">
        <v>2259</v>
      </c>
      <c r="I202" s="81" t="s">
        <v>5697</v>
      </c>
      <c r="J202" s="81" t="s">
        <v>2186</v>
      </c>
      <c r="K202" s="81" t="s">
        <v>5697</v>
      </c>
      <c r="L202" s="81" t="s">
        <v>2392</v>
      </c>
      <c r="M202" s="81" t="s">
        <v>5697</v>
      </c>
      <c r="N202" s="81" t="s">
        <v>2231</v>
      </c>
      <c r="O202" s="81" t="s">
        <v>2187</v>
      </c>
      <c r="P202" s="81" t="s">
        <v>2187</v>
      </c>
      <c r="Q202" s="81" t="s">
        <v>334</v>
      </c>
      <c r="R202" s="81" t="s">
        <v>46</v>
      </c>
      <c r="S202" s="81" t="s">
        <v>46</v>
      </c>
      <c r="T202" s="81" t="s">
        <v>48</v>
      </c>
      <c r="U202" s="81" t="s">
        <v>48</v>
      </c>
      <c r="V202" s="81" t="s">
        <v>48</v>
      </c>
      <c r="W202" s="81" t="s">
        <v>49</v>
      </c>
      <c r="X202" s="81" t="s">
        <v>48</v>
      </c>
      <c r="Y202" s="81" t="s">
        <v>48</v>
      </c>
    </row>
    <row r="203" spans="1:25" x14ac:dyDescent="0.3">
      <c r="A203" s="16">
        <v>7502253601339</v>
      </c>
      <c r="B203" s="81" t="s">
        <v>43</v>
      </c>
      <c r="C203" s="81" t="s">
        <v>1738</v>
      </c>
      <c r="D203" s="81" t="s">
        <v>45</v>
      </c>
      <c r="E203" s="81" t="s">
        <v>2298</v>
      </c>
      <c r="F203" s="81" t="s">
        <v>2262</v>
      </c>
      <c r="G203" s="81" t="s">
        <v>5099</v>
      </c>
      <c r="H203" s="81" t="s">
        <v>2209</v>
      </c>
      <c r="I203" s="81" t="s">
        <v>5698</v>
      </c>
      <c r="J203" s="81" t="s">
        <v>2186</v>
      </c>
      <c r="K203" s="81" t="s">
        <v>5698</v>
      </c>
      <c r="L203" s="81" t="s">
        <v>2392</v>
      </c>
      <c r="M203" s="81" t="s">
        <v>5698</v>
      </c>
      <c r="N203" s="81" t="s">
        <v>2231</v>
      </c>
      <c r="O203" s="81" t="s">
        <v>2187</v>
      </c>
      <c r="P203" s="81" t="s">
        <v>2187</v>
      </c>
      <c r="Q203" s="81" t="s">
        <v>1739</v>
      </c>
      <c r="R203" s="81" t="s">
        <v>203</v>
      </c>
      <c r="S203" s="81" t="s">
        <v>203</v>
      </c>
      <c r="T203" s="81" t="s">
        <v>48</v>
      </c>
      <c r="U203" s="81" t="s">
        <v>48</v>
      </c>
      <c r="V203" s="81" t="s">
        <v>48</v>
      </c>
      <c r="W203" s="81" t="s">
        <v>49</v>
      </c>
      <c r="X203" s="81" t="s">
        <v>48</v>
      </c>
      <c r="Y203" s="81" t="s">
        <v>48</v>
      </c>
    </row>
    <row r="204" spans="1:25" x14ac:dyDescent="0.3">
      <c r="A204" s="16">
        <v>785118752415</v>
      </c>
      <c r="B204" s="81" t="s">
        <v>43</v>
      </c>
      <c r="C204" s="81" t="s">
        <v>335</v>
      </c>
      <c r="D204" s="81" t="s">
        <v>45</v>
      </c>
      <c r="E204" s="81" t="s">
        <v>2629</v>
      </c>
      <c r="F204" s="81" t="s">
        <v>2630</v>
      </c>
      <c r="G204" s="81" t="s">
        <v>5380</v>
      </c>
      <c r="H204" s="81" t="s">
        <v>2223</v>
      </c>
      <c r="I204" s="81" t="s">
        <v>5699</v>
      </c>
      <c r="J204" s="81" t="s">
        <v>2186</v>
      </c>
      <c r="K204" s="81" t="s">
        <v>5699</v>
      </c>
      <c r="L204" s="81" t="s">
        <v>2392</v>
      </c>
      <c r="M204" s="81" t="s">
        <v>5699</v>
      </c>
      <c r="N204" s="81" t="s">
        <v>2231</v>
      </c>
      <c r="O204" s="81" t="s">
        <v>2187</v>
      </c>
      <c r="P204" s="81" t="s">
        <v>2187</v>
      </c>
      <c r="Q204" s="81" t="s">
        <v>336</v>
      </c>
      <c r="R204" s="81" t="s">
        <v>46</v>
      </c>
      <c r="S204" s="81" t="s">
        <v>46</v>
      </c>
      <c r="T204" s="81" t="s">
        <v>49</v>
      </c>
      <c r="U204" s="81" t="s">
        <v>48</v>
      </c>
      <c r="V204" s="81" t="s">
        <v>48</v>
      </c>
      <c r="W204" s="81" t="s">
        <v>49</v>
      </c>
      <c r="X204" s="81" t="s">
        <v>48</v>
      </c>
      <c r="Y204" s="81" t="s">
        <v>48</v>
      </c>
    </row>
    <row r="205" spans="1:25" x14ac:dyDescent="0.3">
      <c r="A205" s="16">
        <v>7501349027329</v>
      </c>
      <c r="B205" s="81" t="s">
        <v>43</v>
      </c>
      <c r="C205" s="81" t="s">
        <v>337</v>
      </c>
      <c r="D205" s="81" t="s">
        <v>45</v>
      </c>
      <c r="E205" s="81" t="s">
        <v>2631</v>
      </c>
      <c r="F205" s="81" t="s">
        <v>2632</v>
      </c>
      <c r="G205" s="81" t="s">
        <v>3110</v>
      </c>
      <c r="H205" s="81" t="s">
        <v>2182</v>
      </c>
      <c r="I205" s="81" t="s">
        <v>5567</v>
      </c>
      <c r="J205" s="81" t="s">
        <v>2186</v>
      </c>
      <c r="K205" s="81" t="s">
        <v>5567</v>
      </c>
      <c r="L205" s="81" t="s">
        <v>2392</v>
      </c>
      <c r="M205" s="81" t="s">
        <v>5567</v>
      </c>
      <c r="N205" s="81" t="s">
        <v>2231</v>
      </c>
      <c r="O205" s="81" t="s">
        <v>2187</v>
      </c>
      <c r="P205" s="81" t="s">
        <v>2187</v>
      </c>
      <c r="Q205" s="81" t="s">
        <v>338</v>
      </c>
      <c r="R205" s="81" t="s">
        <v>46</v>
      </c>
      <c r="S205" s="81" t="s">
        <v>73</v>
      </c>
      <c r="T205" s="81" t="s">
        <v>48</v>
      </c>
      <c r="U205" s="81" t="s">
        <v>48</v>
      </c>
      <c r="V205" s="81" t="s">
        <v>48</v>
      </c>
      <c r="W205" s="81" t="s">
        <v>49</v>
      </c>
      <c r="X205" s="81" t="s">
        <v>48</v>
      </c>
      <c r="Y205" s="81" t="s">
        <v>48</v>
      </c>
    </row>
    <row r="206" spans="1:25" x14ac:dyDescent="0.3">
      <c r="A206" s="16">
        <v>7502004401508</v>
      </c>
      <c r="B206" s="81" t="s">
        <v>43</v>
      </c>
      <c r="C206" s="81" t="s">
        <v>1802</v>
      </c>
      <c r="D206" s="81" t="s">
        <v>45</v>
      </c>
      <c r="E206" s="81" t="s">
        <v>2378</v>
      </c>
      <c r="F206" s="81" t="s">
        <v>2634</v>
      </c>
      <c r="G206" s="81" t="s">
        <v>2635</v>
      </c>
      <c r="H206" s="81" t="s">
        <v>2230</v>
      </c>
      <c r="I206" s="81" t="s">
        <v>5700</v>
      </c>
      <c r="J206" s="81" t="s">
        <v>2186</v>
      </c>
      <c r="K206" s="81" t="s">
        <v>5700</v>
      </c>
      <c r="L206" s="81" t="s">
        <v>2392</v>
      </c>
      <c r="M206" s="81" t="s">
        <v>5700</v>
      </c>
      <c r="N206" s="81" t="s">
        <v>2231</v>
      </c>
      <c r="O206" s="81" t="s">
        <v>2187</v>
      </c>
      <c r="P206" s="81" t="s">
        <v>2187</v>
      </c>
      <c r="Q206" s="81" t="s">
        <v>43</v>
      </c>
      <c r="R206" s="81" t="s">
        <v>46</v>
      </c>
      <c r="S206" s="81" t="s">
        <v>46</v>
      </c>
      <c r="T206" s="81" t="s">
        <v>48</v>
      </c>
      <c r="U206" s="81" t="s">
        <v>48</v>
      </c>
      <c r="V206" s="81" t="s">
        <v>48</v>
      </c>
      <c r="W206" s="81" t="s">
        <v>49</v>
      </c>
      <c r="X206" s="81" t="s">
        <v>48</v>
      </c>
      <c r="Y206" s="81" t="s">
        <v>48</v>
      </c>
    </row>
    <row r="207" spans="1:25" x14ac:dyDescent="0.3">
      <c r="A207" s="16">
        <v>7502004401454</v>
      </c>
      <c r="B207" s="81" t="s">
        <v>43</v>
      </c>
      <c r="C207" s="81" t="s">
        <v>2636</v>
      </c>
      <c r="D207" s="81" t="s">
        <v>45</v>
      </c>
      <c r="E207" s="81" t="s">
        <v>2427</v>
      </c>
      <c r="F207" s="81" t="s">
        <v>2637</v>
      </c>
      <c r="G207" s="81" t="s">
        <v>4555</v>
      </c>
      <c r="H207" s="81" t="s">
        <v>2260</v>
      </c>
      <c r="I207" s="81" t="s">
        <v>5701</v>
      </c>
      <c r="J207" s="81" t="s">
        <v>2186</v>
      </c>
      <c r="K207" s="81" t="s">
        <v>5701</v>
      </c>
      <c r="L207" s="81" t="s">
        <v>2392</v>
      </c>
      <c r="M207" s="81" t="s">
        <v>5701</v>
      </c>
      <c r="N207" s="81" t="s">
        <v>2231</v>
      </c>
      <c r="O207" s="81" t="s">
        <v>2187</v>
      </c>
      <c r="P207" s="81" t="s">
        <v>2187</v>
      </c>
      <c r="Q207" s="81" t="s">
        <v>339</v>
      </c>
      <c r="R207" s="81" t="s">
        <v>112</v>
      </c>
      <c r="S207" s="81" t="s">
        <v>112</v>
      </c>
      <c r="T207" s="81" t="s">
        <v>48</v>
      </c>
      <c r="U207" s="81" t="s">
        <v>48</v>
      </c>
      <c r="V207" s="81" t="s">
        <v>48</v>
      </c>
      <c r="W207" s="81" t="s">
        <v>49</v>
      </c>
      <c r="X207" s="81" t="s">
        <v>48</v>
      </c>
      <c r="Y207" s="81" t="s">
        <v>48</v>
      </c>
    </row>
    <row r="208" spans="1:25" x14ac:dyDescent="0.3">
      <c r="A208" s="16">
        <v>780083139759</v>
      </c>
      <c r="B208" s="81" t="s">
        <v>43</v>
      </c>
      <c r="C208" s="81" t="s">
        <v>340</v>
      </c>
      <c r="D208" s="81" t="s">
        <v>45</v>
      </c>
      <c r="E208" s="81" t="s">
        <v>2358</v>
      </c>
      <c r="F208" s="81" t="s">
        <v>2557</v>
      </c>
      <c r="G208" s="81" t="s">
        <v>2638</v>
      </c>
      <c r="H208" s="81" t="s">
        <v>2208</v>
      </c>
      <c r="I208" s="81" t="s">
        <v>5702</v>
      </c>
      <c r="J208" s="81" t="s">
        <v>2186</v>
      </c>
      <c r="K208" s="81" t="s">
        <v>5702</v>
      </c>
      <c r="L208" s="81" t="s">
        <v>2392</v>
      </c>
      <c r="M208" s="81" t="s">
        <v>5702</v>
      </c>
      <c r="N208" s="81" t="s">
        <v>2231</v>
      </c>
      <c r="O208" s="81" t="s">
        <v>2187</v>
      </c>
      <c r="P208" s="81" t="s">
        <v>2187</v>
      </c>
      <c r="Q208" s="81" t="s">
        <v>341</v>
      </c>
      <c r="R208" s="81" t="s">
        <v>46</v>
      </c>
      <c r="S208" s="81" t="s">
        <v>46</v>
      </c>
      <c r="T208" s="81" t="s">
        <v>48</v>
      </c>
      <c r="U208" s="81" t="s">
        <v>48</v>
      </c>
      <c r="V208" s="81" t="s">
        <v>48</v>
      </c>
      <c r="W208" s="81" t="s">
        <v>49</v>
      </c>
      <c r="X208" s="81" t="s">
        <v>48</v>
      </c>
      <c r="Y208" s="81" t="s">
        <v>48</v>
      </c>
    </row>
    <row r="209" spans="1:25" x14ac:dyDescent="0.3">
      <c r="A209" s="16">
        <v>7501349025929</v>
      </c>
      <c r="B209" s="81" t="s">
        <v>43</v>
      </c>
      <c r="C209" s="81" t="s">
        <v>342</v>
      </c>
      <c r="D209" s="81" t="s">
        <v>45</v>
      </c>
      <c r="E209" s="81" t="s">
        <v>2639</v>
      </c>
      <c r="F209" s="81" t="s">
        <v>2640</v>
      </c>
      <c r="G209" s="81" t="s">
        <v>5081</v>
      </c>
      <c r="H209" s="81" t="s">
        <v>2264</v>
      </c>
      <c r="I209" s="81" t="s">
        <v>5703</v>
      </c>
      <c r="J209" s="81" t="s">
        <v>2186</v>
      </c>
      <c r="K209" s="81" t="s">
        <v>5703</v>
      </c>
      <c r="L209" s="81" t="s">
        <v>2392</v>
      </c>
      <c r="M209" s="81" t="s">
        <v>5703</v>
      </c>
      <c r="N209" s="81" t="s">
        <v>2231</v>
      </c>
      <c r="O209" s="81" t="s">
        <v>2187</v>
      </c>
      <c r="P209" s="81" t="s">
        <v>2187</v>
      </c>
      <c r="Q209" s="81" t="s">
        <v>343</v>
      </c>
      <c r="R209" s="81" t="s">
        <v>46</v>
      </c>
      <c r="S209" s="81" t="s">
        <v>73</v>
      </c>
      <c r="T209" s="81" t="s">
        <v>48</v>
      </c>
      <c r="U209" s="81" t="s">
        <v>48</v>
      </c>
      <c r="V209" s="81" t="s">
        <v>48</v>
      </c>
      <c r="W209" s="81" t="s">
        <v>49</v>
      </c>
      <c r="X209" s="81" t="s">
        <v>48</v>
      </c>
      <c r="Y209" s="81" t="s">
        <v>48</v>
      </c>
    </row>
    <row r="210" spans="1:25" x14ac:dyDescent="0.3">
      <c r="A210" s="16">
        <v>7502216802919</v>
      </c>
      <c r="B210" s="81" t="s">
        <v>43</v>
      </c>
      <c r="C210" s="81" t="s">
        <v>344</v>
      </c>
      <c r="D210" s="81" t="s">
        <v>45</v>
      </c>
      <c r="E210" s="81" t="s">
        <v>2641</v>
      </c>
      <c r="F210" s="81" t="s">
        <v>2642</v>
      </c>
      <c r="G210" s="81" t="s">
        <v>5410</v>
      </c>
      <c r="H210" s="81" t="s">
        <v>5704</v>
      </c>
      <c r="I210" s="81" t="s">
        <v>5705</v>
      </c>
      <c r="J210" s="81" t="s">
        <v>2186</v>
      </c>
      <c r="K210" s="81" t="s">
        <v>5705</v>
      </c>
      <c r="L210" s="81" t="s">
        <v>2392</v>
      </c>
      <c r="M210" s="81" t="s">
        <v>5705</v>
      </c>
      <c r="N210" s="81" t="s">
        <v>2231</v>
      </c>
      <c r="O210" s="81" t="s">
        <v>2187</v>
      </c>
      <c r="P210" s="81" t="s">
        <v>2187</v>
      </c>
      <c r="Q210" s="81" t="s">
        <v>345</v>
      </c>
      <c r="R210" s="81" t="s">
        <v>46</v>
      </c>
      <c r="S210" s="81" t="s">
        <v>47</v>
      </c>
      <c r="T210" s="81" t="s">
        <v>48</v>
      </c>
      <c r="U210" s="81" t="s">
        <v>48</v>
      </c>
      <c r="V210" s="81" t="s">
        <v>48</v>
      </c>
      <c r="W210" s="81" t="s">
        <v>49</v>
      </c>
      <c r="X210" s="81" t="s">
        <v>48</v>
      </c>
      <c r="Y210" s="81" t="s">
        <v>48</v>
      </c>
    </row>
    <row r="211" spans="1:25" x14ac:dyDescent="0.3">
      <c r="A211" s="16">
        <v>7502208892232</v>
      </c>
      <c r="B211" s="81" t="s">
        <v>43</v>
      </c>
      <c r="C211" s="81" t="s">
        <v>1726</v>
      </c>
      <c r="D211" s="81" t="s">
        <v>45</v>
      </c>
      <c r="E211" s="81" t="s">
        <v>2616</v>
      </c>
      <c r="F211" s="81" t="s">
        <v>2258</v>
      </c>
      <c r="G211" s="81" t="s">
        <v>2643</v>
      </c>
      <c r="H211" s="81" t="s">
        <v>2268</v>
      </c>
      <c r="I211" s="81" t="s">
        <v>5706</v>
      </c>
      <c r="J211" s="81" t="s">
        <v>2186</v>
      </c>
      <c r="K211" s="81" t="s">
        <v>5706</v>
      </c>
      <c r="L211" s="81" t="s">
        <v>2392</v>
      </c>
      <c r="M211" s="81" t="s">
        <v>5706</v>
      </c>
      <c r="N211" s="81" t="s">
        <v>2231</v>
      </c>
      <c r="O211" s="81" t="s">
        <v>2187</v>
      </c>
      <c r="P211" s="81" t="s">
        <v>2187</v>
      </c>
      <c r="Q211" s="81" t="s">
        <v>1727</v>
      </c>
      <c r="R211" s="81" t="s">
        <v>51</v>
      </c>
      <c r="S211" s="81" t="s">
        <v>81</v>
      </c>
      <c r="T211" s="81" t="s">
        <v>49</v>
      </c>
      <c r="U211" s="81" t="s">
        <v>48</v>
      </c>
      <c r="V211" s="81" t="s">
        <v>48</v>
      </c>
      <c r="W211" s="81" t="s">
        <v>49</v>
      </c>
      <c r="X211" s="81" t="s">
        <v>48</v>
      </c>
      <c r="Y211" s="81" t="s">
        <v>48</v>
      </c>
    </row>
    <row r="212" spans="1:25" x14ac:dyDescent="0.3">
      <c r="A212" s="16">
        <v>7501836003256</v>
      </c>
      <c r="B212" s="81" t="s">
        <v>43</v>
      </c>
      <c r="C212" s="81" t="s">
        <v>4892</v>
      </c>
      <c r="D212" s="81" t="s">
        <v>45</v>
      </c>
      <c r="E212" s="81" t="s">
        <v>2620</v>
      </c>
      <c r="F212" s="81" t="s">
        <v>2780</v>
      </c>
      <c r="G212" s="81" t="s">
        <v>5100</v>
      </c>
      <c r="H212" s="81" t="s">
        <v>2219</v>
      </c>
      <c r="I212" s="81" t="s">
        <v>5707</v>
      </c>
      <c r="J212" s="81" t="s">
        <v>2186</v>
      </c>
      <c r="K212" s="81" t="s">
        <v>5707</v>
      </c>
      <c r="L212" s="81" t="s">
        <v>2392</v>
      </c>
      <c r="M212" s="81" t="s">
        <v>5707</v>
      </c>
      <c r="N212" s="81" t="s">
        <v>2231</v>
      </c>
      <c r="O212" s="81" t="s">
        <v>2187</v>
      </c>
      <c r="P212" s="81" t="s">
        <v>2187</v>
      </c>
      <c r="Q212" s="81" t="s">
        <v>4893</v>
      </c>
      <c r="R212" s="81" t="s">
        <v>46</v>
      </c>
      <c r="S212" s="81" t="s">
        <v>47</v>
      </c>
      <c r="T212" s="81" t="s">
        <v>48</v>
      </c>
      <c r="U212" s="81" t="s">
        <v>48</v>
      </c>
      <c r="V212" s="81" t="s">
        <v>48</v>
      </c>
      <c r="W212" s="81" t="s">
        <v>49</v>
      </c>
      <c r="X212" s="81" t="s">
        <v>48</v>
      </c>
      <c r="Y212" s="81" t="s">
        <v>48</v>
      </c>
    </row>
    <row r="213" spans="1:25" x14ac:dyDescent="0.3">
      <c r="A213" s="16">
        <v>7502208892638</v>
      </c>
      <c r="B213" s="81" t="s">
        <v>43</v>
      </c>
      <c r="C213" s="81" t="s">
        <v>1803</v>
      </c>
      <c r="D213" s="81" t="s">
        <v>45</v>
      </c>
      <c r="E213" s="81" t="s">
        <v>2312</v>
      </c>
      <c r="F213" s="81" t="s">
        <v>2439</v>
      </c>
      <c r="G213" s="81" t="s">
        <v>2644</v>
      </c>
      <c r="H213" s="81" t="s">
        <v>2198</v>
      </c>
      <c r="I213" s="81" t="s">
        <v>5708</v>
      </c>
      <c r="J213" s="81" t="s">
        <v>2186</v>
      </c>
      <c r="K213" s="81" t="s">
        <v>5708</v>
      </c>
      <c r="L213" s="81" t="s">
        <v>2392</v>
      </c>
      <c r="M213" s="81" t="s">
        <v>5708</v>
      </c>
      <c r="N213" s="81" t="s">
        <v>2231</v>
      </c>
      <c r="O213" s="81" t="s">
        <v>2187</v>
      </c>
      <c r="P213" s="81" t="s">
        <v>2187</v>
      </c>
      <c r="Q213" s="81" t="s">
        <v>1804</v>
      </c>
      <c r="R213" s="81" t="s">
        <v>46</v>
      </c>
      <c r="S213" s="81" t="s">
        <v>46</v>
      </c>
      <c r="T213" s="81" t="s">
        <v>48</v>
      </c>
      <c r="U213" s="81" t="s">
        <v>48</v>
      </c>
      <c r="V213" s="81" t="s">
        <v>48</v>
      </c>
      <c r="W213" s="81" t="s">
        <v>49</v>
      </c>
      <c r="X213" s="81" t="s">
        <v>48</v>
      </c>
      <c r="Y213" s="81" t="s">
        <v>48</v>
      </c>
    </row>
    <row r="214" spans="1:25" x14ac:dyDescent="0.3">
      <c r="A214" s="16">
        <v>7502001164833</v>
      </c>
      <c r="B214" s="81" t="s">
        <v>43</v>
      </c>
      <c r="C214" s="81" t="s">
        <v>346</v>
      </c>
      <c r="D214" s="81" t="s">
        <v>45</v>
      </c>
      <c r="E214" s="81" t="s">
        <v>2645</v>
      </c>
      <c r="F214" s="81" t="s">
        <v>2431</v>
      </c>
      <c r="G214" s="81" t="s">
        <v>4397</v>
      </c>
      <c r="H214" s="81" t="s">
        <v>2259</v>
      </c>
      <c r="I214" s="81" t="s">
        <v>5709</v>
      </c>
      <c r="J214" s="81" t="s">
        <v>2186</v>
      </c>
      <c r="K214" s="81" t="s">
        <v>5709</v>
      </c>
      <c r="L214" s="81" t="s">
        <v>2392</v>
      </c>
      <c r="M214" s="81" t="s">
        <v>5709</v>
      </c>
      <c r="N214" s="81" t="s">
        <v>2231</v>
      </c>
      <c r="O214" s="81" t="s">
        <v>2187</v>
      </c>
      <c r="P214" s="81" t="s">
        <v>2187</v>
      </c>
      <c r="Q214" s="81" t="s">
        <v>347</v>
      </c>
      <c r="R214" s="81" t="s">
        <v>46</v>
      </c>
      <c r="S214" s="81" t="s">
        <v>73</v>
      </c>
      <c r="T214" s="81" t="s">
        <v>48</v>
      </c>
      <c r="U214" s="81" t="s">
        <v>48</v>
      </c>
      <c r="V214" s="81" t="s">
        <v>48</v>
      </c>
      <c r="W214" s="81" t="s">
        <v>49</v>
      </c>
      <c r="X214" s="81" t="s">
        <v>48</v>
      </c>
      <c r="Y214" s="81" t="s">
        <v>48</v>
      </c>
    </row>
    <row r="215" spans="1:25" x14ac:dyDescent="0.3">
      <c r="A215" s="16">
        <v>785118753771</v>
      </c>
      <c r="B215" s="81" t="s">
        <v>43</v>
      </c>
      <c r="C215" s="81" t="s">
        <v>348</v>
      </c>
      <c r="D215" s="81" t="s">
        <v>45</v>
      </c>
      <c r="E215" s="81" t="s">
        <v>2557</v>
      </c>
      <c r="F215" s="81" t="s">
        <v>2370</v>
      </c>
      <c r="G215" s="81" t="s">
        <v>7108</v>
      </c>
      <c r="H215" s="81" t="s">
        <v>2259</v>
      </c>
      <c r="I215" s="81" t="s">
        <v>5710</v>
      </c>
      <c r="J215" s="81" t="s">
        <v>2186</v>
      </c>
      <c r="K215" s="81" t="s">
        <v>5710</v>
      </c>
      <c r="L215" s="81" t="s">
        <v>2392</v>
      </c>
      <c r="M215" s="81" t="s">
        <v>5710</v>
      </c>
      <c r="N215" s="81" t="s">
        <v>2231</v>
      </c>
      <c r="O215" s="81" t="s">
        <v>2187</v>
      </c>
      <c r="P215" s="81" t="s">
        <v>2187</v>
      </c>
      <c r="Q215" s="81" t="s">
        <v>349</v>
      </c>
      <c r="R215" s="81" t="s">
        <v>46</v>
      </c>
      <c r="S215" s="81" t="s">
        <v>47</v>
      </c>
      <c r="T215" s="81" t="s">
        <v>48</v>
      </c>
      <c r="U215" s="81" t="s">
        <v>48</v>
      </c>
      <c r="V215" s="81" t="s">
        <v>48</v>
      </c>
      <c r="W215" s="81" t="s">
        <v>49</v>
      </c>
      <c r="X215" s="81" t="s">
        <v>48</v>
      </c>
      <c r="Y215" s="81" t="s">
        <v>48</v>
      </c>
    </row>
    <row r="216" spans="1:25" x14ac:dyDescent="0.3">
      <c r="A216" s="16">
        <v>7501573900375</v>
      </c>
      <c r="B216" s="81" t="s">
        <v>43</v>
      </c>
      <c r="C216" s="81" t="s">
        <v>350</v>
      </c>
      <c r="D216" s="81" t="s">
        <v>45</v>
      </c>
      <c r="E216" s="81" t="s">
        <v>2378</v>
      </c>
      <c r="F216" s="81" t="s">
        <v>2379</v>
      </c>
      <c r="G216" s="81" t="s">
        <v>5011</v>
      </c>
      <c r="H216" s="81" t="s">
        <v>2237</v>
      </c>
      <c r="I216" s="81" t="s">
        <v>5711</v>
      </c>
      <c r="J216" s="81" t="s">
        <v>2186</v>
      </c>
      <c r="K216" s="81" t="s">
        <v>5711</v>
      </c>
      <c r="L216" s="81" t="s">
        <v>2392</v>
      </c>
      <c r="M216" s="81" t="s">
        <v>5711</v>
      </c>
      <c r="N216" s="81" t="s">
        <v>2231</v>
      </c>
      <c r="O216" s="81" t="s">
        <v>2187</v>
      </c>
      <c r="P216" s="81" t="s">
        <v>2187</v>
      </c>
      <c r="Q216" s="81" t="s">
        <v>351</v>
      </c>
      <c r="R216" s="81" t="s">
        <v>46</v>
      </c>
      <c r="S216" s="81" t="s">
        <v>47</v>
      </c>
      <c r="T216" s="81" t="s">
        <v>48</v>
      </c>
      <c r="U216" s="81" t="s">
        <v>48</v>
      </c>
      <c r="V216" s="81" t="s">
        <v>48</v>
      </c>
      <c r="W216" s="81" t="s">
        <v>49</v>
      </c>
      <c r="X216" s="81" t="s">
        <v>48</v>
      </c>
      <c r="Y216" s="81" t="s">
        <v>48</v>
      </c>
    </row>
    <row r="217" spans="1:25" x14ac:dyDescent="0.3">
      <c r="A217" s="16">
        <v>7502001165311</v>
      </c>
      <c r="B217" s="81" t="s">
        <v>43</v>
      </c>
      <c r="C217" s="81" t="s">
        <v>1898</v>
      </c>
      <c r="D217" s="81" t="s">
        <v>45</v>
      </c>
      <c r="E217" s="81" t="s">
        <v>2283</v>
      </c>
      <c r="F217" s="81" t="s">
        <v>2510</v>
      </c>
      <c r="G217" s="81" t="s">
        <v>2648</v>
      </c>
      <c r="H217" s="81" t="s">
        <v>2360</v>
      </c>
      <c r="I217" s="81" t="s">
        <v>5712</v>
      </c>
      <c r="J217" s="81" t="s">
        <v>2186</v>
      </c>
      <c r="K217" s="81" t="s">
        <v>5712</v>
      </c>
      <c r="L217" s="81" t="s">
        <v>2392</v>
      </c>
      <c r="M217" s="81" t="s">
        <v>5712</v>
      </c>
      <c r="N217" s="81" t="s">
        <v>2231</v>
      </c>
      <c r="O217" s="81" t="s">
        <v>2187</v>
      </c>
      <c r="P217" s="81" t="s">
        <v>2187</v>
      </c>
      <c r="Q217" s="81" t="s">
        <v>352</v>
      </c>
      <c r="R217" s="81" t="s">
        <v>46</v>
      </c>
      <c r="S217" s="81" t="s">
        <v>46</v>
      </c>
      <c r="T217" s="81" t="s">
        <v>48</v>
      </c>
      <c r="U217" s="81" t="s">
        <v>48</v>
      </c>
      <c r="V217" s="81" t="s">
        <v>48</v>
      </c>
      <c r="W217" s="81" t="s">
        <v>49</v>
      </c>
      <c r="X217" s="81" t="s">
        <v>48</v>
      </c>
      <c r="Y217" s="81" t="s">
        <v>48</v>
      </c>
    </row>
    <row r="218" spans="1:25" x14ac:dyDescent="0.3">
      <c r="A218" s="16">
        <v>7501298221403</v>
      </c>
      <c r="B218" s="81" t="s">
        <v>43</v>
      </c>
      <c r="C218" s="81" t="s">
        <v>2649</v>
      </c>
      <c r="D218" s="81" t="s">
        <v>45</v>
      </c>
      <c r="E218" s="81" t="s">
        <v>2457</v>
      </c>
      <c r="F218" s="81" t="s">
        <v>2458</v>
      </c>
      <c r="G218" s="81" t="s">
        <v>4562</v>
      </c>
      <c r="H218" s="81" t="s">
        <v>2650</v>
      </c>
      <c r="I218" s="81" t="s">
        <v>5713</v>
      </c>
      <c r="J218" s="81" t="s">
        <v>2186</v>
      </c>
      <c r="K218" s="81" t="s">
        <v>5713</v>
      </c>
      <c r="L218" s="81" t="s">
        <v>2392</v>
      </c>
      <c r="M218" s="81" t="s">
        <v>5713</v>
      </c>
      <c r="N218" s="81" t="s">
        <v>2231</v>
      </c>
      <c r="O218" s="81" t="s">
        <v>2187</v>
      </c>
      <c r="P218" s="81" t="s">
        <v>2187</v>
      </c>
      <c r="Q218" s="81" t="s">
        <v>353</v>
      </c>
      <c r="R218" s="81" t="s">
        <v>203</v>
      </c>
      <c r="S218" s="81" t="s">
        <v>47</v>
      </c>
      <c r="T218" s="81" t="s">
        <v>48</v>
      </c>
      <c r="U218" s="81" t="s">
        <v>48</v>
      </c>
      <c r="V218" s="81" t="s">
        <v>48</v>
      </c>
      <c r="W218" s="81" t="s">
        <v>49</v>
      </c>
      <c r="X218" s="81" t="s">
        <v>48</v>
      </c>
      <c r="Y218" s="81" t="s">
        <v>48</v>
      </c>
    </row>
    <row r="219" spans="1:25" x14ac:dyDescent="0.3">
      <c r="A219" s="16">
        <v>7501298217635</v>
      </c>
      <c r="B219" s="81" t="s">
        <v>43</v>
      </c>
      <c r="C219" s="81" t="s">
        <v>2651</v>
      </c>
      <c r="D219" s="81" t="s">
        <v>45</v>
      </c>
      <c r="E219" s="81" t="s">
        <v>2442</v>
      </c>
      <c r="F219" s="81" t="s">
        <v>2620</v>
      </c>
      <c r="G219" s="81" t="s">
        <v>3265</v>
      </c>
      <c r="H219" s="81" t="s">
        <v>2652</v>
      </c>
      <c r="I219" s="81" t="s">
        <v>5714</v>
      </c>
      <c r="J219" s="81" t="s">
        <v>2186</v>
      </c>
      <c r="K219" s="81" t="s">
        <v>5714</v>
      </c>
      <c r="L219" s="81" t="s">
        <v>2392</v>
      </c>
      <c r="M219" s="81" t="s">
        <v>5714</v>
      </c>
      <c r="N219" s="81" t="s">
        <v>2231</v>
      </c>
      <c r="O219" s="81" t="s">
        <v>2187</v>
      </c>
      <c r="P219" s="81" t="s">
        <v>2187</v>
      </c>
      <c r="Q219" s="81" t="s">
        <v>354</v>
      </c>
      <c r="R219" s="81" t="s">
        <v>203</v>
      </c>
      <c r="S219" s="81" t="s">
        <v>73</v>
      </c>
      <c r="T219" s="81" t="s">
        <v>48</v>
      </c>
      <c r="U219" s="81" t="s">
        <v>48</v>
      </c>
      <c r="V219" s="81" t="s">
        <v>48</v>
      </c>
      <c r="W219" s="81" t="s">
        <v>49</v>
      </c>
      <c r="X219" s="81" t="s">
        <v>48</v>
      </c>
      <c r="Y219" s="81" t="s">
        <v>48</v>
      </c>
    </row>
    <row r="220" spans="1:25" x14ac:dyDescent="0.3">
      <c r="A220" s="16">
        <v>7501298217659</v>
      </c>
      <c r="B220" s="81" t="s">
        <v>43</v>
      </c>
      <c r="C220" s="81" t="s">
        <v>2109</v>
      </c>
      <c r="D220" s="81" t="s">
        <v>45</v>
      </c>
      <c r="E220" s="81" t="s">
        <v>2545</v>
      </c>
      <c r="F220" s="81" t="s">
        <v>2248</v>
      </c>
      <c r="G220" s="81" t="s">
        <v>5319</v>
      </c>
      <c r="H220" s="81" t="s">
        <v>4488</v>
      </c>
      <c r="I220" s="81" t="s">
        <v>5469</v>
      </c>
      <c r="J220" s="81" t="s">
        <v>2186</v>
      </c>
      <c r="K220" s="81" t="s">
        <v>5469</v>
      </c>
      <c r="L220" s="81" t="s">
        <v>2392</v>
      </c>
      <c r="M220" s="81" t="s">
        <v>5469</v>
      </c>
      <c r="N220" s="81" t="s">
        <v>2231</v>
      </c>
      <c r="O220" s="81" t="s">
        <v>2187</v>
      </c>
      <c r="P220" s="81" t="s">
        <v>2187</v>
      </c>
      <c r="Q220" s="81" t="s">
        <v>354</v>
      </c>
      <c r="R220" s="81" t="s">
        <v>203</v>
      </c>
      <c r="S220" s="81" t="s">
        <v>73</v>
      </c>
      <c r="T220" s="81" t="s">
        <v>48</v>
      </c>
      <c r="U220" s="81" t="s">
        <v>48</v>
      </c>
      <c r="V220" s="81" t="s">
        <v>48</v>
      </c>
      <c r="W220" s="81" t="s">
        <v>49</v>
      </c>
      <c r="X220" s="81" t="s">
        <v>48</v>
      </c>
      <c r="Y220" s="81" t="s">
        <v>48</v>
      </c>
    </row>
    <row r="221" spans="1:25" x14ac:dyDescent="0.3">
      <c r="A221" s="16">
        <v>780083148829</v>
      </c>
      <c r="B221" s="81" t="s">
        <v>43</v>
      </c>
      <c r="C221" s="81" t="s">
        <v>2653</v>
      </c>
      <c r="D221" s="81" t="s">
        <v>45</v>
      </c>
      <c r="E221" s="81" t="s">
        <v>2298</v>
      </c>
      <c r="F221" s="81" t="s">
        <v>2458</v>
      </c>
      <c r="G221" s="81" t="s">
        <v>4816</v>
      </c>
      <c r="H221" s="81" t="s">
        <v>2264</v>
      </c>
      <c r="I221" s="81" t="s">
        <v>5544</v>
      </c>
      <c r="J221" s="81" t="s">
        <v>2186</v>
      </c>
      <c r="K221" s="81" t="s">
        <v>5544</v>
      </c>
      <c r="L221" s="81" t="s">
        <v>2392</v>
      </c>
      <c r="M221" s="81" t="s">
        <v>5544</v>
      </c>
      <c r="N221" s="81" t="s">
        <v>2231</v>
      </c>
      <c r="O221" s="81" t="s">
        <v>2187</v>
      </c>
      <c r="P221" s="81" t="s">
        <v>2187</v>
      </c>
      <c r="Q221" s="81" t="s">
        <v>355</v>
      </c>
      <c r="R221" s="81" t="s">
        <v>46</v>
      </c>
      <c r="S221" s="81" t="s">
        <v>47</v>
      </c>
      <c r="T221" s="81" t="s">
        <v>48</v>
      </c>
      <c r="U221" s="81" t="s">
        <v>48</v>
      </c>
      <c r="V221" s="81" t="s">
        <v>48</v>
      </c>
      <c r="W221" s="81" t="s">
        <v>49</v>
      </c>
      <c r="X221" s="81" t="s">
        <v>48</v>
      </c>
      <c r="Y221" s="81" t="s">
        <v>48</v>
      </c>
    </row>
    <row r="222" spans="1:25" x14ac:dyDescent="0.3">
      <c r="A222" s="16">
        <v>780083148843</v>
      </c>
      <c r="B222" s="81" t="s">
        <v>43</v>
      </c>
      <c r="C222" s="81" t="s">
        <v>356</v>
      </c>
      <c r="D222" s="81" t="s">
        <v>45</v>
      </c>
      <c r="E222" s="81" t="s">
        <v>2654</v>
      </c>
      <c r="F222" s="81" t="s">
        <v>2655</v>
      </c>
      <c r="G222" s="81" t="s">
        <v>4918</v>
      </c>
      <c r="H222" s="81" t="s">
        <v>2264</v>
      </c>
      <c r="I222" s="81" t="s">
        <v>5715</v>
      </c>
      <c r="J222" s="81" t="s">
        <v>2186</v>
      </c>
      <c r="K222" s="81" t="s">
        <v>5715</v>
      </c>
      <c r="L222" s="81" t="s">
        <v>2392</v>
      </c>
      <c r="M222" s="81" t="s">
        <v>5715</v>
      </c>
      <c r="N222" s="81" t="s">
        <v>2231</v>
      </c>
      <c r="O222" s="81" t="s">
        <v>2187</v>
      </c>
      <c r="P222" s="81" t="s">
        <v>2187</v>
      </c>
      <c r="Q222" s="81" t="s">
        <v>357</v>
      </c>
      <c r="R222" s="81" t="s">
        <v>46</v>
      </c>
      <c r="S222" s="81" t="s">
        <v>47</v>
      </c>
      <c r="T222" s="81" t="s">
        <v>48</v>
      </c>
      <c r="U222" s="81" t="s">
        <v>48</v>
      </c>
      <c r="V222" s="81" t="s">
        <v>48</v>
      </c>
      <c r="W222" s="81" t="s">
        <v>49</v>
      </c>
      <c r="X222" s="81" t="s">
        <v>48</v>
      </c>
      <c r="Y222" s="81" t="s">
        <v>48</v>
      </c>
    </row>
    <row r="223" spans="1:25" x14ac:dyDescent="0.3">
      <c r="A223" s="16">
        <v>7502009747281</v>
      </c>
      <c r="B223" s="81" t="s">
        <v>43</v>
      </c>
      <c r="C223" s="81" t="s">
        <v>358</v>
      </c>
      <c r="D223" s="81" t="s">
        <v>45</v>
      </c>
      <c r="E223" s="81" t="s">
        <v>2447</v>
      </c>
      <c r="F223" s="81" t="s">
        <v>2448</v>
      </c>
      <c r="G223" s="81" t="s">
        <v>5142</v>
      </c>
      <c r="H223" s="81" t="s">
        <v>2353</v>
      </c>
      <c r="I223" s="81" t="s">
        <v>5554</v>
      </c>
      <c r="J223" s="81" t="s">
        <v>2186</v>
      </c>
      <c r="K223" s="81" t="s">
        <v>5554</v>
      </c>
      <c r="L223" s="81" t="s">
        <v>2392</v>
      </c>
      <c r="M223" s="81" t="s">
        <v>5554</v>
      </c>
      <c r="N223" s="81" t="s">
        <v>2231</v>
      </c>
      <c r="O223" s="81" t="s">
        <v>2187</v>
      </c>
      <c r="P223" s="81" t="s">
        <v>2187</v>
      </c>
      <c r="Q223" s="81" t="s">
        <v>359</v>
      </c>
      <c r="R223" s="81" t="s">
        <v>46</v>
      </c>
      <c r="S223" s="81" t="s">
        <v>47</v>
      </c>
      <c r="T223" s="81" t="s">
        <v>48</v>
      </c>
      <c r="U223" s="81" t="s">
        <v>48</v>
      </c>
      <c r="V223" s="81" t="s">
        <v>48</v>
      </c>
      <c r="W223" s="81" t="s">
        <v>49</v>
      </c>
      <c r="X223" s="81" t="s">
        <v>48</v>
      </c>
      <c r="Y223" s="81" t="s">
        <v>48</v>
      </c>
    </row>
    <row r="224" spans="1:25" x14ac:dyDescent="0.3">
      <c r="A224" s="16">
        <v>7502009741593</v>
      </c>
      <c r="B224" s="81" t="s">
        <v>43</v>
      </c>
      <c r="C224" s="81" t="s">
        <v>360</v>
      </c>
      <c r="D224" s="81" t="s">
        <v>45</v>
      </c>
      <c r="E224" s="81" t="s">
        <v>2221</v>
      </c>
      <c r="F224" s="81" t="s">
        <v>2656</v>
      </c>
      <c r="G224" s="81" t="s">
        <v>5381</v>
      </c>
      <c r="H224" s="81" t="s">
        <v>2264</v>
      </c>
      <c r="I224" s="81" t="s">
        <v>5716</v>
      </c>
      <c r="J224" s="81" t="s">
        <v>2186</v>
      </c>
      <c r="K224" s="81" t="s">
        <v>5716</v>
      </c>
      <c r="L224" s="81" t="s">
        <v>2392</v>
      </c>
      <c r="M224" s="81" t="s">
        <v>5716</v>
      </c>
      <c r="N224" s="81" t="s">
        <v>2231</v>
      </c>
      <c r="O224" s="81" t="s">
        <v>2187</v>
      </c>
      <c r="P224" s="81" t="s">
        <v>2187</v>
      </c>
      <c r="Q224" s="81" t="s">
        <v>361</v>
      </c>
      <c r="R224" s="81" t="s">
        <v>46</v>
      </c>
      <c r="S224" s="81" t="s">
        <v>47</v>
      </c>
      <c r="T224" s="81" t="s">
        <v>48</v>
      </c>
      <c r="U224" s="81" t="s">
        <v>48</v>
      </c>
      <c r="V224" s="81" t="s">
        <v>48</v>
      </c>
      <c r="W224" s="81" t="s">
        <v>49</v>
      </c>
      <c r="X224" s="81" t="s">
        <v>48</v>
      </c>
      <c r="Y224" s="81" t="s">
        <v>48</v>
      </c>
    </row>
    <row r="225" spans="1:25" x14ac:dyDescent="0.3">
      <c r="A225" s="16">
        <v>7501836009661</v>
      </c>
      <c r="B225" s="81" t="s">
        <v>43</v>
      </c>
      <c r="C225" s="81" t="s">
        <v>362</v>
      </c>
      <c r="D225" s="81" t="s">
        <v>45</v>
      </c>
      <c r="E225" s="81" t="s">
        <v>2658</v>
      </c>
      <c r="F225" s="81" t="s">
        <v>2659</v>
      </c>
      <c r="G225" s="81" t="s">
        <v>5470</v>
      </c>
      <c r="H225" s="81" t="s">
        <v>2290</v>
      </c>
      <c r="I225" s="81" t="s">
        <v>5143</v>
      </c>
      <c r="J225" s="81" t="s">
        <v>2186</v>
      </c>
      <c r="K225" s="81" t="s">
        <v>5143</v>
      </c>
      <c r="L225" s="81" t="s">
        <v>2392</v>
      </c>
      <c r="M225" s="81" t="s">
        <v>5143</v>
      </c>
      <c r="N225" s="81" t="s">
        <v>2231</v>
      </c>
      <c r="O225" s="81" t="s">
        <v>2187</v>
      </c>
      <c r="P225" s="81" t="s">
        <v>2187</v>
      </c>
      <c r="Q225" s="81" t="s">
        <v>363</v>
      </c>
      <c r="R225" s="81" t="s">
        <v>46</v>
      </c>
      <c r="S225" s="81" t="s">
        <v>47</v>
      </c>
      <c r="T225" s="81" t="s">
        <v>48</v>
      </c>
      <c r="U225" s="81" t="s">
        <v>48</v>
      </c>
      <c r="V225" s="81" t="s">
        <v>48</v>
      </c>
      <c r="W225" s="81" t="s">
        <v>49</v>
      </c>
      <c r="X225" s="81" t="s">
        <v>48</v>
      </c>
      <c r="Y225" s="81" t="s">
        <v>48</v>
      </c>
    </row>
    <row r="226" spans="1:25" x14ac:dyDescent="0.3">
      <c r="A226" s="16">
        <v>7501277078318</v>
      </c>
      <c r="B226" s="81" t="s">
        <v>43</v>
      </c>
      <c r="C226" s="81" t="s">
        <v>364</v>
      </c>
      <c r="D226" s="81" t="s">
        <v>45</v>
      </c>
      <c r="E226" s="81" t="s">
        <v>2412</v>
      </c>
      <c r="F226" s="81" t="s">
        <v>2412</v>
      </c>
      <c r="G226" s="81" t="s">
        <v>2661</v>
      </c>
      <c r="H226" s="81" t="s">
        <v>2209</v>
      </c>
      <c r="I226" s="81" t="s">
        <v>3987</v>
      </c>
      <c r="J226" s="81" t="s">
        <v>2186</v>
      </c>
      <c r="K226" s="81" t="s">
        <v>3987</v>
      </c>
      <c r="L226" s="81" t="s">
        <v>2392</v>
      </c>
      <c r="M226" s="81" t="s">
        <v>3987</v>
      </c>
      <c r="N226" s="81" t="s">
        <v>2231</v>
      </c>
      <c r="O226" s="81" t="s">
        <v>2187</v>
      </c>
      <c r="P226" s="81" t="s">
        <v>2187</v>
      </c>
      <c r="Q226" s="81" t="s">
        <v>43</v>
      </c>
      <c r="R226" s="81" t="s">
        <v>46</v>
      </c>
      <c r="S226" s="81" t="s">
        <v>46</v>
      </c>
      <c r="T226" s="81" t="s">
        <v>48</v>
      </c>
      <c r="U226" s="81" t="s">
        <v>48</v>
      </c>
      <c r="V226" s="81" t="s">
        <v>48</v>
      </c>
      <c r="W226" s="81" t="s">
        <v>49</v>
      </c>
      <c r="X226" s="81" t="s">
        <v>48</v>
      </c>
      <c r="Y226" s="81" t="s">
        <v>48</v>
      </c>
    </row>
    <row r="227" spans="1:25" x14ac:dyDescent="0.3">
      <c r="A227" s="16">
        <v>7501328980119</v>
      </c>
      <c r="B227" s="81" t="s">
        <v>43</v>
      </c>
      <c r="C227" s="81" t="s">
        <v>365</v>
      </c>
      <c r="D227" s="81" t="s">
        <v>45</v>
      </c>
      <c r="E227" s="81" t="s">
        <v>2465</v>
      </c>
      <c r="F227" s="81" t="s">
        <v>2257</v>
      </c>
      <c r="G227" s="81" t="s">
        <v>4894</v>
      </c>
      <c r="H227" s="81" t="s">
        <v>2662</v>
      </c>
      <c r="I227" s="81" t="s">
        <v>5717</v>
      </c>
      <c r="J227" s="81" t="s">
        <v>2186</v>
      </c>
      <c r="K227" s="81" t="s">
        <v>5717</v>
      </c>
      <c r="L227" s="81" t="s">
        <v>2392</v>
      </c>
      <c r="M227" s="81" t="s">
        <v>5717</v>
      </c>
      <c r="N227" s="81" t="s">
        <v>2231</v>
      </c>
      <c r="O227" s="81" t="s">
        <v>2187</v>
      </c>
      <c r="P227" s="81" t="s">
        <v>2187</v>
      </c>
      <c r="Q227" s="81" t="s">
        <v>43</v>
      </c>
      <c r="R227" s="81" t="s">
        <v>203</v>
      </c>
      <c r="S227" s="81" t="s">
        <v>203</v>
      </c>
      <c r="T227" s="81" t="s">
        <v>48</v>
      </c>
      <c r="U227" s="81" t="s">
        <v>48</v>
      </c>
      <c r="V227" s="81" t="s">
        <v>48</v>
      </c>
      <c r="W227" s="81" t="s">
        <v>49</v>
      </c>
      <c r="X227" s="81" t="s">
        <v>48</v>
      </c>
      <c r="Y227" s="81" t="s">
        <v>48</v>
      </c>
    </row>
    <row r="228" spans="1:25" x14ac:dyDescent="0.3">
      <c r="A228" s="16">
        <v>7501165010826</v>
      </c>
      <c r="B228" s="81" t="s">
        <v>43</v>
      </c>
      <c r="C228" s="81" t="s">
        <v>366</v>
      </c>
      <c r="D228" s="81" t="s">
        <v>45</v>
      </c>
      <c r="E228" s="81" t="s">
        <v>2443</v>
      </c>
      <c r="F228" s="81" t="s">
        <v>2512</v>
      </c>
      <c r="G228" s="81" t="s">
        <v>4895</v>
      </c>
      <c r="H228" s="81" t="s">
        <v>4052</v>
      </c>
      <c r="I228" s="81" t="s">
        <v>5718</v>
      </c>
      <c r="J228" s="81" t="s">
        <v>2186</v>
      </c>
      <c r="K228" s="81" t="s">
        <v>5718</v>
      </c>
      <c r="L228" s="81" t="s">
        <v>2392</v>
      </c>
      <c r="M228" s="81" t="s">
        <v>5718</v>
      </c>
      <c r="N228" s="81" t="s">
        <v>2231</v>
      </c>
      <c r="O228" s="81" t="s">
        <v>2187</v>
      </c>
      <c r="P228" s="81" t="s">
        <v>2187</v>
      </c>
      <c r="Q228" s="81" t="s">
        <v>43</v>
      </c>
      <c r="R228" s="81" t="s">
        <v>203</v>
      </c>
      <c r="S228" s="81" t="s">
        <v>203</v>
      </c>
      <c r="T228" s="81" t="s">
        <v>48</v>
      </c>
      <c r="U228" s="81" t="s">
        <v>48</v>
      </c>
      <c r="V228" s="81" t="s">
        <v>48</v>
      </c>
      <c r="W228" s="81" t="s">
        <v>49</v>
      </c>
      <c r="X228" s="81" t="s">
        <v>48</v>
      </c>
      <c r="Y228" s="81" t="s">
        <v>48</v>
      </c>
    </row>
    <row r="229" spans="1:25" x14ac:dyDescent="0.3">
      <c r="A229" s="16">
        <v>7502211783282</v>
      </c>
      <c r="B229" s="81" t="s">
        <v>43</v>
      </c>
      <c r="C229" s="81" t="s">
        <v>367</v>
      </c>
      <c r="D229" s="81" t="s">
        <v>45</v>
      </c>
      <c r="E229" s="81" t="s">
        <v>2253</v>
      </c>
      <c r="F229" s="81" t="s">
        <v>2254</v>
      </c>
      <c r="G229" s="81" t="s">
        <v>5320</v>
      </c>
      <c r="H229" s="81" t="s">
        <v>2217</v>
      </c>
      <c r="I229" s="81" t="s">
        <v>5719</v>
      </c>
      <c r="J229" s="81" t="s">
        <v>2186</v>
      </c>
      <c r="K229" s="81" t="s">
        <v>5719</v>
      </c>
      <c r="L229" s="81" t="s">
        <v>2392</v>
      </c>
      <c r="M229" s="81" t="s">
        <v>5719</v>
      </c>
      <c r="N229" s="81" t="s">
        <v>2231</v>
      </c>
      <c r="O229" s="81" t="s">
        <v>2187</v>
      </c>
      <c r="P229" s="81" t="s">
        <v>2187</v>
      </c>
      <c r="Q229" s="81" t="s">
        <v>368</v>
      </c>
      <c r="R229" s="81" t="s">
        <v>46</v>
      </c>
      <c r="S229" s="81" t="s">
        <v>46</v>
      </c>
      <c r="T229" s="81" t="s">
        <v>48</v>
      </c>
      <c r="U229" s="81" t="s">
        <v>48</v>
      </c>
      <c r="V229" s="81" t="s">
        <v>48</v>
      </c>
      <c r="W229" s="81" t="s">
        <v>49</v>
      </c>
      <c r="X229" s="81" t="s">
        <v>48</v>
      </c>
      <c r="Y229" s="81" t="s">
        <v>48</v>
      </c>
    </row>
    <row r="230" spans="1:25" x14ac:dyDescent="0.3">
      <c r="A230" s="16">
        <v>7502211783787</v>
      </c>
      <c r="B230" s="81" t="s">
        <v>43</v>
      </c>
      <c r="C230" s="81" t="s">
        <v>369</v>
      </c>
      <c r="D230" s="81" t="s">
        <v>45</v>
      </c>
      <c r="E230" s="81" t="s">
        <v>2616</v>
      </c>
      <c r="F230" s="81" t="s">
        <v>2471</v>
      </c>
      <c r="G230" s="81" t="s">
        <v>5190</v>
      </c>
      <c r="H230" s="81" t="s">
        <v>2667</v>
      </c>
      <c r="I230" s="81" t="s">
        <v>2459</v>
      </c>
      <c r="J230" s="81" t="s">
        <v>2186</v>
      </c>
      <c r="K230" s="81" t="s">
        <v>2459</v>
      </c>
      <c r="L230" s="81" t="s">
        <v>2392</v>
      </c>
      <c r="M230" s="81" t="s">
        <v>2459</v>
      </c>
      <c r="N230" s="81" t="s">
        <v>2231</v>
      </c>
      <c r="O230" s="81" t="s">
        <v>2187</v>
      </c>
      <c r="P230" s="81" t="s">
        <v>2187</v>
      </c>
      <c r="Q230" s="81" t="s">
        <v>370</v>
      </c>
      <c r="R230" s="81" t="s">
        <v>46</v>
      </c>
      <c r="S230" s="81" t="s">
        <v>47</v>
      </c>
      <c r="T230" s="81" t="s">
        <v>48</v>
      </c>
      <c r="U230" s="81" t="s">
        <v>48</v>
      </c>
      <c r="V230" s="81" t="s">
        <v>48</v>
      </c>
      <c r="W230" s="81" t="s">
        <v>49</v>
      </c>
      <c r="X230" s="81" t="s">
        <v>48</v>
      </c>
      <c r="Y230" s="81" t="s">
        <v>48</v>
      </c>
    </row>
    <row r="231" spans="1:25" x14ac:dyDescent="0.3">
      <c r="A231" s="16">
        <v>7502009746239</v>
      </c>
      <c r="B231" s="81" t="s">
        <v>43</v>
      </c>
      <c r="C231" s="81" t="s">
        <v>1899</v>
      </c>
      <c r="D231" s="81" t="s">
        <v>45</v>
      </c>
      <c r="E231" s="81" t="s">
        <v>2439</v>
      </c>
      <c r="F231" s="81" t="s">
        <v>2577</v>
      </c>
      <c r="G231" s="81" t="s">
        <v>5720</v>
      </c>
      <c r="H231" s="81" t="s">
        <v>2236</v>
      </c>
      <c r="I231" s="81" t="s">
        <v>5721</v>
      </c>
      <c r="J231" s="81" t="s">
        <v>2186</v>
      </c>
      <c r="K231" s="81" t="s">
        <v>5721</v>
      </c>
      <c r="L231" s="81" t="s">
        <v>2392</v>
      </c>
      <c r="M231" s="81" t="s">
        <v>5721</v>
      </c>
      <c r="N231" s="81" t="s">
        <v>2231</v>
      </c>
      <c r="O231" s="81" t="s">
        <v>2187</v>
      </c>
      <c r="P231" s="81" t="s">
        <v>2187</v>
      </c>
      <c r="Q231" s="81" t="s">
        <v>371</v>
      </c>
      <c r="R231" s="81" t="s">
        <v>46</v>
      </c>
      <c r="S231" s="81" t="s">
        <v>47</v>
      </c>
      <c r="T231" s="81" t="s">
        <v>48</v>
      </c>
      <c r="U231" s="81" t="s">
        <v>48</v>
      </c>
      <c r="V231" s="81" t="s">
        <v>48</v>
      </c>
      <c r="W231" s="81" t="s">
        <v>49</v>
      </c>
      <c r="X231" s="81" t="s">
        <v>48</v>
      </c>
      <c r="Y231" s="81" t="s">
        <v>48</v>
      </c>
    </row>
    <row r="232" spans="1:25" x14ac:dyDescent="0.3">
      <c r="A232" s="16">
        <v>75004996</v>
      </c>
      <c r="B232" s="81" t="s">
        <v>43</v>
      </c>
      <c r="C232" s="81" t="s">
        <v>372</v>
      </c>
      <c r="D232" s="81" t="s">
        <v>45</v>
      </c>
      <c r="E232" s="81" t="s">
        <v>2227</v>
      </c>
      <c r="F232" s="81" t="s">
        <v>2227</v>
      </c>
      <c r="G232" s="81" t="s">
        <v>5382</v>
      </c>
      <c r="H232" s="81" t="s">
        <v>3855</v>
      </c>
      <c r="I232" s="81" t="s">
        <v>5722</v>
      </c>
      <c r="J232" s="81" t="s">
        <v>2186</v>
      </c>
      <c r="K232" s="81" t="s">
        <v>5722</v>
      </c>
      <c r="L232" s="81" t="s">
        <v>2392</v>
      </c>
      <c r="M232" s="81" t="s">
        <v>5722</v>
      </c>
      <c r="N232" s="81" t="s">
        <v>2231</v>
      </c>
      <c r="O232" s="81" t="s">
        <v>2187</v>
      </c>
      <c r="P232" s="81" t="s">
        <v>2187</v>
      </c>
      <c r="Q232" s="81" t="s">
        <v>373</v>
      </c>
      <c r="R232" s="81" t="s">
        <v>374</v>
      </c>
      <c r="S232" s="81" t="s">
        <v>374</v>
      </c>
      <c r="T232" s="81" t="s">
        <v>48</v>
      </c>
      <c r="U232" s="81" t="s">
        <v>48</v>
      </c>
      <c r="V232" s="81" t="s">
        <v>48</v>
      </c>
      <c r="W232" s="81" t="s">
        <v>49</v>
      </c>
      <c r="X232" s="81" t="s">
        <v>48</v>
      </c>
      <c r="Y232" s="81" t="s">
        <v>48</v>
      </c>
    </row>
    <row r="233" spans="1:25" x14ac:dyDescent="0.3">
      <c r="A233" s="16">
        <v>7501159526029</v>
      </c>
      <c r="B233" s="81" t="s">
        <v>43</v>
      </c>
      <c r="C233" s="81" t="s">
        <v>375</v>
      </c>
      <c r="D233" s="81" t="s">
        <v>45</v>
      </c>
      <c r="E233" s="81" t="s">
        <v>2335</v>
      </c>
      <c r="F233" s="81" t="s">
        <v>2612</v>
      </c>
      <c r="G233" s="81" t="s">
        <v>4324</v>
      </c>
      <c r="H233" s="81" t="s">
        <v>3503</v>
      </c>
      <c r="I233" s="81" t="s">
        <v>4919</v>
      </c>
      <c r="J233" s="81" t="s">
        <v>2186</v>
      </c>
      <c r="K233" s="81" t="s">
        <v>3579</v>
      </c>
      <c r="L233" s="81" t="s">
        <v>2392</v>
      </c>
      <c r="M233" s="81" t="s">
        <v>3573</v>
      </c>
      <c r="N233" s="81" t="s">
        <v>2231</v>
      </c>
      <c r="O233" s="81" t="s">
        <v>2187</v>
      </c>
      <c r="P233" s="81" t="s">
        <v>2187</v>
      </c>
      <c r="Q233" s="81" t="s">
        <v>43</v>
      </c>
      <c r="R233" s="81" t="s">
        <v>203</v>
      </c>
      <c r="S233" s="81" t="s">
        <v>73</v>
      </c>
      <c r="T233" s="81" t="s">
        <v>48</v>
      </c>
      <c r="U233" s="81" t="s">
        <v>48</v>
      </c>
      <c r="V233" s="81" t="s">
        <v>48</v>
      </c>
      <c r="W233" s="81" t="s">
        <v>49</v>
      </c>
      <c r="X233" s="81" t="s">
        <v>48</v>
      </c>
      <c r="Y233" s="81" t="s">
        <v>48</v>
      </c>
    </row>
    <row r="234" spans="1:25" x14ac:dyDescent="0.3">
      <c r="A234" s="16">
        <v>7501159525015</v>
      </c>
      <c r="B234" s="81" t="s">
        <v>43</v>
      </c>
      <c r="C234" s="81" t="s">
        <v>1900</v>
      </c>
      <c r="D234" s="81" t="s">
        <v>45</v>
      </c>
      <c r="E234" s="81" t="s">
        <v>2257</v>
      </c>
      <c r="F234" s="81" t="s">
        <v>2323</v>
      </c>
      <c r="G234" s="81" t="s">
        <v>4509</v>
      </c>
      <c r="H234" s="81" t="s">
        <v>2673</v>
      </c>
      <c r="I234" s="81" t="s">
        <v>5723</v>
      </c>
      <c r="J234" s="81" t="s">
        <v>2186</v>
      </c>
      <c r="K234" s="81" t="s">
        <v>5723</v>
      </c>
      <c r="L234" s="81" t="s">
        <v>2392</v>
      </c>
      <c r="M234" s="81" t="s">
        <v>5723</v>
      </c>
      <c r="N234" s="81" t="s">
        <v>2231</v>
      </c>
      <c r="O234" s="81" t="s">
        <v>2187</v>
      </c>
      <c r="P234" s="81" t="s">
        <v>2187</v>
      </c>
      <c r="Q234" s="81" t="s">
        <v>43</v>
      </c>
      <c r="R234" s="81" t="s">
        <v>203</v>
      </c>
      <c r="S234" s="81" t="s">
        <v>203</v>
      </c>
      <c r="T234" s="81" t="s">
        <v>48</v>
      </c>
      <c r="U234" s="81" t="s">
        <v>48</v>
      </c>
      <c r="V234" s="81" t="s">
        <v>48</v>
      </c>
      <c r="W234" s="81" t="s">
        <v>49</v>
      </c>
      <c r="X234" s="81" t="s">
        <v>48</v>
      </c>
      <c r="Y234" s="81" t="s">
        <v>48</v>
      </c>
    </row>
    <row r="235" spans="1:25" x14ac:dyDescent="0.3">
      <c r="A235" s="16">
        <v>7502001162013</v>
      </c>
      <c r="B235" s="81" t="s">
        <v>43</v>
      </c>
      <c r="C235" s="81" t="s">
        <v>376</v>
      </c>
      <c r="D235" s="81" t="s">
        <v>45</v>
      </c>
      <c r="E235" s="81" t="s">
        <v>2481</v>
      </c>
      <c r="F235" s="81" t="s">
        <v>2675</v>
      </c>
      <c r="G235" s="81" t="s">
        <v>5471</v>
      </c>
      <c r="H235" s="81" t="s">
        <v>2217</v>
      </c>
      <c r="I235" s="81" t="s">
        <v>5724</v>
      </c>
      <c r="J235" s="81" t="s">
        <v>2186</v>
      </c>
      <c r="K235" s="81" t="s">
        <v>5724</v>
      </c>
      <c r="L235" s="81" t="s">
        <v>2392</v>
      </c>
      <c r="M235" s="81" t="s">
        <v>5724</v>
      </c>
      <c r="N235" s="81" t="s">
        <v>2231</v>
      </c>
      <c r="O235" s="81" t="s">
        <v>2187</v>
      </c>
      <c r="P235" s="81" t="s">
        <v>2187</v>
      </c>
      <c r="Q235" s="81" t="s">
        <v>43</v>
      </c>
      <c r="R235" s="81" t="s">
        <v>46</v>
      </c>
      <c r="S235" s="81" t="s">
        <v>46</v>
      </c>
      <c r="T235" s="81" t="s">
        <v>48</v>
      </c>
      <c r="U235" s="81" t="s">
        <v>48</v>
      </c>
      <c r="V235" s="81" t="s">
        <v>48</v>
      </c>
      <c r="W235" s="81" t="s">
        <v>49</v>
      </c>
      <c r="X235" s="81" t="s">
        <v>48</v>
      </c>
      <c r="Y235" s="81" t="s">
        <v>48</v>
      </c>
    </row>
    <row r="236" spans="1:25" x14ac:dyDescent="0.3">
      <c r="A236" s="16">
        <v>7502009741425</v>
      </c>
      <c r="B236" s="81" t="s">
        <v>43</v>
      </c>
      <c r="C236" s="81" t="s">
        <v>377</v>
      </c>
      <c r="D236" s="81" t="s">
        <v>45</v>
      </c>
      <c r="E236" s="81" t="s">
        <v>2257</v>
      </c>
      <c r="F236" s="81" t="s">
        <v>2258</v>
      </c>
      <c r="G236" s="81" t="s">
        <v>4396</v>
      </c>
      <c r="H236" s="81" t="s">
        <v>2905</v>
      </c>
      <c r="I236" s="81" t="s">
        <v>5725</v>
      </c>
      <c r="J236" s="81" t="s">
        <v>2186</v>
      </c>
      <c r="K236" s="81" t="s">
        <v>5725</v>
      </c>
      <c r="L236" s="81" t="s">
        <v>2392</v>
      </c>
      <c r="M236" s="81" t="s">
        <v>5725</v>
      </c>
      <c r="N236" s="81" t="s">
        <v>2231</v>
      </c>
      <c r="O236" s="81" t="s">
        <v>2187</v>
      </c>
      <c r="P236" s="81" t="s">
        <v>2187</v>
      </c>
      <c r="Q236" s="81" t="s">
        <v>378</v>
      </c>
      <c r="R236" s="81" t="s">
        <v>51</v>
      </c>
      <c r="S236" s="81" t="s">
        <v>81</v>
      </c>
      <c r="T236" s="81" t="s">
        <v>49</v>
      </c>
      <c r="U236" s="81" t="s">
        <v>48</v>
      </c>
      <c r="V236" s="81" t="s">
        <v>48</v>
      </c>
      <c r="W236" s="81" t="s">
        <v>49</v>
      </c>
      <c r="X236" s="81" t="s">
        <v>48</v>
      </c>
      <c r="Y236" s="81" t="s">
        <v>48</v>
      </c>
    </row>
    <row r="237" spans="1:25" x14ac:dyDescent="0.3">
      <c r="A237" s="16">
        <v>780083146207</v>
      </c>
      <c r="B237" s="81" t="s">
        <v>43</v>
      </c>
      <c r="C237" s="81" t="s">
        <v>2110</v>
      </c>
      <c r="D237" s="81" t="s">
        <v>45</v>
      </c>
      <c r="E237" s="81" t="s">
        <v>2323</v>
      </c>
      <c r="F237" s="81" t="s">
        <v>2639</v>
      </c>
      <c r="G237" s="81" t="s">
        <v>5341</v>
      </c>
      <c r="H237" s="81" t="s">
        <v>5726</v>
      </c>
      <c r="I237" s="81" t="s">
        <v>5727</v>
      </c>
      <c r="J237" s="81" t="s">
        <v>2186</v>
      </c>
      <c r="K237" s="81" t="s">
        <v>5727</v>
      </c>
      <c r="L237" s="81" t="s">
        <v>2392</v>
      </c>
      <c r="M237" s="81" t="s">
        <v>5727</v>
      </c>
      <c r="N237" s="81" t="s">
        <v>2231</v>
      </c>
      <c r="O237" s="81" t="s">
        <v>2187</v>
      </c>
      <c r="P237" s="81" t="s">
        <v>2187</v>
      </c>
      <c r="Q237" s="81" t="s">
        <v>379</v>
      </c>
      <c r="R237" s="81" t="s">
        <v>112</v>
      </c>
      <c r="S237" s="81" t="s">
        <v>112</v>
      </c>
      <c r="T237" s="81" t="s">
        <v>48</v>
      </c>
      <c r="U237" s="81" t="s">
        <v>48</v>
      </c>
      <c r="V237" s="81" t="s">
        <v>48</v>
      </c>
      <c r="W237" s="81" t="s">
        <v>49</v>
      </c>
      <c r="X237" s="81" t="s">
        <v>48</v>
      </c>
      <c r="Y237" s="81" t="s">
        <v>48</v>
      </c>
    </row>
    <row r="238" spans="1:25" x14ac:dyDescent="0.3">
      <c r="A238" s="16">
        <v>780083144807</v>
      </c>
      <c r="B238" s="81" t="s">
        <v>43</v>
      </c>
      <c r="C238" s="81" t="s">
        <v>380</v>
      </c>
      <c r="D238" s="81" t="s">
        <v>45</v>
      </c>
      <c r="E238" s="81" t="s">
        <v>2678</v>
      </c>
      <c r="F238" s="81" t="s">
        <v>2388</v>
      </c>
      <c r="G238" s="81" t="s">
        <v>4851</v>
      </c>
      <c r="H238" s="81" t="s">
        <v>2287</v>
      </c>
      <c r="I238" s="81" t="s">
        <v>5728</v>
      </c>
      <c r="J238" s="81" t="s">
        <v>2186</v>
      </c>
      <c r="K238" s="81" t="s">
        <v>5728</v>
      </c>
      <c r="L238" s="81" t="s">
        <v>2392</v>
      </c>
      <c r="M238" s="81" t="s">
        <v>5728</v>
      </c>
      <c r="N238" s="81" t="s">
        <v>2231</v>
      </c>
      <c r="O238" s="81" t="s">
        <v>2187</v>
      </c>
      <c r="P238" s="81" t="s">
        <v>2187</v>
      </c>
      <c r="Q238" s="81" t="s">
        <v>43</v>
      </c>
      <c r="R238" s="81" t="s">
        <v>46</v>
      </c>
      <c r="S238" s="81" t="s">
        <v>46</v>
      </c>
      <c r="T238" s="81" t="s">
        <v>48</v>
      </c>
      <c r="U238" s="81" t="s">
        <v>48</v>
      </c>
      <c r="V238" s="81" t="s">
        <v>48</v>
      </c>
      <c r="W238" s="81" t="s">
        <v>49</v>
      </c>
      <c r="X238" s="81" t="s">
        <v>48</v>
      </c>
      <c r="Y238" s="81" t="s">
        <v>48</v>
      </c>
    </row>
    <row r="239" spans="1:25" x14ac:dyDescent="0.3">
      <c r="A239" s="16">
        <v>7501300407047</v>
      </c>
      <c r="B239" s="81" t="s">
        <v>43</v>
      </c>
      <c r="C239" s="81" t="s">
        <v>381</v>
      </c>
      <c r="D239" s="81" t="s">
        <v>45</v>
      </c>
      <c r="E239" s="81" t="s">
        <v>2481</v>
      </c>
      <c r="F239" s="81" t="s">
        <v>2679</v>
      </c>
      <c r="G239" s="81" t="s">
        <v>5472</v>
      </c>
      <c r="H239" s="81" t="s">
        <v>2680</v>
      </c>
      <c r="I239" s="81" t="s">
        <v>5729</v>
      </c>
      <c r="J239" s="81" t="s">
        <v>2186</v>
      </c>
      <c r="K239" s="81" t="s">
        <v>5729</v>
      </c>
      <c r="L239" s="81" t="s">
        <v>2392</v>
      </c>
      <c r="M239" s="81" t="s">
        <v>5729</v>
      </c>
      <c r="N239" s="81" t="s">
        <v>2231</v>
      </c>
      <c r="O239" s="81" t="s">
        <v>2187</v>
      </c>
      <c r="P239" s="81" t="s">
        <v>2187</v>
      </c>
      <c r="Q239" s="81" t="s">
        <v>382</v>
      </c>
      <c r="R239" s="81" t="s">
        <v>374</v>
      </c>
      <c r="S239" s="81" t="s">
        <v>47</v>
      </c>
      <c r="T239" s="81" t="s">
        <v>48</v>
      </c>
      <c r="U239" s="81" t="s">
        <v>48</v>
      </c>
      <c r="V239" s="81" t="s">
        <v>48</v>
      </c>
      <c r="W239" s="81" t="s">
        <v>49</v>
      </c>
      <c r="X239" s="81" t="s">
        <v>48</v>
      </c>
      <c r="Y239" s="81" t="s">
        <v>48</v>
      </c>
    </row>
    <row r="240" spans="1:25" x14ac:dyDescent="0.3">
      <c r="A240" s="16">
        <v>7502001164697</v>
      </c>
      <c r="B240" s="81" t="s">
        <v>43</v>
      </c>
      <c r="C240" s="81" t="s">
        <v>383</v>
      </c>
      <c r="D240" s="81" t="s">
        <v>45</v>
      </c>
      <c r="E240" s="81" t="s">
        <v>2227</v>
      </c>
      <c r="F240" s="81" t="s">
        <v>2227</v>
      </c>
      <c r="G240" s="81" t="s">
        <v>2683</v>
      </c>
      <c r="H240" s="81" t="s">
        <v>2213</v>
      </c>
      <c r="I240" s="81" t="s">
        <v>5730</v>
      </c>
      <c r="J240" s="81" t="s">
        <v>2186</v>
      </c>
      <c r="K240" s="81" t="s">
        <v>5730</v>
      </c>
      <c r="L240" s="81" t="s">
        <v>2392</v>
      </c>
      <c r="M240" s="81" t="s">
        <v>5730</v>
      </c>
      <c r="N240" s="81" t="s">
        <v>2231</v>
      </c>
      <c r="O240" s="81" t="s">
        <v>2187</v>
      </c>
      <c r="P240" s="81" t="s">
        <v>2187</v>
      </c>
      <c r="Q240" s="81" t="s">
        <v>384</v>
      </c>
      <c r="R240" s="81" t="s">
        <v>51</v>
      </c>
      <c r="S240" s="81" t="s">
        <v>81</v>
      </c>
      <c r="T240" s="81" t="s">
        <v>48</v>
      </c>
      <c r="U240" s="81" t="s">
        <v>48</v>
      </c>
      <c r="V240" s="81" t="s">
        <v>48</v>
      </c>
      <c r="W240" s="81" t="s">
        <v>49</v>
      </c>
      <c r="X240" s="81" t="s">
        <v>48</v>
      </c>
      <c r="Y240" s="81" t="s">
        <v>48</v>
      </c>
    </row>
    <row r="241" spans="1:25" x14ac:dyDescent="0.3">
      <c r="A241" s="16">
        <v>785118753825</v>
      </c>
      <c r="B241" s="81" t="s">
        <v>43</v>
      </c>
      <c r="C241" s="81" t="s">
        <v>385</v>
      </c>
      <c r="D241" s="81" t="s">
        <v>45</v>
      </c>
      <c r="E241" s="81" t="s">
        <v>2684</v>
      </c>
      <c r="F241" s="81" t="s">
        <v>2685</v>
      </c>
      <c r="G241" s="81" t="s">
        <v>5473</v>
      </c>
      <c r="H241" s="81" t="s">
        <v>2213</v>
      </c>
      <c r="I241" s="81" t="s">
        <v>5619</v>
      </c>
      <c r="J241" s="81" t="s">
        <v>2186</v>
      </c>
      <c r="K241" s="81" t="s">
        <v>5619</v>
      </c>
      <c r="L241" s="81" t="s">
        <v>2392</v>
      </c>
      <c r="M241" s="81" t="s">
        <v>5619</v>
      </c>
      <c r="N241" s="81" t="s">
        <v>2231</v>
      </c>
      <c r="O241" s="81" t="s">
        <v>2187</v>
      </c>
      <c r="P241" s="81" t="s">
        <v>2187</v>
      </c>
      <c r="Q241" s="81" t="s">
        <v>386</v>
      </c>
      <c r="R241" s="81" t="s">
        <v>46</v>
      </c>
      <c r="S241" s="81" t="s">
        <v>47</v>
      </c>
      <c r="T241" s="81" t="s">
        <v>48</v>
      </c>
      <c r="U241" s="81" t="s">
        <v>48</v>
      </c>
      <c r="V241" s="81" t="s">
        <v>48</v>
      </c>
      <c r="W241" s="81" t="s">
        <v>49</v>
      </c>
      <c r="X241" s="81" t="s">
        <v>48</v>
      </c>
      <c r="Y241" s="81" t="s">
        <v>48</v>
      </c>
    </row>
    <row r="242" spans="1:25" x14ac:dyDescent="0.3">
      <c r="A242" s="16">
        <v>7501008497340</v>
      </c>
      <c r="B242" s="81" t="s">
        <v>43</v>
      </c>
      <c r="C242" s="81" t="s">
        <v>387</v>
      </c>
      <c r="D242" s="81" t="s">
        <v>45</v>
      </c>
      <c r="E242" s="81" t="s">
        <v>2211</v>
      </c>
      <c r="F242" s="81" t="s">
        <v>2686</v>
      </c>
      <c r="G242" s="81" t="s">
        <v>5731</v>
      </c>
      <c r="H242" s="81" t="s">
        <v>5732</v>
      </c>
      <c r="I242" s="81" t="s">
        <v>5733</v>
      </c>
      <c r="J242" s="81" t="s">
        <v>2186</v>
      </c>
      <c r="K242" s="81" t="s">
        <v>5733</v>
      </c>
      <c r="L242" s="81" t="s">
        <v>2392</v>
      </c>
      <c r="M242" s="81" t="s">
        <v>5733</v>
      </c>
      <c r="N242" s="81" t="s">
        <v>2231</v>
      </c>
      <c r="O242" s="81" t="s">
        <v>2187</v>
      </c>
      <c r="P242" s="81" t="s">
        <v>2187</v>
      </c>
      <c r="Q242" s="81" t="s">
        <v>388</v>
      </c>
      <c r="R242" s="81" t="s">
        <v>203</v>
      </c>
      <c r="S242" s="81" t="s">
        <v>47</v>
      </c>
      <c r="T242" s="81" t="s">
        <v>48</v>
      </c>
      <c r="U242" s="81" t="s">
        <v>48</v>
      </c>
      <c r="V242" s="81" t="s">
        <v>48</v>
      </c>
      <c r="W242" s="81" t="s">
        <v>49</v>
      </c>
      <c r="X242" s="81" t="s">
        <v>48</v>
      </c>
      <c r="Y242" s="81" t="s">
        <v>48</v>
      </c>
    </row>
    <row r="243" spans="1:25" x14ac:dyDescent="0.3">
      <c r="A243" s="16">
        <v>7502009745898</v>
      </c>
      <c r="B243" s="81" t="s">
        <v>43</v>
      </c>
      <c r="C243" s="81" t="s">
        <v>2111</v>
      </c>
      <c r="D243" s="81" t="s">
        <v>45</v>
      </c>
      <c r="E243" s="81" t="s">
        <v>2689</v>
      </c>
      <c r="F243" s="81" t="s">
        <v>2690</v>
      </c>
      <c r="G243" s="81" t="s">
        <v>5321</v>
      </c>
      <c r="H243" s="81" t="s">
        <v>2436</v>
      </c>
      <c r="I243" s="81" t="s">
        <v>4071</v>
      </c>
      <c r="J243" s="81" t="s">
        <v>2186</v>
      </c>
      <c r="K243" s="81" t="s">
        <v>4071</v>
      </c>
      <c r="L243" s="81" t="s">
        <v>2392</v>
      </c>
      <c r="M243" s="81" t="s">
        <v>4071</v>
      </c>
      <c r="N243" s="81" t="s">
        <v>2231</v>
      </c>
      <c r="O243" s="81" t="s">
        <v>2187</v>
      </c>
      <c r="P243" s="81" t="s">
        <v>2187</v>
      </c>
      <c r="Q243" s="81" t="s">
        <v>389</v>
      </c>
      <c r="R243" s="81" t="s">
        <v>46</v>
      </c>
      <c r="S243" s="81" t="s">
        <v>47</v>
      </c>
      <c r="T243" s="81" t="s">
        <v>48</v>
      </c>
      <c r="U243" s="81" t="s">
        <v>48</v>
      </c>
      <c r="V243" s="81" t="s">
        <v>48</v>
      </c>
      <c r="W243" s="81" t="s">
        <v>49</v>
      </c>
      <c r="X243" s="81" t="s">
        <v>48</v>
      </c>
      <c r="Y243" s="81" t="s">
        <v>48</v>
      </c>
    </row>
    <row r="244" spans="1:25" x14ac:dyDescent="0.3">
      <c r="A244" s="16">
        <v>7501478315397</v>
      </c>
      <c r="B244" s="81" t="s">
        <v>43</v>
      </c>
      <c r="C244" s="81" t="s">
        <v>2112</v>
      </c>
      <c r="D244" s="81" t="s">
        <v>45</v>
      </c>
      <c r="E244" s="81" t="s">
        <v>2604</v>
      </c>
      <c r="F244" s="81" t="s">
        <v>2605</v>
      </c>
      <c r="G244" s="81" t="s">
        <v>5474</v>
      </c>
      <c r="H244" s="81" t="s">
        <v>2217</v>
      </c>
      <c r="I244" s="81" t="s">
        <v>5734</v>
      </c>
      <c r="J244" s="81" t="s">
        <v>2186</v>
      </c>
      <c r="K244" s="81" t="s">
        <v>5734</v>
      </c>
      <c r="L244" s="81" t="s">
        <v>2392</v>
      </c>
      <c r="M244" s="81" t="s">
        <v>5734</v>
      </c>
      <c r="N244" s="81" t="s">
        <v>2231</v>
      </c>
      <c r="O244" s="81" t="s">
        <v>2187</v>
      </c>
      <c r="P244" s="81" t="s">
        <v>2187</v>
      </c>
      <c r="Q244" s="81" t="s">
        <v>388</v>
      </c>
      <c r="R244" s="81" t="s">
        <v>46</v>
      </c>
      <c r="S244" s="81" t="s">
        <v>47</v>
      </c>
      <c r="T244" s="81" t="s">
        <v>48</v>
      </c>
      <c r="U244" s="81" t="s">
        <v>48</v>
      </c>
      <c r="V244" s="81" t="s">
        <v>48</v>
      </c>
      <c r="W244" s="81" t="s">
        <v>49</v>
      </c>
      <c r="X244" s="81" t="s">
        <v>48</v>
      </c>
      <c r="Y244" s="81" t="s">
        <v>48</v>
      </c>
    </row>
    <row r="245" spans="1:25" x14ac:dyDescent="0.3">
      <c r="A245" s="16">
        <v>7502009740466</v>
      </c>
      <c r="B245" s="81" t="s">
        <v>43</v>
      </c>
      <c r="C245" s="81" t="s">
        <v>1901</v>
      </c>
      <c r="D245" s="81" t="s">
        <v>45</v>
      </c>
      <c r="E245" s="81" t="s">
        <v>2227</v>
      </c>
      <c r="F245" s="81" t="s">
        <v>2227</v>
      </c>
      <c r="G245" s="81" t="s">
        <v>5202</v>
      </c>
      <c r="H245" s="81" t="s">
        <v>2236</v>
      </c>
      <c r="I245" s="81" t="s">
        <v>5592</v>
      </c>
      <c r="J245" s="81" t="s">
        <v>2186</v>
      </c>
      <c r="K245" s="81" t="s">
        <v>5592</v>
      </c>
      <c r="L245" s="81" t="s">
        <v>2392</v>
      </c>
      <c r="M245" s="81" t="s">
        <v>5592</v>
      </c>
      <c r="N245" s="81" t="s">
        <v>2231</v>
      </c>
      <c r="O245" s="81" t="s">
        <v>2187</v>
      </c>
      <c r="P245" s="81" t="s">
        <v>2187</v>
      </c>
      <c r="Q245" s="81" t="s">
        <v>390</v>
      </c>
      <c r="R245" s="81" t="s">
        <v>46</v>
      </c>
      <c r="S245" s="81" t="s">
        <v>46</v>
      </c>
      <c r="T245" s="81" t="s">
        <v>48</v>
      </c>
      <c r="U245" s="81" t="s">
        <v>48</v>
      </c>
      <c r="V245" s="81" t="s">
        <v>48</v>
      </c>
      <c r="W245" s="81" t="s">
        <v>49</v>
      </c>
      <c r="X245" s="81" t="s">
        <v>48</v>
      </c>
      <c r="Y245" s="81" t="s">
        <v>48</v>
      </c>
    </row>
    <row r="246" spans="1:25" x14ac:dyDescent="0.3">
      <c r="A246" s="16">
        <v>7502009742095</v>
      </c>
      <c r="B246" s="81" t="s">
        <v>43</v>
      </c>
      <c r="C246" s="81" t="s">
        <v>2113</v>
      </c>
      <c r="D246" s="81" t="s">
        <v>45</v>
      </c>
      <c r="E246" s="81" t="s">
        <v>2335</v>
      </c>
      <c r="F246" s="81" t="s">
        <v>2612</v>
      </c>
      <c r="G246" s="81" t="s">
        <v>5144</v>
      </c>
      <c r="H246" s="81" t="s">
        <v>2193</v>
      </c>
      <c r="I246" s="81" t="s">
        <v>5735</v>
      </c>
      <c r="J246" s="81" t="s">
        <v>2186</v>
      </c>
      <c r="K246" s="81" t="s">
        <v>5735</v>
      </c>
      <c r="L246" s="81" t="s">
        <v>2392</v>
      </c>
      <c r="M246" s="81" t="s">
        <v>5735</v>
      </c>
      <c r="N246" s="81" t="s">
        <v>2231</v>
      </c>
      <c r="O246" s="81" t="s">
        <v>2187</v>
      </c>
      <c r="P246" s="81" t="s">
        <v>2187</v>
      </c>
      <c r="Q246" s="81" t="s">
        <v>391</v>
      </c>
      <c r="R246" s="81" t="s">
        <v>46</v>
      </c>
      <c r="S246" s="81" t="s">
        <v>46</v>
      </c>
      <c r="T246" s="81" t="s">
        <v>48</v>
      </c>
      <c r="U246" s="81" t="s">
        <v>48</v>
      </c>
      <c r="V246" s="81" t="s">
        <v>48</v>
      </c>
      <c r="W246" s="81" t="s">
        <v>49</v>
      </c>
      <c r="X246" s="81" t="s">
        <v>48</v>
      </c>
      <c r="Y246" s="81" t="s">
        <v>48</v>
      </c>
    </row>
    <row r="247" spans="1:25" x14ac:dyDescent="0.3">
      <c r="A247" s="16">
        <v>7501590211201</v>
      </c>
      <c r="B247" s="81" t="s">
        <v>43</v>
      </c>
      <c r="C247" s="81" t="s">
        <v>1902</v>
      </c>
      <c r="D247" s="81" t="s">
        <v>45</v>
      </c>
      <c r="E247" s="81" t="s">
        <v>2304</v>
      </c>
      <c r="F247" s="81" t="s">
        <v>2435</v>
      </c>
      <c r="G247" s="81" t="s">
        <v>5383</v>
      </c>
      <c r="H247" s="81" t="s">
        <v>2278</v>
      </c>
      <c r="I247" s="81" t="s">
        <v>5736</v>
      </c>
      <c r="J247" s="81" t="s">
        <v>2186</v>
      </c>
      <c r="K247" s="81" t="s">
        <v>5736</v>
      </c>
      <c r="L247" s="81" t="s">
        <v>2392</v>
      </c>
      <c r="M247" s="81" t="s">
        <v>5736</v>
      </c>
      <c r="N247" s="81" t="s">
        <v>2231</v>
      </c>
      <c r="O247" s="81" t="s">
        <v>2187</v>
      </c>
      <c r="P247" s="81" t="s">
        <v>2187</v>
      </c>
      <c r="Q247" s="81" t="s">
        <v>43</v>
      </c>
      <c r="R247" s="81" t="s">
        <v>101</v>
      </c>
      <c r="S247" s="81" t="s">
        <v>101</v>
      </c>
      <c r="T247" s="81" t="s">
        <v>48</v>
      </c>
      <c r="U247" s="81" t="s">
        <v>48</v>
      </c>
      <c r="V247" s="81" t="s">
        <v>48</v>
      </c>
      <c r="W247" s="81" t="s">
        <v>49</v>
      </c>
      <c r="X247" s="81" t="s">
        <v>48</v>
      </c>
      <c r="Y247" s="81" t="s">
        <v>48</v>
      </c>
    </row>
    <row r="248" spans="1:25" x14ac:dyDescent="0.3">
      <c r="A248" s="16">
        <v>7501349012943</v>
      </c>
      <c r="B248" s="81" t="s">
        <v>43</v>
      </c>
      <c r="C248" s="81" t="s">
        <v>2694</v>
      </c>
      <c r="D248" s="81" t="s">
        <v>45</v>
      </c>
      <c r="E248" s="81" t="s">
        <v>2253</v>
      </c>
      <c r="F248" s="81" t="s">
        <v>2254</v>
      </c>
      <c r="G248" s="81" t="s">
        <v>5384</v>
      </c>
      <c r="H248" s="81" t="s">
        <v>2252</v>
      </c>
      <c r="I248" s="81" t="s">
        <v>5737</v>
      </c>
      <c r="J248" s="81" t="s">
        <v>2186</v>
      </c>
      <c r="K248" s="81" t="s">
        <v>5737</v>
      </c>
      <c r="L248" s="81" t="s">
        <v>2392</v>
      </c>
      <c r="M248" s="81" t="s">
        <v>5737</v>
      </c>
      <c r="N248" s="81" t="s">
        <v>2231</v>
      </c>
      <c r="O248" s="81" t="s">
        <v>2187</v>
      </c>
      <c r="P248" s="81" t="s">
        <v>2187</v>
      </c>
      <c r="Q248" s="81" t="s">
        <v>392</v>
      </c>
      <c r="R248" s="81" t="s">
        <v>46</v>
      </c>
      <c r="S248" s="81" t="s">
        <v>46</v>
      </c>
      <c r="T248" s="81" t="s">
        <v>48</v>
      </c>
      <c r="U248" s="81" t="s">
        <v>48</v>
      </c>
      <c r="V248" s="81" t="s">
        <v>48</v>
      </c>
      <c r="W248" s="81" t="s">
        <v>49</v>
      </c>
      <c r="X248" s="81" t="s">
        <v>48</v>
      </c>
      <c r="Y248" s="81" t="s">
        <v>48</v>
      </c>
    </row>
    <row r="249" spans="1:25" x14ac:dyDescent="0.3">
      <c r="A249" s="16">
        <v>7506335701306</v>
      </c>
      <c r="B249" s="81" t="s">
        <v>43</v>
      </c>
      <c r="C249" s="81" t="s">
        <v>393</v>
      </c>
      <c r="D249" s="81" t="s">
        <v>45</v>
      </c>
      <c r="E249" s="81" t="s">
        <v>2271</v>
      </c>
      <c r="F249" s="81" t="s">
        <v>2272</v>
      </c>
      <c r="G249" s="81" t="s">
        <v>3902</v>
      </c>
      <c r="H249" s="81" t="s">
        <v>2429</v>
      </c>
      <c r="I249" s="81" t="s">
        <v>5738</v>
      </c>
      <c r="J249" s="81" t="s">
        <v>2186</v>
      </c>
      <c r="K249" s="81" t="s">
        <v>5738</v>
      </c>
      <c r="L249" s="81" t="s">
        <v>2392</v>
      </c>
      <c r="M249" s="81" t="s">
        <v>5738</v>
      </c>
      <c r="N249" s="81" t="s">
        <v>2231</v>
      </c>
      <c r="O249" s="81" t="s">
        <v>2187</v>
      </c>
      <c r="P249" s="81" t="s">
        <v>2187</v>
      </c>
      <c r="Q249" s="81" t="s">
        <v>394</v>
      </c>
      <c r="R249" s="81" t="s">
        <v>51</v>
      </c>
      <c r="S249" s="81" t="s">
        <v>47</v>
      </c>
      <c r="T249" s="81" t="s">
        <v>49</v>
      </c>
      <c r="U249" s="81" t="s">
        <v>48</v>
      </c>
      <c r="V249" s="81" t="s">
        <v>48</v>
      </c>
      <c r="W249" s="81" t="s">
        <v>49</v>
      </c>
      <c r="X249" s="81" t="s">
        <v>48</v>
      </c>
      <c r="Y249" s="81" t="s">
        <v>48</v>
      </c>
    </row>
    <row r="250" spans="1:25" x14ac:dyDescent="0.3">
      <c r="A250" s="16">
        <v>7502009740282</v>
      </c>
      <c r="B250" s="81" t="s">
        <v>43</v>
      </c>
      <c r="C250" s="81" t="s">
        <v>1903</v>
      </c>
      <c r="D250" s="81" t="s">
        <v>45</v>
      </c>
      <c r="E250" s="81" t="s">
        <v>2332</v>
      </c>
      <c r="F250" s="81" t="s">
        <v>2696</v>
      </c>
      <c r="G250" s="81" t="s">
        <v>5012</v>
      </c>
      <c r="H250" s="81" t="s">
        <v>2264</v>
      </c>
      <c r="I250" s="81" t="s">
        <v>5542</v>
      </c>
      <c r="J250" s="81" t="s">
        <v>2186</v>
      </c>
      <c r="K250" s="81" t="s">
        <v>5542</v>
      </c>
      <c r="L250" s="81" t="s">
        <v>2392</v>
      </c>
      <c r="M250" s="81" t="s">
        <v>5542</v>
      </c>
      <c r="N250" s="81" t="s">
        <v>2231</v>
      </c>
      <c r="O250" s="81" t="s">
        <v>2187</v>
      </c>
      <c r="P250" s="81" t="s">
        <v>2187</v>
      </c>
      <c r="Q250" s="81" t="s">
        <v>395</v>
      </c>
      <c r="R250" s="81" t="s">
        <v>46</v>
      </c>
      <c r="S250" s="81" t="s">
        <v>46</v>
      </c>
      <c r="T250" s="81" t="s">
        <v>48</v>
      </c>
      <c r="U250" s="81" t="s">
        <v>48</v>
      </c>
      <c r="V250" s="81" t="s">
        <v>48</v>
      </c>
      <c r="W250" s="81" t="s">
        <v>49</v>
      </c>
      <c r="X250" s="81" t="s">
        <v>48</v>
      </c>
      <c r="Y250" s="81" t="s">
        <v>48</v>
      </c>
    </row>
    <row r="251" spans="1:25" x14ac:dyDescent="0.3">
      <c r="A251" s="16">
        <v>7502227870228</v>
      </c>
      <c r="B251" s="81" t="s">
        <v>43</v>
      </c>
      <c r="C251" s="81" t="s">
        <v>396</v>
      </c>
      <c r="D251" s="81" t="s">
        <v>45</v>
      </c>
      <c r="E251" s="81" t="s">
        <v>2448</v>
      </c>
      <c r="F251" s="81" t="s">
        <v>2540</v>
      </c>
      <c r="G251" s="81" t="s">
        <v>4397</v>
      </c>
      <c r="H251" s="81" t="s">
        <v>2208</v>
      </c>
      <c r="I251" s="81" t="s">
        <v>5558</v>
      </c>
      <c r="J251" s="81" t="s">
        <v>2186</v>
      </c>
      <c r="K251" s="81" t="s">
        <v>5558</v>
      </c>
      <c r="L251" s="81" t="s">
        <v>2392</v>
      </c>
      <c r="M251" s="81" t="s">
        <v>5558</v>
      </c>
      <c r="N251" s="81" t="s">
        <v>2231</v>
      </c>
      <c r="O251" s="81" t="s">
        <v>2187</v>
      </c>
      <c r="P251" s="81" t="s">
        <v>2187</v>
      </c>
      <c r="Q251" s="81" t="s">
        <v>397</v>
      </c>
      <c r="R251" s="81" t="s">
        <v>51</v>
      </c>
      <c r="S251" s="81" t="s">
        <v>81</v>
      </c>
      <c r="T251" s="81" t="s">
        <v>49</v>
      </c>
      <c r="U251" s="81" t="s">
        <v>48</v>
      </c>
      <c r="V251" s="81" t="s">
        <v>48</v>
      </c>
      <c r="W251" s="81" t="s">
        <v>49</v>
      </c>
      <c r="X251" s="81" t="s">
        <v>48</v>
      </c>
      <c r="Y251" s="81" t="s">
        <v>48</v>
      </c>
    </row>
    <row r="252" spans="1:25" x14ac:dyDescent="0.3">
      <c r="A252" s="16">
        <v>7502009745522</v>
      </c>
      <c r="B252" s="81" t="s">
        <v>43</v>
      </c>
      <c r="C252" s="81" t="s">
        <v>398</v>
      </c>
      <c r="D252" s="81" t="s">
        <v>45</v>
      </c>
      <c r="E252" s="81" t="s">
        <v>2300</v>
      </c>
      <c r="F252" s="81" t="s">
        <v>2697</v>
      </c>
      <c r="G252" s="81" t="s">
        <v>4515</v>
      </c>
      <c r="H252" s="81" t="s">
        <v>5739</v>
      </c>
      <c r="I252" s="81" t="s">
        <v>5740</v>
      </c>
      <c r="J252" s="81" t="s">
        <v>2186</v>
      </c>
      <c r="K252" s="81" t="s">
        <v>5740</v>
      </c>
      <c r="L252" s="81" t="s">
        <v>2392</v>
      </c>
      <c r="M252" s="81" t="s">
        <v>5740</v>
      </c>
      <c r="N252" s="81" t="s">
        <v>2231</v>
      </c>
      <c r="O252" s="81" t="s">
        <v>2187</v>
      </c>
      <c r="P252" s="81" t="s">
        <v>2187</v>
      </c>
      <c r="Q252" s="81" t="s">
        <v>399</v>
      </c>
      <c r="R252" s="81" t="s">
        <v>46</v>
      </c>
      <c r="S252" s="81" t="s">
        <v>46</v>
      </c>
      <c r="T252" s="81" t="s">
        <v>48</v>
      </c>
      <c r="U252" s="81" t="s">
        <v>48</v>
      </c>
      <c r="V252" s="81" t="s">
        <v>48</v>
      </c>
      <c r="W252" s="81" t="s">
        <v>49</v>
      </c>
      <c r="X252" s="81" t="s">
        <v>48</v>
      </c>
      <c r="Y252" s="81" t="s">
        <v>48</v>
      </c>
    </row>
    <row r="253" spans="1:25" x14ac:dyDescent="0.3">
      <c r="A253" s="16">
        <v>7502009745027</v>
      </c>
      <c r="B253" s="81" t="s">
        <v>43</v>
      </c>
      <c r="C253" s="81" t="s">
        <v>2698</v>
      </c>
      <c r="D253" s="81" t="s">
        <v>45</v>
      </c>
      <c r="E253" s="81" t="s">
        <v>2481</v>
      </c>
      <c r="F253" s="81" t="s">
        <v>2675</v>
      </c>
      <c r="G253" s="81" t="s">
        <v>5385</v>
      </c>
      <c r="H253" s="81" t="s">
        <v>2699</v>
      </c>
      <c r="I253" s="81" t="s">
        <v>5741</v>
      </c>
      <c r="J253" s="81" t="s">
        <v>2186</v>
      </c>
      <c r="K253" s="81" t="s">
        <v>5741</v>
      </c>
      <c r="L253" s="81" t="s">
        <v>2392</v>
      </c>
      <c r="M253" s="81" t="s">
        <v>5741</v>
      </c>
      <c r="N253" s="81" t="s">
        <v>2231</v>
      </c>
      <c r="O253" s="81" t="s">
        <v>2187</v>
      </c>
      <c r="P253" s="81" t="s">
        <v>2187</v>
      </c>
      <c r="Q253" s="81" t="s">
        <v>400</v>
      </c>
      <c r="R253" s="81" t="s">
        <v>46</v>
      </c>
      <c r="S253" s="81" t="s">
        <v>164</v>
      </c>
      <c r="T253" s="81" t="s">
        <v>48</v>
      </c>
      <c r="U253" s="81" t="s">
        <v>48</v>
      </c>
      <c r="V253" s="81" t="s">
        <v>48</v>
      </c>
      <c r="W253" s="81" t="s">
        <v>49</v>
      </c>
      <c r="X253" s="81" t="s">
        <v>48</v>
      </c>
      <c r="Y253" s="81" t="s">
        <v>48</v>
      </c>
    </row>
    <row r="254" spans="1:25" x14ac:dyDescent="0.3">
      <c r="A254" s="16">
        <v>7503004908776</v>
      </c>
      <c r="B254" s="81" t="s">
        <v>43</v>
      </c>
      <c r="C254" s="81" t="s">
        <v>2700</v>
      </c>
      <c r="D254" s="81" t="s">
        <v>45</v>
      </c>
      <c r="E254" s="81" t="s">
        <v>2227</v>
      </c>
      <c r="F254" s="81" t="s">
        <v>2179</v>
      </c>
      <c r="G254" s="81" t="s">
        <v>2707</v>
      </c>
      <c r="H254" s="81" t="s">
        <v>2224</v>
      </c>
      <c r="I254" s="81" t="s">
        <v>4663</v>
      </c>
      <c r="J254" s="81" t="s">
        <v>2186</v>
      </c>
      <c r="K254" s="81" t="s">
        <v>4663</v>
      </c>
      <c r="L254" s="81" t="s">
        <v>2392</v>
      </c>
      <c r="M254" s="81" t="s">
        <v>4663</v>
      </c>
      <c r="N254" s="81" t="s">
        <v>2231</v>
      </c>
      <c r="O254" s="81" t="s">
        <v>2187</v>
      </c>
      <c r="P254" s="81" t="s">
        <v>2187</v>
      </c>
      <c r="Q254" s="81" t="s">
        <v>405</v>
      </c>
      <c r="R254" s="81" t="s">
        <v>46</v>
      </c>
      <c r="S254" s="81" t="s">
        <v>47</v>
      </c>
      <c r="T254" s="81" t="s">
        <v>48</v>
      </c>
      <c r="U254" s="81" t="s">
        <v>48</v>
      </c>
      <c r="V254" s="81" t="s">
        <v>48</v>
      </c>
      <c r="W254" s="81" t="s">
        <v>49</v>
      </c>
      <c r="X254" s="81" t="s">
        <v>48</v>
      </c>
      <c r="Y254" s="81" t="s">
        <v>48</v>
      </c>
    </row>
    <row r="255" spans="1:25" x14ac:dyDescent="0.3">
      <c r="A255" s="16">
        <v>7503008344907</v>
      </c>
      <c r="B255" s="81" t="s">
        <v>43</v>
      </c>
      <c r="C255" s="81" t="s">
        <v>1904</v>
      </c>
      <c r="D255" s="81" t="s">
        <v>45</v>
      </c>
      <c r="E255" s="81" t="s">
        <v>2179</v>
      </c>
      <c r="F255" s="81" t="s">
        <v>2357</v>
      </c>
      <c r="G255" s="81" t="s">
        <v>4778</v>
      </c>
      <c r="H255" s="81" t="s">
        <v>2385</v>
      </c>
      <c r="I255" s="81" t="s">
        <v>5742</v>
      </c>
      <c r="J255" s="81" t="s">
        <v>2186</v>
      </c>
      <c r="K255" s="81" t="s">
        <v>5742</v>
      </c>
      <c r="L255" s="81" t="s">
        <v>2392</v>
      </c>
      <c r="M255" s="81" t="s">
        <v>5742</v>
      </c>
      <c r="N255" s="81" t="s">
        <v>2231</v>
      </c>
      <c r="O255" s="81" t="s">
        <v>2187</v>
      </c>
      <c r="P255" s="81" t="s">
        <v>2187</v>
      </c>
      <c r="Q255" s="81" t="s">
        <v>43</v>
      </c>
      <c r="R255" s="81" t="s">
        <v>46</v>
      </c>
      <c r="S255" s="81" t="s">
        <v>46</v>
      </c>
      <c r="T255" s="81" t="s">
        <v>48</v>
      </c>
      <c r="U255" s="81" t="s">
        <v>48</v>
      </c>
      <c r="V255" s="81" t="s">
        <v>48</v>
      </c>
      <c r="W255" s="81" t="s">
        <v>49</v>
      </c>
      <c r="X255" s="81" t="s">
        <v>48</v>
      </c>
      <c r="Y255" s="81" t="s">
        <v>48</v>
      </c>
    </row>
    <row r="256" spans="1:25" x14ac:dyDescent="0.3">
      <c r="A256" s="16">
        <v>325325</v>
      </c>
      <c r="B256" s="81" t="s">
        <v>43</v>
      </c>
      <c r="C256" s="81" t="s">
        <v>401</v>
      </c>
      <c r="D256" s="81" t="s">
        <v>45</v>
      </c>
      <c r="E256" s="81" t="s">
        <v>2227</v>
      </c>
      <c r="F256" s="81" t="s">
        <v>2227</v>
      </c>
      <c r="G256" s="81" t="s">
        <v>2701</v>
      </c>
      <c r="H256" s="81" t="s">
        <v>5743</v>
      </c>
      <c r="I256" s="81" t="s">
        <v>5744</v>
      </c>
      <c r="J256" s="81" t="s">
        <v>2186</v>
      </c>
      <c r="K256" s="81" t="s">
        <v>5744</v>
      </c>
      <c r="L256" s="81" t="s">
        <v>2392</v>
      </c>
      <c r="M256" s="81" t="s">
        <v>5744</v>
      </c>
      <c r="N256" s="81" t="s">
        <v>2231</v>
      </c>
      <c r="O256" s="81" t="s">
        <v>2187</v>
      </c>
      <c r="P256" s="81" t="s">
        <v>2187</v>
      </c>
      <c r="Q256" s="81" t="s">
        <v>43</v>
      </c>
      <c r="R256" s="81" t="s">
        <v>122</v>
      </c>
      <c r="S256" s="81" t="s">
        <v>123</v>
      </c>
      <c r="T256" s="81" t="s">
        <v>48</v>
      </c>
      <c r="U256" s="81" t="s">
        <v>48</v>
      </c>
      <c r="V256" s="81" t="s">
        <v>49</v>
      </c>
      <c r="W256" s="81" t="s">
        <v>48</v>
      </c>
      <c r="X256" s="81" t="s">
        <v>48</v>
      </c>
      <c r="Y256" s="81" t="s">
        <v>48</v>
      </c>
    </row>
    <row r="257" spans="1:25" x14ac:dyDescent="0.3">
      <c r="A257" s="16">
        <v>7501349026094</v>
      </c>
      <c r="B257" s="81" t="s">
        <v>43</v>
      </c>
      <c r="C257" s="81" t="s">
        <v>402</v>
      </c>
      <c r="D257" s="81" t="s">
        <v>45</v>
      </c>
      <c r="E257" s="81" t="s">
        <v>2703</v>
      </c>
      <c r="F257" s="81" t="s">
        <v>2374</v>
      </c>
      <c r="G257" s="81" t="s">
        <v>5386</v>
      </c>
      <c r="H257" s="81" t="s">
        <v>2482</v>
      </c>
      <c r="I257" s="81" t="s">
        <v>5745</v>
      </c>
      <c r="J257" s="81" t="s">
        <v>2186</v>
      </c>
      <c r="K257" s="81" t="s">
        <v>5745</v>
      </c>
      <c r="L257" s="81" t="s">
        <v>2392</v>
      </c>
      <c r="M257" s="81" t="s">
        <v>5745</v>
      </c>
      <c r="N257" s="81" t="s">
        <v>2231</v>
      </c>
      <c r="O257" s="81" t="s">
        <v>2187</v>
      </c>
      <c r="P257" s="81" t="s">
        <v>2187</v>
      </c>
      <c r="Q257" s="81" t="s">
        <v>78</v>
      </c>
      <c r="R257" s="81" t="s">
        <v>51</v>
      </c>
      <c r="S257" s="81" t="s">
        <v>73</v>
      </c>
      <c r="T257" s="81" t="s">
        <v>49</v>
      </c>
      <c r="U257" s="81" t="s">
        <v>48</v>
      </c>
      <c r="V257" s="81" t="s">
        <v>48</v>
      </c>
      <c r="W257" s="81" t="s">
        <v>49</v>
      </c>
      <c r="X257" s="81" t="s">
        <v>48</v>
      </c>
      <c r="Y257" s="81" t="s">
        <v>48</v>
      </c>
    </row>
    <row r="258" spans="1:25" x14ac:dyDescent="0.3">
      <c r="A258" s="16">
        <v>4015630082988</v>
      </c>
      <c r="B258" s="81" t="s">
        <v>43</v>
      </c>
      <c r="C258" s="81" t="s">
        <v>403</v>
      </c>
      <c r="D258" s="81" t="s">
        <v>45</v>
      </c>
      <c r="E258" s="81" t="s">
        <v>2704</v>
      </c>
      <c r="F258" s="81" t="s">
        <v>2312</v>
      </c>
      <c r="G258" s="81" t="s">
        <v>2705</v>
      </c>
      <c r="H258" s="81" t="s">
        <v>2596</v>
      </c>
      <c r="I258" s="81" t="s">
        <v>5746</v>
      </c>
      <c r="J258" s="81" t="s">
        <v>2186</v>
      </c>
      <c r="K258" s="81" t="s">
        <v>5746</v>
      </c>
      <c r="L258" s="81" t="s">
        <v>2392</v>
      </c>
      <c r="M258" s="81" t="s">
        <v>5746</v>
      </c>
      <c r="N258" s="81" t="s">
        <v>2231</v>
      </c>
      <c r="O258" s="81" t="s">
        <v>2187</v>
      </c>
      <c r="P258" s="81" t="s">
        <v>2187</v>
      </c>
      <c r="Q258" s="81" t="s">
        <v>43</v>
      </c>
      <c r="R258" s="81" t="s">
        <v>122</v>
      </c>
      <c r="S258" s="81" t="s">
        <v>122</v>
      </c>
      <c r="T258" s="81" t="s">
        <v>48</v>
      </c>
      <c r="U258" s="81" t="s">
        <v>48</v>
      </c>
      <c r="V258" s="81" t="s">
        <v>49</v>
      </c>
      <c r="W258" s="81" t="s">
        <v>48</v>
      </c>
      <c r="X258" s="81" t="s">
        <v>48</v>
      </c>
      <c r="Y258" s="81" t="s">
        <v>48</v>
      </c>
    </row>
    <row r="259" spans="1:25" x14ac:dyDescent="0.3">
      <c r="A259" s="16">
        <v>7501075717020</v>
      </c>
      <c r="B259" s="81" t="s">
        <v>43</v>
      </c>
      <c r="C259" s="81" t="s">
        <v>404</v>
      </c>
      <c r="D259" s="81" t="s">
        <v>45</v>
      </c>
      <c r="E259" s="81" t="s">
        <v>2339</v>
      </c>
      <c r="F259" s="81" t="s">
        <v>2706</v>
      </c>
      <c r="G259" s="81" t="s">
        <v>4518</v>
      </c>
      <c r="H259" s="81" t="s">
        <v>2243</v>
      </c>
      <c r="I259" s="81" t="s">
        <v>5542</v>
      </c>
      <c r="J259" s="81" t="s">
        <v>2186</v>
      </c>
      <c r="K259" s="81" t="s">
        <v>5542</v>
      </c>
      <c r="L259" s="81" t="s">
        <v>2392</v>
      </c>
      <c r="M259" s="81" t="s">
        <v>5542</v>
      </c>
      <c r="N259" s="81" t="s">
        <v>2231</v>
      </c>
      <c r="O259" s="81" t="s">
        <v>2187</v>
      </c>
      <c r="P259" s="81" t="s">
        <v>2187</v>
      </c>
      <c r="Q259" s="81" t="s">
        <v>405</v>
      </c>
      <c r="R259" s="81" t="s">
        <v>46</v>
      </c>
      <c r="S259" s="81" t="s">
        <v>47</v>
      </c>
      <c r="T259" s="81" t="s">
        <v>48</v>
      </c>
      <c r="U259" s="81" t="s">
        <v>48</v>
      </c>
      <c r="V259" s="81" t="s">
        <v>48</v>
      </c>
      <c r="W259" s="81" t="s">
        <v>49</v>
      </c>
      <c r="X259" s="81" t="s">
        <v>48</v>
      </c>
      <c r="Y259" s="81" t="s">
        <v>48</v>
      </c>
    </row>
    <row r="260" spans="1:25" x14ac:dyDescent="0.3">
      <c r="A260" s="16">
        <v>897654</v>
      </c>
      <c r="B260" s="81" t="s">
        <v>43</v>
      </c>
      <c r="C260" s="81" t="s">
        <v>406</v>
      </c>
      <c r="D260" s="81" t="s">
        <v>45</v>
      </c>
      <c r="E260" s="81" t="s">
        <v>2227</v>
      </c>
      <c r="F260" s="81" t="s">
        <v>2227</v>
      </c>
      <c r="G260" s="81" t="s">
        <v>2708</v>
      </c>
      <c r="H260" s="81" t="s">
        <v>2709</v>
      </c>
      <c r="I260" s="81" t="s">
        <v>3185</v>
      </c>
      <c r="J260" s="81" t="s">
        <v>2186</v>
      </c>
      <c r="K260" s="81" t="s">
        <v>3185</v>
      </c>
      <c r="L260" s="81" t="s">
        <v>2392</v>
      </c>
      <c r="M260" s="81" t="s">
        <v>3185</v>
      </c>
      <c r="N260" s="81" t="s">
        <v>2231</v>
      </c>
      <c r="O260" s="81" t="s">
        <v>2187</v>
      </c>
      <c r="P260" s="81" t="s">
        <v>2187</v>
      </c>
      <c r="Q260" s="81" t="s">
        <v>43</v>
      </c>
      <c r="R260" s="81" t="s">
        <v>122</v>
      </c>
      <c r="S260" s="81" t="s">
        <v>123</v>
      </c>
      <c r="T260" s="81" t="s">
        <v>48</v>
      </c>
      <c r="U260" s="81" t="s">
        <v>48</v>
      </c>
      <c r="V260" s="81" t="s">
        <v>49</v>
      </c>
      <c r="W260" s="81" t="s">
        <v>48</v>
      </c>
      <c r="X260" s="81" t="s">
        <v>48</v>
      </c>
      <c r="Y260" s="81" t="s">
        <v>48</v>
      </c>
    </row>
    <row r="261" spans="1:25" x14ac:dyDescent="0.3">
      <c r="A261" s="16">
        <v>7506022326676</v>
      </c>
      <c r="B261" s="81" t="s">
        <v>43</v>
      </c>
      <c r="C261" s="81" t="s">
        <v>407</v>
      </c>
      <c r="D261" s="81" t="s">
        <v>45</v>
      </c>
      <c r="E261" s="81" t="s">
        <v>2312</v>
      </c>
      <c r="F261" s="81" t="s">
        <v>2419</v>
      </c>
      <c r="G261" s="81" t="s">
        <v>4563</v>
      </c>
      <c r="H261" s="81" t="s">
        <v>5747</v>
      </c>
      <c r="I261" s="81" t="s">
        <v>5748</v>
      </c>
      <c r="J261" s="81" t="s">
        <v>2186</v>
      </c>
      <c r="K261" s="81" t="s">
        <v>5748</v>
      </c>
      <c r="L261" s="81" t="s">
        <v>2392</v>
      </c>
      <c r="M261" s="81" t="s">
        <v>5748</v>
      </c>
      <c r="N261" s="81" t="s">
        <v>2231</v>
      </c>
      <c r="O261" s="81" t="s">
        <v>2187</v>
      </c>
      <c r="P261" s="81" t="s">
        <v>2187</v>
      </c>
      <c r="Q261" s="81" t="s">
        <v>43</v>
      </c>
      <c r="R261" s="81" t="s">
        <v>203</v>
      </c>
      <c r="S261" s="81" t="s">
        <v>203</v>
      </c>
      <c r="T261" s="81" t="s">
        <v>48</v>
      </c>
      <c r="U261" s="81" t="s">
        <v>48</v>
      </c>
      <c r="V261" s="81" t="s">
        <v>49</v>
      </c>
      <c r="W261" s="81" t="s">
        <v>48</v>
      </c>
      <c r="X261" s="81" t="s">
        <v>48</v>
      </c>
      <c r="Y261" s="81" t="s">
        <v>48</v>
      </c>
    </row>
    <row r="262" spans="1:25" x14ac:dyDescent="0.3">
      <c r="A262" s="16">
        <v>7501128110044</v>
      </c>
      <c r="B262" s="81" t="s">
        <v>43</v>
      </c>
      <c r="C262" s="81" t="s">
        <v>408</v>
      </c>
      <c r="D262" s="81" t="s">
        <v>45</v>
      </c>
      <c r="E262" s="81" t="s">
        <v>2363</v>
      </c>
      <c r="F262" s="81" t="s">
        <v>2364</v>
      </c>
      <c r="G262" s="81" t="s">
        <v>2714</v>
      </c>
      <c r="H262" s="81" t="s">
        <v>2713</v>
      </c>
      <c r="I262" s="81" t="s">
        <v>4564</v>
      </c>
      <c r="J262" s="81" t="s">
        <v>2186</v>
      </c>
      <c r="K262" s="81" t="s">
        <v>4565</v>
      </c>
      <c r="L262" s="81" t="s">
        <v>2392</v>
      </c>
      <c r="M262" s="81" t="s">
        <v>3551</v>
      </c>
      <c r="N262" s="81" t="s">
        <v>2231</v>
      </c>
      <c r="O262" s="81" t="s">
        <v>2187</v>
      </c>
      <c r="P262" s="81" t="s">
        <v>2187</v>
      </c>
      <c r="Q262" s="81" t="s">
        <v>43</v>
      </c>
      <c r="R262" s="81" t="s">
        <v>122</v>
      </c>
      <c r="S262" s="81" t="s">
        <v>122</v>
      </c>
      <c r="T262" s="81" t="s">
        <v>48</v>
      </c>
      <c r="U262" s="81" t="s">
        <v>48</v>
      </c>
      <c r="V262" s="81" t="s">
        <v>49</v>
      </c>
      <c r="W262" s="81" t="s">
        <v>48</v>
      </c>
      <c r="X262" s="81" t="s">
        <v>48</v>
      </c>
      <c r="Y262" s="81" t="s">
        <v>48</v>
      </c>
    </row>
    <row r="263" spans="1:25" x14ac:dyDescent="0.3">
      <c r="A263" s="16">
        <v>7501128110051</v>
      </c>
      <c r="B263" s="81" t="s">
        <v>43</v>
      </c>
      <c r="C263" s="81" t="s">
        <v>409</v>
      </c>
      <c r="D263" s="81" t="s">
        <v>45</v>
      </c>
      <c r="E263" s="81" t="s">
        <v>2645</v>
      </c>
      <c r="F263" s="81" t="s">
        <v>2195</v>
      </c>
      <c r="G263" s="81" t="s">
        <v>2714</v>
      </c>
      <c r="H263" s="81" t="s">
        <v>2715</v>
      </c>
      <c r="I263" s="81" t="s">
        <v>2716</v>
      </c>
      <c r="J263" s="81" t="s">
        <v>2186</v>
      </c>
      <c r="K263" s="81" t="s">
        <v>2717</v>
      </c>
      <c r="L263" s="81" t="s">
        <v>2392</v>
      </c>
      <c r="M263" s="81" t="s">
        <v>2718</v>
      </c>
      <c r="N263" s="81" t="s">
        <v>2231</v>
      </c>
      <c r="O263" s="81" t="s">
        <v>2187</v>
      </c>
      <c r="P263" s="81" t="s">
        <v>2187</v>
      </c>
      <c r="Q263" s="81" t="s">
        <v>43</v>
      </c>
      <c r="R263" s="81" t="s">
        <v>122</v>
      </c>
      <c r="S263" s="81" t="s">
        <v>123</v>
      </c>
      <c r="T263" s="81" t="s">
        <v>48</v>
      </c>
      <c r="U263" s="81" t="s">
        <v>48</v>
      </c>
      <c r="V263" s="81" t="s">
        <v>49</v>
      </c>
      <c r="W263" s="81" t="s">
        <v>48</v>
      </c>
      <c r="X263" s="81" t="s">
        <v>48</v>
      </c>
      <c r="Y263" s="81" t="s">
        <v>48</v>
      </c>
    </row>
    <row r="264" spans="1:25" x14ac:dyDescent="0.3">
      <c r="A264" s="16">
        <v>7502223112193</v>
      </c>
      <c r="B264" s="81" t="s">
        <v>43</v>
      </c>
      <c r="C264" s="81" t="s">
        <v>1905</v>
      </c>
      <c r="D264" s="81" t="s">
        <v>45</v>
      </c>
      <c r="E264" s="81" t="s">
        <v>2574</v>
      </c>
      <c r="F264" s="81" t="s">
        <v>2719</v>
      </c>
      <c r="G264" s="81" t="s">
        <v>7109</v>
      </c>
      <c r="H264" s="81" t="s">
        <v>2336</v>
      </c>
      <c r="I264" s="81" t="s">
        <v>5749</v>
      </c>
      <c r="J264" s="81" t="s">
        <v>2186</v>
      </c>
      <c r="K264" s="81" t="s">
        <v>5749</v>
      </c>
      <c r="L264" s="81" t="s">
        <v>2392</v>
      </c>
      <c r="M264" s="81" t="s">
        <v>5749</v>
      </c>
      <c r="N264" s="81" t="s">
        <v>2231</v>
      </c>
      <c r="O264" s="81" t="s">
        <v>2187</v>
      </c>
      <c r="P264" s="81" t="s">
        <v>2187</v>
      </c>
      <c r="Q264" s="81" t="s">
        <v>410</v>
      </c>
      <c r="R264" s="81" t="s">
        <v>46</v>
      </c>
      <c r="S264" s="81" t="s">
        <v>164</v>
      </c>
      <c r="T264" s="81" t="s">
        <v>48</v>
      </c>
      <c r="U264" s="81" t="s">
        <v>48</v>
      </c>
      <c r="V264" s="81" t="s">
        <v>48</v>
      </c>
      <c r="W264" s="81" t="s">
        <v>49</v>
      </c>
      <c r="X264" s="81" t="s">
        <v>48</v>
      </c>
      <c r="Y264" s="81" t="s">
        <v>48</v>
      </c>
    </row>
    <row r="265" spans="1:25" x14ac:dyDescent="0.3">
      <c r="A265" s="16">
        <v>7501349024045</v>
      </c>
      <c r="B265" s="81" t="s">
        <v>43</v>
      </c>
      <c r="C265" s="81" t="s">
        <v>411</v>
      </c>
      <c r="D265" s="81" t="s">
        <v>45</v>
      </c>
      <c r="E265" s="81" t="s">
        <v>2435</v>
      </c>
      <c r="F265" s="81" t="s">
        <v>2204</v>
      </c>
      <c r="G265" s="81" t="s">
        <v>4745</v>
      </c>
      <c r="H265" s="81" t="s">
        <v>2259</v>
      </c>
      <c r="I265" s="81" t="s">
        <v>5580</v>
      </c>
      <c r="J265" s="81" t="s">
        <v>2186</v>
      </c>
      <c r="K265" s="81" t="s">
        <v>5580</v>
      </c>
      <c r="L265" s="81" t="s">
        <v>2392</v>
      </c>
      <c r="M265" s="81" t="s">
        <v>5580</v>
      </c>
      <c r="N265" s="81" t="s">
        <v>2231</v>
      </c>
      <c r="O265" s="81" t="s">
        <v>2187</v>
      </c>
      <c r="P265" s="81" t="s">
        <v>2187</v>
      </c>
      <c r="Q265" s="81" t="s">
        <v>43</v>
      </c>
      <c r="R265" s="81" t="s">
        <v>46</v>
      </c>
      <c r="S265" s="81" t="s">
        <v>73</v>
      </c>
      <c r="T265" s="81" t="s">
        <v>48</v>
      </c>
      <c r="U265" s="81" t="s">
        <v>48</v>
      </c>
      <c r="V265" s="81" t="s">
        <v>48</v>
      </c>
      <c r="W265" s="81" t="s">
        <v>49</v>
      </c>
      <c r="X265" s="81" t="s">
        <v>48</v>
      </c>
      <c r="Y265" s="81" t="s">
        <v>48</v>
      </c>
    </row>
    <row r="266" spans="1:25" x14ac:dyDescent="0.3">
      <c r="A266" s="16">
        <v>7501349028654</v>
      </c>
      <c r="B266" s="81" t="s">
        <v>43</v>
      </c>
      <c r="C266" s="81" t="s">
        <v>412</v>
      </c>
      <c r="D266" s="81" t="s">
        <v>45</v>
      </c>
      <c r="E266" s="81" t="s">
        <v>2295</v>
      </c>
      <c r="F266" s="81" t="s">
        <v>2720</v>
      </c>
      <c r="G266" s="81" t="s">
        <v>5750</v>
      </c>
      <c r="H266" s="81" t="s">
        <v>2343</v>
      </c>
      <c r="I266" s="81" t="s">
        <v>5751</v>
      </c>
      <c r="J266" s="81" t="s">
        <v>2186</v>
      </c>
      <c r="K266" s="81" t="s">
        <v>5751</v>
      </c>
      <c r="L266" s="81" t="s">
        <v>2392</v>
      </c>
      <c r="M266" s="81" t="s">
        <v>5751</v>
      </c>
      <c r="N266" s="81" t="s">
        <v>2231</v>
      </c>
      <c r="O266" s="81" t="s">
        <v>2187</v>
      </c>
      <c r="P266" s="81" t="s">
        <v>2187</v>
      </c>
      <c r="Q266" s="81" t="s">
        <v>43</v>
      </c>
      <c r="R266" s="81" t="s">
        <v>112</v>
      </c>
      <c r="S266" s="81" t="s">
        <v>112</v>
      </c>
      <c r="T266" s="81" t="s">
        <v>48</v>
      </c>
      <c r="U266" s="81" t="s">
        <v>48</v>
      </c>
      <c r="V266" s="81" t="s">
        <v>48</v>
      </c>
      <c r="W266" s="81" t="s">
        <v>49</v>
      </c>
      <c r="X266" s="81" t="s">
        <v>48</v>
      </c>
      <c r="Y266" s="81" t="s">
        <v>48</v>
      </c>
    </row>
    <row r="267" spans="1:25" x14ac:dyDescent="0.3">
      <c r="A267" s="16">
        <v>7501328979502</v>
      </c>
      <c r="B267" s="81" t="s">
        <v>43</v>
      </c>
      <c r="C267" s="81" t="s">
        <v>2721</v>
      </c>
      <c r="D267" s="81" t="s">
        <v>45</v>
      </c>
      <c r="E267" s="81" t="s">
        <v>2420</v>
      </c>
      <c r="F267" s="81" t="s">
        <v>2722</v>
      </c>
      <c r="G267" s="81" t="s">
        <v>4485</v>
      </c>
      <c r="H267" s="81" t="s">
        <v>2609</v>
      </c>
      <c r="I267" s="81" t="s">
        <v>2901</v>
      </c>
      <c r="J267" s="81" t="s">
        <v>2186</v>
      </c>
      <c r="K267" s="81" t="s">
        <v>2901</v>
      </c>
      <c r="L267" s="81" t="s">
        <v>2392</v>
      </c>
      <c r="M267" s="81" t="s">
        <v>2901</v>
      </c>
      <c r="N267" s="81" t="s">
        <v>2231</v>
      </c>
      <c r="O267" s="81" t="s">
        <v>2187</v>
      </c>
      <c r="P267" s="81" t="s">
        <v>2187</v>
      </c>
      <c r="Q267" s="81" t="s">
        <v>43</v>
      </c>
      <c r="R267" s="81" t="s">
        <v>203</v>
      </c>
      <c r="S267" s="81" t="s">
        <v>164</v>
      </c>
      <c r="T267" s="81" t="s">
        <v>48</v>
      </c>
      <c r="U267" s="81" t="s">
        <v>48</v>
      </c>
      <c r="V267" s="81" t="s">
        <v>48</v>
      </c>
      <c r="W267" s="81" t="s">
        <v>49</v>
      </c>
      <c r="X267" s="81" t="s">
        <v>48</v>
      </c>
      <c r="Y267" s="81" t="s">
        <v>48</v>
      </c>
    </row>
    <row r="268" spans="1:25" x14ac:dyDescent="0.3">
      <c r="A268" s="16">
        <v>7501293201936</v>
      </c>
      <c r="B268" s="81" t="s">
        <v>43</v>
      </c>
      <c r="C268" s="81" t="s">
        <v>413</v>
      </c>
      <c r="D268" s="81" t="s">
        <v>45</v>
      </c>
      <c r="E268" s="81" t="s">
        <v>2298</v>
      </c>
      <c r="F268" s="81" t="s">
        <v>2545</v>
      </c>
      <c r="G268" s="81" t="s">
        <v>2725</v>
      </c>
      <c r="H268" s="81" t="s">
        <v>2666</v>
      </c>
      <c r="I268" s="81" t="s">
        <v>5752</v>
      </c>
      <c r="J268" s="81" t="s">
        <v>2186</v>
      </c>
      <c r="K268" s="81" t="s">
        <v>5752</v>
      </c>
      <c r="L268" s="81" t="s">
        <v>2392</v>
      </c>
      <c r="M268" s="81" t="s">
        <v>5752</v>
      </c>
      <c r="N268" s="81" t="s">
        <v>2231</v>
      </c>
      <c r="O268" s="81" t="s">
        <v>2187</v>
      </c>
      <c r="P268" s="81" t="s">
        <v>2187</v>
      </c>
      <c r="Q268" s="81" t="s">
        <v>43</v>
      </c>
      <c r="R268" s="81" t="s">
        <v>374</v>
      </c>
      <c r="S268" s="81" t="s">
        <v>47</v>
      </c>
      <c r="T268" s="81" t="s">
        <v>48</v>
      </c>
      <c r="U268" s="81" t="s">
        <v>48</v>
      </c>
      <c r="V268" s="81" t="s">
        <v>48</v>
      </c>
      <c r="W268" s="81" t="s">
        <v>49</v>
      </c>
      <c r="X268" s="81" t="s">
        <v>48</v>
      </c>
      <c r="Y268" s="81" t="s">
        <v>48</v>
      </c>
    </row>
    <row r="269" spans="1:25" x14ac:dyDescent="0.3">
      <c r="A269" s="16">
        <v>7501075712223</v>
      </c>
      <c r="B269" s="81" t="s">
        <v>43</v>
      </c>
      <c r="C269" s="81" t="s">
        <v>414</v>
      </c>
      <c r="D269" s="81" t="s">
        <v>45</v>
      </c>
      <c r="E269" s="81" t="s">
        <v>2727</v>
      </c>
      <c r="F269" s="81" t="s">
        <v>2728</v>
      </c>
      <c r="G269" s="81" t="s">
        <v>2729</v>
      </c>
      <c r="H269" s="81" t="s">
        <v>2383</v>
      </c>
      <c r="I269" s="81" t="s">
        <v>5753</v>
      </c>
      <c r="J269" s="81" t="s">
        <v>2186</v>
      </c>
      <c r="K269" s="81" t="s">
        <v>5753</v>
      </c>
      <c r="L269" s="81" t="s">
        <v>2392</v>
      </c>
      <c r="M269" s="81" t="s">
        <v>5753</v>
      </c>
      <c r="N269" s="81" t="s">
        <v>2231</v>
      </c>
      <c r="O269" s="81" t="s">
        <v>2187</v>
      </c>
      <c r="P269" s="81" t="s">
        <v>2187</v>
      </c>
      <c r="Q269" s="81" t="s">
        <v>43</v>
      </c>
      <c r="R269" s="81" t="s">
        <v>46</v>
      </c>
      <c r="S269" s="81" t="s">
        <v>46</v>
      </c>
      <c r="T269" s="81" t="s">
        <v>48</v>
      </c>
      <c r="U269" s="81" t="s">
        <v>48</v>
      </c>
      <c r="V269" s="81" t="s">
        <v>48</v>
      </c>
      <c r="W269" s="81" t="s">
        <v>49</v>
      </c>
      <c r="X269" s="81" t="s">
        <v>48</v>
      </c>
      <c r="Y269" s="81" t="s">
        <v>48</v>
      </c>
    </row>
    <row r="270" spans="1:25" x14ac:dyDescent="0.3">
      <c r="A270" s="16">
        <v>7502009740558</v>
      </c>
      <c r="B270" s="81" t="s">
        <v>43</v>
      </c>
      <c r="C270" s="81" t="s">
        <v>1664</v>
      </c>
      <c r="D270" s="81" t="s">
        <v>45</v>
      </c>
      <c r="E270" s="81" t="s">
        <v>2678</v>
      </c>
      <c r="F270" s="81" t="s">
        <v>2731</v>
      </c>
      <c r="G270" s="81" t="s">
        <v>2732</v>
      </c>
      <c r="H270" s="81" t="s">
        <v>2535</v>
      </c>
      <c r="I270" s="81" t="s">
        <v>2193</v>
      </c>
      <c r="J270" s="81" t="s">
        <v>2186</v>
      </c>
      <c r="K270" s="81" t="s">
        <v>2232</v>
      </c>
      <c r="L270" s="81" t="s">
        <v>2392</v>
      </c>
      <c r="M270" s="81" t="s">
        <v>2733</v>
      </c>
      <c r="N270" s="81" t="s">
        <v>2231</v>
      </c>
      <c r="O270" s="81" t="s">
        <v>2187</v>
      </c>
      <c r="P270" s="81" t="s">
        <v>2187</v>
      </c>
      <c r="Q270" s="81" t="s">
        <v>43</v>
      </c>
      <c r="R270" s="81" t="s">
        <v>51</v>
      </c>
      <c r="S270" s="81" t="s">
        <v>81</v>
      </c>
      <c r="T270" s="81" t="s">
        <v>49</v>
      </c>
      <c r="U270" s="81" t="s">
        <v>48</v>
      </c>
      <c r="V270" s="81" t="s">
        <v>48</v>
      </c>
      <c r="W270" s="81" t="s">
        <v>49</v>
      </c>
      <c r="X270" s="81" t="s">
        <v>48</v>
      </c>
      <c r="Y270" s="81" t="s">
        <v>48</v>
      </c>
    </row>
    <row r="271" spans="1:25" x14ac:dyDescent="0.3">
      <c r="A271" s="16">
        <v>7501537194130</v>
      </c>
      <c r="B271" s="81" t="s">
        <v>43</v>
      </c>
      <c r="C271" s="81" t="s">
        <v>415</v>
      </c>
      <c r="D271" s="81" t="s">
        <v>45</v>
      </c>
      <c r="E271" s="81" t="s">
        <v>2431</v>
      </c>
      <c r="F271" s="81" t="s">
        <v>2432</v>
      </c>
      <c r="G271" s="81" t="s">
        <v>5387</v>
      </c>
      <c r="H271" s="81" t="s">
        <v>2251</v>
      </c>
      <c r="I271" s="81" t="s">
        <v>5754</v>
      </c>
      <c r="J271" s="81" t="s">
        <v>2186</v>
      </c>
      <c r="K271" s="81" t="s">
        <v>5754</v>
      </c>
      <c r="L271" s="81" t="s">
        <v>2392</v>
      </c>
      <c r="M271" s="81" t="s">
        <v>5754</v>
      </c>
      <c r="N271" s="81" t="s">
        <v>2231</v>
      </c>
      <c r="O271" s="81" t="s">
        <v>2187</v>
      </c>
      <c r="P271" s="81" t="s">
        <v>2187</v>
      </c>
      <c r="Q271" s="81" t="s">
        <v>43</v>
      </c>
      <c r="R271" s="81" t="s">
        <v>46</v>
      </c>
      <c r="S271" s="81" t="s">
        <v>46</v>
      </c>
      <c r="T271" s="81" t="s">
        <v>48</v>
      </c>
      <c r="U271" s="81" t="s">
        <v>48</v>
      </c>
      <c r="V271" s="81" t="s">
        <v>48</v>
      </c>
      <c r="W271" s="81" t="s">
        <v>49</v>
      </c>
      <c r="X271" s="81" t="s">
        <v>48</v>
      </c>
      <c r="Y271" s="81" t="s">
        <v>48</v>
      </c>
    </row>
    <row r="272" spans="1:25" x14ac:dyDescent="0.3">
      <c r="A272" s="16">
        <v>7501326004947</v>
      </c>
      <c r="B272" s="81" t="s">
        <v>43</v>
      </c>
      <c r="C272" s="81" t="s">
        <v>416</v>
      </c>
      <c r="D272" s="81" t="s">
        <v>45</v>
      </c>
      <c r="E272" s="81" t="s">
        <v>2227</v>
      </c>
      <c r="F272" s="81" t="s">
        <v>2227</v>
      </c>
      <c r="G272" s="81" t="s">
        <v>2734</v>
      </c>
      <c r="H272" s="81" t="s">
        <v>2735</v>
      </c>
      <c r="I272" s="81" t="s">
        <v>5755</v>
      </c>
      <c r="J272" s="81" t="s">
        <v>2186</v>
      </c>
      <c r="K272" s="81" t="s">
        <v>5755</v>
      </c>
      <c r="L272" s="81" t="s">
        <v>2392</v>
      </c>
      <c r="M272" s="81" t="s">
        <v>5755</v>
      </c>
      <c r="N272" s="81" t="s">
        <v>2231</v>
      </c>
      <c r="O272" s="81" t="s">
        <v>2187</v>
      </c>
      <c r="P272" s="81" t="s">
        <v>2187</v>
      </c>
      <c r="Q272" s="81" t="s">
        <v>43</v>
      </c>
      <c r="R272" s="81" t="s">
        <v>374</v>
      </c>
      <c r="S272" s="81" t="s">
        <v>374</v>
      </c>
      <c r="T272" s="81" t="s">
        <v>48</v>
      </c>
      <c r="U272" s="81" t="s">
        <v>48</v>
      </c>
      <c r="V272" s="81" t="s">
        <v>48</v>
      </c>
      <c r="W272" s="81" t="s">
        <v>49</v>
      </c>
      <c r="X272" s="81" t="s">
        <v>48</v>
      </c>
      <c r="Y272" s="81" t="s">
        <v>48</v>
      </c>
    </row>
    <row r="273" spans="1:25" x14ac:dyDescent="0.3">
      <c r="A273" s="16">
        <v>7501349024267</v>
      </c>
      <c r="B273" s="81" t="s">
        <v>43</v>
      </c>
      <c r="C273" s="81" t="s">
        <v>417</v>
      </c>
      <c r="D273" s="81" t="s">
        <v>45</v>
      </c>
      <c r="E273" s="81" t="s">
        <v>2281</v>
      </c>
      <c r="F273" s="81" t="s">
        <v>2570</v>
      </c>
      <c r="G273" s="81" t="s">
        <v>5050</v>
      </c>
      <c r="H273" s="81" t="s">
        <v>2269</v>
      </c>
      <c r="I273" s="81" t="s">
        <v>5756</v>
      </c>
      <c r="J273" s="81" t="s">
        <v>2186</v>
      </c>
      <c r="K273" s="81" t="s">
        <v>5756</v>
      </c>
      <c r="L273" s="81" t="s">
        <v>2392</v>
      </c>
      <c r="M273" s="81" t="s">
        <v>5756</v>
      </c>
      <c r="N273" s="81" t="s">
        <v>2231</v>
      </c>
      <c r="O273" s="81" t="s">
        <v>2187</v>
      </c>
      <c r="P273" s="81" t="s">
        <v>2187</v>
      </c>
      <c r="Q273" s="81" t="s">
        <v>43</v>
      </c>
      <c r="R273" s="81" t="s">
        <v>46</v>
      </c>
      <c r="S273" s="81" t="s">
        <v>73</v>
      </c>
      <c r="T273" s="81" t="s">
        <v>48</v>
      </c>
      <c r="U273" s="81" t="s">
        <v>48</v>
      </c>
      <c r="V273" s="81" t="s">
        <v>48</v>
      </c>
      <c r="W273" s="81" t="s">
        <v>49</v>
      </c>
      <c r="X273" s="81" t="s">
        <v>48</v>
      </c>
      <c r="Y273" s="81" t="s">
        <v>48</v>
      </c>
    </row>
    <row r="274" spans="1:25" x14ac:dyDescent="0.3">
      <c r="A274" s="16">
        <v>7501349023369</v>
      </c>
      <c r="B274" s="81" t="s">
        <v>43</v>
      </c>
      <c r="C274" s="81" t="s">
        <v>418</v>
      </c>
      <c r="D274" s="81" t="s">
        <v>45</v>
      </c>
      <c r="E274" s="81" t="s">
        <v>2738</v>
      </c>
      <c r="F274" s="81" t="s">
        <v>2739</v>
      </c>
      <c r="G274" s="81" t="s">
        <v>3648</v>
      </c>
      <c r="H274" s="81" t="s">
        <v>2269</v>
      </c>
      <c r="I274" s="81" t="s">
        <v>5592</v>
      </c>
      <c r="J274" s="81" t="s">
        <v>2186</v>
      </c>
      <c r="K274" s="81" t="s">
        <v>5592</v>
      </c>
      <c r="L274" s="81" t="s">
        <v>2392</v>
      </c>
      <c r="M274" s="81" t="s">
        <v>5592</v>
      </c>
      <c r="N274" s="81" t="s">
        <v>2231</v>
      </c>
      <c r="O274" s="81" t="s">
        <v>2187</v>
      </c>
      <c r="P274" s="81" t="s">
        <v>2187</v>
      </c>
      <c r="Q274" s="81" t="s">
        <v>43</v>
      </c>
      <c r="R274" s="81" t="s">
        <v>46</v>
      </c>
      <c r="S274" s="81" t="s">
        <v>47</v>
      </c>
      <c r="T274" s="81" t="s">
        <v>48</v>
      </c>
      <c r="U274" s="81" t="s">
        <v>48</v>
      </c>
      <c r="V274" s="81" t="s">
        <v>48</v>
      </c>
      <c r="W274" s="81" t="s">
        <v>49</v>
      </c>
      <c r="X274" s="81" t="s">
        <v>48</v>
      </c>
      <c r="Y274" s="81" t="s">
        <v>48</v>
      </c>
    </row>
    <row r="275" spans="1:25" x14ac:dyDescent="0.3">
      <c r="A275" s="16">
        <v>7502009740510</v>
      </c>
      <c r="B275" s="81" t="s">
        <v>43</v>
      </c>
      <c r="C275" s="81" t="s">
        <v>419</v>
      </c>
      <c r="D275" s="81" t="s">
        <v>45</v>
      </c>
      <c r="E275" s="81" t="s">
        <v>2741</v>
      </c>
      <c r="F275" s="81" t="s">
        <v>2742</v>
      </c>
      <c r="G275" s="81" t="s">
        <v>4830</v>
      </c>
      <c r="H275" s="81" t="s">
        <v>2365</v>
      </c>
      <c r="I275" s="81" t="s">
        <v>5757</v>
      </c>
      <c r="J275" s="81" t="s">
        <v>2186</v>
      </c>
      <c r="K275" s="81" t="s">
        <v>5757</v>
      </c>
      <c r="L275" s="81" t="s">
        <v>2392</v>
      </c>
      <c r="M275" s="81" t="s">
        <v>5757</v>
      </c>
      <c r="N275" s="81" t="s">
        <v>2231</v>
      </c>
      <c r="O275" s="81" t="s">
        <v>2187</v>
      </c>
      <c r="P275" s="81" t="s">
        <v>2187</v>
      </c>
      <c r="Q275" s="81" t="s">
        <v>43</v>
      </c>
      <c r="R275" s="81" t="s">
        <v>51</v>
      </c>
      <c r="S275" s="81" t="s">
        <v>47</v>
      </c>
      <c r="T275" s="81" t="s">
        <v>49</v>
      </c>
      <c r="U275" s="81" t="s">
        <v>48</v>
      </c>
      <c r="V275" s="81" t="s">
        <v>48</v>
      </c>
      <c r="W275" s="81" t="s">
        <v>49</v>
      </c>
      <c r="X275" s="81" t="s">
        <v>48</v>
      </c>
      <c r="Y275" s="81" t="s">
        <v>48</v>
      </c>
    </row>
    <row r="276" spans="1:25" x14ac:dyDescent="0.3">
      <c r="A276" s="16">
        <v>7502223111202</v>
      </c>
      <c r="B276" s="81" t="s">
        <v>43</v>
      </c>
      <c r="C276" s="81" t="s">
        <v>420</v>
      </c>
      <c r="D276" s="81" t="s">
        <v>45</v>
      </c>
      <c r="E276" s="81" t="s">
        <v>2465</v>
      </c>
      <c r="F276" s="81" t="s">
        <v>2210</v>
      </c>
      <c r="G276" s="81" t="s">
        <v>4920</v>
      </c>
      <c r="H276" s="81" t="s">
        <v>2743</v>
      </c>
      <c r="I276" s="81" t="s">
        <v>5758</v>
      </c>
      <c r="J276" s="81" t="s">
        <v>2186</v>
      </c>
      <c r="K276" s="81" t="s">
        <v>5758</v>
      </c>
      <c r="L276" s="81" t="s">
        <v>2392</v>
      </c>
      <c r="M276" s="81" t="s">
        <v>5758</v>
      </c>
      <c r="N276" s="81" t="s">
        <v>2231</v>
      </c>
      <c r="O276" s="81" t="s">
        <v>2187</v>
      </c>
      <c r="P276" s="81" t="s">
        <v>2187</v>
      </c>
      <c r="Q276" s="81" t="s">
        <v>43</v>
      </c>
      <c r="R276" s="81" t="s">
        <v>46</v>
      </c>
      <c r="S276" s="81" t="s">
        <v>46</v>
      </c>
      <c r="T276" s="81" t="s">
        <v>48</v>
      </c>
      <c r="U276" s="81" t="s">
        <v>48</v>
      </c>
      <c r="V276" s="81" t="s">
        <v>48</v>
      </c>
      <c r="W276" s="81" t="s">
        <v>49</v>
      </c>
      <c r="X276" s="81" t="s">
        <v>48</v>
      </c>
      <c r="Y276" s="81" t="s">
        <v>48</v>
      </c>
    </row>
    <row r="277" spans="1:25" x14ac:dyDescent="0.3">
      <c r="A277" s="16">
        <v>7501537102999</v>
      </c>
      <c r="B277" s="81" t="s">
        <v>43</v>
      </c>
      <c r="C277" s="81" t="s">
        <v>4959</v>
      </c>
      <c r="D277" s="81" t="s">
        <v>45</v>
      </c>
      <c r="E277" s="81" t="s">
        <v>2746</v>
      </c>
      <c r="F277" s="81" t="s">
        <v>2747</v>
      </c>
      <c r="G277" s="81" t="s">
        <v>2748</v>
      </c>
      <c r="H277" s="81" t="s">
        <v>2237</v>
      </c>
      <c r="I277" s="81" t="s">
        <v>2633</v>
      </c>
      <c r="J277" s="81" t="s">
        <v>2186</v>
      </c>
      <c r="K277" s="81" t="s">
        <v>2633</v>
      </c>
      <c r="L277" s="81" t="s">
        <v>2392</v>
      </c>
      <c r="M277" s="81" t="s">
        <v>2633</v>
      </c>
      <c r="N277" s="81" t="s">
        <v>2231</v>
      </c>
      <c r="O277" s="81" t="s">
        <v>2187</v>
      </c>
      <c r="P277" s="81" t="s">
        <v>2187</v>
      </c>
      <c r="Q277" s="81" t="s">
        <v>43</v>
      </c>
      <c r="R277" s="81" t="s">
        <v>46</v>
      </c>
      <c r="S277" s="81" t="s">
        <v>47</v>
      </c>
      <c r="T277" s="81" t="s">
        <v>48</v>
      </c>
      <c r="U277" s="81" t="s">
        <v>48</v>
      </c>
      <c r="V277" s="81" t="s">
        <v>48</v>
      </c>
      <c r="W277" s="81" t="s">
        <v>49</v>
      </c>
      <c r="X277" s="81" t="s">
        <v>48</v>
      </c>
      <c r="Y277" s="81" t="s">
        <v>48</v>
      </c>
    </row>
    <row r="278" spans="1:25" x14ac:dyDescent="0.3">
      <c r="A278" s="16">
        <v>7502240450049</v>
      </c>
      <c r="B278" s="81" t="s">
        <v>43</v>
      </c>
      <c r="C278" s="81" t="s">
        <v>2749</v>
      </c>
      <c r="D278" s="81" t="s">
        <v>45</v>
      </c>
      <c r="E278" s="81" t="s">
        <v>2227</v>
      </c>
      <c r="F278" s="81" t="s">
        <v>2227</v>
      </c>
      <c r="G278" s="81" t="s">
        <v>5013</v>
      </c>
      <c r="H278" s="81" t="s">
        <v>2381</v>
      </c>
      <c r="I278" s="81" t="s">
        <v>4640</v>
      </c>
      <c r="J278" s="81" t="s">
        <v>2186</v>
      </c>
      <c r="K278" s="81" t="s">
        <v>4641</v>
      </c>
      <c r="L278" s="81" t="s">
        <v>2392</v>
      </c>
      <c r="M278" s="81" t="s">
        <v>4642</v>
      </c>
      <c r="N278" s="81" t="s">
        <v>2231</v>
      </c>
      <c r="O278" s="81" t="s">
        <v>2187</v>
      </c>
      <c r="P278" s="81" t="s">
        <v>2187</v>
      </c>
      <c r="Q278" s="81" t="s">
        <v>43</v>
      </c>
      <c r="R278" s="81" t="s">
        <v>46</v>
      </c>
      <c r="S278" s="81" t="s">
        <v>47</v>
      </c>
      <c r="T278" s="81" t="s">
        <v>48</v>
      </c>
      <c r="U278" s="81" t="s">
        <v>48</v>
      </c>
      <c r="V278" s="81" t="s">
        <v>48</v>
      </c>
      <c r="W278" s="81" t="s">
        <v>49</v>
      </c>
      <c r="X278" s="81" t="s">
        <v>48</v>
      </c>
      <c r="Y278" s="81" t="s">
        <v>48</v>
      </c>
    </row>
    <row r="279" spans="1:25" x14ac:dyDescent="0.3">
      <c r="A279" s="16">
        <v>7503008344303</v>
      </c>
      <c r="B279" s="81" t="s">
        <v>43</v>
      </c>
      <c r="C279" s="81" t="s">
        <v>1906</v>
      </c>
      <c r="D279" s="81" t="s">
        <v>45</v>
      </c>
      <c r="E279" s="81" t="s">
        <v>2750</v>
      </c>
      <c r="F279" s="81" t="s">
        <v>2751</v>
      </c>
      <c r="G279" s="81" t="s">
        <v>2752</v>
      </c>
      <c r="H279" s="81" t="s">
        <v>2264</v>
      </c>
      <c r="I279" s="81" t="s">
        <v>5691</v>
      </c>
      <c r="J279" s="81" t="s">
        <v>2186</v>
      </c>
      <c r="K279" s="81" t="s">
        <v>5691</v>
      </c>
      <c r="L279" s="81" t="s">
        <v>2392</v>
      </c>
      <c r="M279" s="81" t="s">
        <v>5691</v>
      </c>
      <c r="N279" s="81" t="s">
        <v>2231</v>
      </c>
      <c r="O279" s="81" t="s">
        <v>2187</v>
      </c>
      <c r="P279" s="81" t="s">
        <v>2187</v>
      </c>
      <c r="Q279" s="81" t="s">
        <v>43</v>
      </c>
      <c r="R279" s="81" t="s">
        <v>46</v>
      </c>
      <c r="S279" s="81" t="s">
        <v>46</v>
      </c>
      <c r="T279" s="81" t="s">
        <v>48</v>
      </c>
      <c r="U279" s="81" t="s">
        <v>48</v>
      </c>
      <c r="V279" s="81" t="s">
        <v>48</v>
      </c>
      <c r="W279" s="81" t="s">
        <v>49</v>
      </c>
      <c r="X279" s="81" t="s">
        <v>48</v>
      </c>
      <c r="Y279" s="81" t="s">
        <v>48</v>
      </c>
    </row>
    <row r="280" spans="1:25" x14ac:dyDescent="0.3">
      <c r="A280" s="16">
        <v>4015630018277</v>
      </c>
      <c r="B280" s="81" t="s">
        <v>43</v>
      </c>
      <c r="C280" s="81" t="s">
        <v>2753</v>
      </c>
      <c r="D280" s="81" t="s">
        <v>45</v>
      </c>
      <c r="E280" s="81" t="s">
        <v>2442</v>
      </c>
      <c r="F280" s="81" t="s">
        <v>2443</v>
      </c>
      <c r="G280" s="81" t="s">
        <v>2754</v>
      </c>
      <c r="H280" s="81" t="s">
        <v>2755</v>
      </c>
      <c r="I280" s="81" t="s">
        <v>5759</v>
      </c>
      <c r="J280" s="81" t="s">
        <v>2186</v>
      </c>
      <c r="K280" s="81" t="s">
        <v>5759</v>
      </c>
      <c r="L280" s="81" t="s">
        <v>2392</v>
      </c>
      <c r="M280" s="81" t="s">
        <v>5759</v>
      </c>
      <c r="N280" s="81" t="s">
        <v>2231</v>
      </c>
      <c r="O280" s="81" t="s">
        <v>2187</v>
      </c>
      <c r="P280" s="81" t="s">
        <v>2187</v>
      </c>
      <c r="Q280" s="81" t="s">
        <v>43</v>
      </c>
      <c r="R280" s="81" t="s">
        <v>122</v>
      </c>
      <c r="S280" s="81" t="s">
        <v>123</v>
      </c>
      <c r="T280" s="81" t="s">
        <v>48</v>
      </c>
      <c r="U280" s="81" t="s">
        <v>48</v>
      </c>
      <c r="V280" s="81" t="s">
        <v>49</v>
      </c>
      <c r="W280" s="81" t="s">
        <v>48</v>
      </c>
      <c r="X280" s="81" t="s">
        <v>48</v>
      </c>
      <c r="Y280" s="81" t="s">
        <v>48</v>
      </c>
    </row>
    <row r="281" spans="1:25" x14ac:dyDescent="0.3">
      <c r="A281" s="16">
        <v>7502009740435</v>
      </c>
      <c r="B281" s="81" t="s">
        <v>43</v>
      </c>
      <c r="C281" s="81" t="s">
        <v>2758</v>
      </c>
      <c r="D281" s="81" t="s">
        <v>45</v>
      </c>
      <c r="E281" s="81" t="s">
        <v>2453</v>
      </c>
      <c r="F281" s="81" t="s">
        <v>2454</v>
      </c>
      <c r="G281" s="81" t="s">
        <v>5475</v>
      </c>
      <c r="H281" s="81" t="s">
        <v>2183</v>
      </c>
      <c r="I281" s="81" t="s">
        <v>5760</v>
      </c>
      <c r="J281" s="81" t="s">
        <v>2186</v>
      </c>
      <c r="K281" s="81" t="s">
        <v>5760</v>
      </c>
      <c r="L281" s="81" t="s">
        <v>2392</v>
      </c>
      <c r="M281" s="81" t="s">
        <v>5760</v>
      </c>
      <c r="N281" s="81" t="s">
        <v>2231</v>
      </c>
      <c r="O281" s="81" t="s">
        <v>2187</v>
      </c>
      <c r="P281" s="81" t="s">
        <v>2187</v>
      </c>
      <c r="Q281" s="81" t="s">
        <v>43</v>
      </c>
      <c r="R281" s="81" t="s">
        <v>46</v>
      </c>
      <c r="S281" s="81" t="s">
        <v>47</v>
      </c>
      <c r="T281" s="81" t="s">
        <v>48</v>
      </c>
      <c r="U281" s="81" t="s">
        <v>48</v>
      </c>
      <c r="V281" s="81" t="s">
        <v>48</v>
      </c>
      <c r="W281" s="81" t="s">
        <v>49</v>
      </c>
      <c r="X281" s="81" t="s">
        <v>48</v>
      </c>
      <c r="Y281" s="81" t="s">
        <v>48</v>
      </c>
    </row>
    <row r="282" spans="1:25" x14ac:dyDescent="0.3">
      <c r="A282" s="16">
        <v>7502009743856</v>
      </c>
      <c r="B282" s="81" t="s">
        <v>43</v>
      </c>
      <c r="C282" s="81" t="s">
        <v>2761</v>
      </c>
      <c r="D282" s="81" t="s">
        <v>45</v>
      </c>
      <c r="E282" s="81" t="s">
        <v>2762</v>
      </c>
      <c r="F282" s="81" t="s">
        <v>2763</v>
      </c>
      <c r="G282" s="81" t="s">
        <v>5014</v>
      </c>
      <c r="H282" s="81" t="s">
        <v>2337</v>
      </c>
      <c r="I282" s="81" t="s">
        <v>5568</v>
      </c>
      <c r="J282" s="81" t="s">
        <v>2186</v>
      </c>
      <c r="K282" s="81" t="s">
        <v>5568</v>
      </c>
      <c r="L282" s="81" t="s">
        <v>2392</v>
      </c>
      <c r="M282" s="81" t="s">
        <v>5568</v>
      </c>
      <c r="N282" s="81" t="s">
        <v>2231</v>
      </c>
      <c r="O282" s="81" t="s">
        <v>2187</v>
      </c>
      <c r="P282" s="81" t="s">
        <v>2187</v>
      </c>
      <c r="Q282" s="81" t="s">
        <v>43</v>
      </c>
      <c r="R282" s="81" t="s">
        <v>46</v>
      </c>
      <c r="S282" s="81" t="s">
        <v>47</v>
      </c>
      <c r="T282" s="81" t="s">
        <v>48</v>
      </c>
      <c r="U282" s="81" t="s">
        <v>48</v>
      </c>
      <c r="V282" s="81" t="s">
        <v>48</v>
      </c>
      <c r="W282" s="81" t="s">
        <v>49</v>
      </c>
      <c r="X282" s="81" t="s">
        <v>48</v>
      </c>
      <c r="Y282" s="81" t="s">
        <v>48</v>
      </c>
    </row>
    <row r="283" spans="1:25" x14ac:dyDescent="0.3">
      <c r="A283" s="16">
        <v>7502009741005</v>
      </c>
      <c r="B283" s="81" t="s">
        <v>43</v>
      </c>
      <c r="C283" s="81" t="s">
        <v>2114</v>
      </c>
      <c r="D283" s="81" t="s">
        <v>45</v>
      </c>
      <c r="E283" s="81" t="s">
        <v>2196</v>
      </c>
      <c r="F283" s="81" t="s">
        <v>2765</v>
      </c>
      <c r="G283" s="81" t="s">
        <v>2766</v>
      </c>
      <c r="H283" s="81" t="s">
        <v>2217</v>
      </c>
      <c r="I283" s="81" t="s">
        <v>5554</v>
      </c>
      <c r="J283" s="81" t="s">
        <v>2186</v>
      </c>
      <c r="K283" s="81" t="s">
        <v>5554</v>
      </c>
      <c r="L283" s="81" t="s">
        <v>2392</v>
      </c>
      <c r="M283" s="81" t="s">
        <v>5554</v>
      </c>
      <c r="N283" s="81" t="s">
        <v>2231</v>
      </c>
      <c r="O283" s="81" t="s">
        <v>2187</v>
      </c>
      <c r="P283" s="81" t="s">
        <v>2187</v>
      </c>
      <c r="Q283" s="81" t="s">
        <v>43</v>
      </c>
      <c r="R283" s="81" t="s">
        <v>46</v>
      </c>
      <c r="S283" s="81" t="s">
        <v>47</v>
      </c>
      <c r="T283" s="81" t="s">
        <v>48</v>
      </c>
      <c r="U283" s="81" t="s">
        <v>48</v>
      </c>
      <c r="V283" s="81" t="s">
        <v>48</v>
      </c>
      <c r="W283" s="81" t="s">
        <v>49</v>
      </c>
      <c r="X283" s="81" t="s">
        <v>48</v>
      </c>
      <c r="Y283" s="81" t="s">
        <v>48</v>
      </c>
    </row>
    <row r="284" spans="1:25" x14ac:dyDescent="0.3">
      <c r="A284" s="16">
        <v>7502009740305</v>
      </c>
      <c r="B284" s="81" t="s">
        <v>43</v>
      </c>
      <c r="C284" s="81" t="s">
        <v>421</v>
      </c>
      <c r="D284" s="81" t="s">
        <v>45</v>
      </c>
      <c r="E284" s="81" t="s">
        <v>2234</v>
      </c>
      <c r="F284" s="81" t="s">
        <v>2767</v>
      </c>
      <c r="G284" s="81" t="s">
        <v>2768</v>
      </c>
      <c r="H284" s="81" t="s">
        <v>2328</v>
      </c>
      <c r="I284" s="81" t="s">
        <v>5542</v>
      </c>
      <c r="J284" s="81" t="s">
        <v>2186</v>
      </c>
      <c r="K284" s="81" t="s">
        <v>5542</v>
      </c>
      <c r="L284" s="81" t="s">
        <v>2392</v>
      </c>
      <c r="M284" s="81" t="s">
        <v>5542</v>
      </c>
      <c r="N284" s="81" t="s">
        <v>2231</v>
      </c>
      <c r="O284" s="81" t="s">
        <v>2187</v>
      </c>
      <c r="P284" s="81" t="s">
        <v>2187</v>
      </c>
      <c r="Q284" s="81" t="s">
        <v>43</v>
      </c>
      <c r="R284" s="81" t="s">
        <v>46</v>
      </c>
      <c r="S284" s="81" t="s">
        <v>46</v>
      </c>
      <c r="T284" s="81" t="s">
        <v>48</v>
      </c>
      <c r="U284" s="81" t="s">
        <v>48</v>
      </c>
      <c r="V284" s="81" t="s">
        <v>48</v>
      </c>
      <c r="W284" s="81" t="s">
        <v>49</v>
      </c>
      <c r="X284" s="81" t="s">
        <v>48</v>
      </c>
      <c r="Y284" s="81" t="s">
        <v>48</v>
      </c>
    </row>
    <row r="285" spans="1:25" x14ac:dyDescent="0.3">
      <c r="A285" s="16">
        <v>7503027742005</v>
      </c>
      <c r="B285" s="81" t="s">
        <v>43</v>
      </c>
      <c r="C285" s="81" t="s">
        <v>422</v>
      </c>
      <c r="D285" s="81" t="s">
        <v>45</v>
      </c>
      <c r="E285" s="81" t="s">
        <v>2192</v>
      </c>
      <c r="F285" s="81" t="s">
        <v>2629</v>
      </c>
      <c r="G285" s="81" t="s">
        <v>4519</v>
      </c>
      <c r="H285" s="81" t="s">
        <v>5761</v>
      </c>
      <c r="I285" s="81" t="s">
        <v>5762</v>
      </c>
      <c r="J285" s="81" t="s">
        <v>2186</v>
      </c>
      <c r="K285" s="81" t="s">
        <v>5762</v>
      </c>
      <c r="L285" s="81" t="s">
        <v>2392</v>
      </c>
      <c r="M285" s="81" t="s">
        <v>5762</v>
      </c>
      <c r="N285" s="81" t="s">
        <v>2231</v>
      </c>
      <c r="O285" s="81" t="s">
        <v>2187</v>
      </c>
      <c r="P285" s="81" t="s">
        <v>2187</v>
      </c>
      <c r="Q285" s="81" t="s">
        <v>43</v>
      </c>
      <c r="R285" s="81" t="s">
        <v>374</v>
      </c>
      <c r="S285" s="81" t="s">
        <v>374</v>
      </c>
      <c r="T285" s="81" t="s">
        <v>48</v>
      </c>
      <c r="U285" s="81" t="s">
        <v>48</v>
      </c>
      <c r="V285" s="81" t="s">
        <v>49</v>
      </c>
      <c r="W285" s="81" t="s">
        <v>48</v>
      </c>
      <c r="X285" s="81" t="s">
        <v>48</v>
      </c>
      <c r="Y285" s="81" t="s">
        <v>48</v>
      </c>
    </row>
    <row r="286" spans="1:25" x14ac:dyDescent="0.3">
      <c r="A286" s="16">
        <v>7501258203586</v>
      </c>
      <c r="B286" s="81" t="s">
        <v>43</v>
      </c>
      <c r="C286" s="81" t="s">
        <v>423</v>
      </c>
      <c r="D286" s="81" t="s">
        <v>45</v>
      </c>
      <c r="E286" s="81" t="s">
        <v>2616</v>
      </c>
      <c r="F286" s="81" t="s">
        <v>2471</v>
      </c>
      <c r="G286" s="81" t="s">
        <v>5763</v>
      </c>
      <c r="H286" s="81" t="s">
        <v>2290</v>
      </c>
      <c r="I286" s="81" t="s">
        <v>5764</v>
      </c>
      <c r="J286" s="81" t="s">
        <v>2186</v>
      </c>
      <c r="K286" s="81" t="s">
        <v>5764</v>
      </c>
      <c r="L286" s="81" t="s">
        <v>2392</v>
      </c>
      <c r="M286" s="81" t="s">
        <v>5764</v>
      </c>
      <c r="N286" s="81" t="s">
        <v>2231</v>
      </c>
      <c r="O286" s="81" t="s">
        <v>2187</v>
      </c>
      <c r="P286" s="81" t="s">
        <v>2187</v>
      </c>
      <c r="Q286" s="81" t="s">
        <v>43</v>
      </c>
      <c r="R286" s="81" t="s">
        <v>46</v>
      </c>
      <c r="S286" s="81" t="s">
        <v>47</v>
      </c>
      <c r="T286" s="81" t="s">
        <v>48</v>
      </c>
      <c r="U286" s="81" t="s">
        <v>48</v>
      </c>
      <c r="V286" s="81" t="s">
        <v>48</v>
      </c>
      <c r="W286" s="81" t="s">
        <v>49</v>
      </c>
      <c r="X286" s="81" t="s">
        <v>48</v>
      </c>
      <c r="Y286" s="81" t="s">
        <v>48</v>
      </c>
    </row>
    <row r="287" spans="1:25" x14ac:dyDescent="0.3">
      <c r="A287" s="16">
        <v>7502216803657</v>
      </c>
      <c r="B287" s="81" t="s">
        <v>43</v>
      </c>
      <c r="C287" s="81" t="s">
        <v>424</v>
      </c>
      <c r="D287" s="81" t="s">
        <v>45</v>
      </c>
      <c r="E287" s="81" t="s">
        <v>2248</v>
      </c>
      <c r="F287" s="81" t="s">
        <v>2249</v>
      </c>
      <c r="G287" s="81" t="s">
        <v>5476</v>
      </c>
      <c r="H287" s="81" t="s">
        <v>5765</v>
      </c>
      <c r="I287" s="81" t="s">
        <v>3373</v>
      </c>
      <c r="J287" s="81" t="s">
        <v>2186</v>
      </c>
      <c r="K287" s="81" t="s">
        <v>3373</v>
      </c>
      <c r="L287" s="81" t="s">
        <v>2392</v>
      </c>
      <c r="M287" s="81" t="s">
        <v>3373</v>
      </c>
      <c r="N287" s="81" t="s">
        <v>2231</v>
      </c>
      <c r="O287" s="81" t="s">
        <v>2187</v>
      </c>
      <c r="P287" s="81" t="s">
        <v>2187</v>
      </c>
      <c r="Q287" s="81" t="s">
        <v>43</v>
      </c>
      <c r="R287" s="81" t="s">
        <v>46</v>
      </c>
      <c r="S287" s="81" t="s">
        <v>47</v>
      </c>
      <c r="T287" s="81" t="s">
        <v>48</v>
      </c>
      <c r="U287" s="81" t="s">
        <v>48</v>
      </c>
      <c r="V287" s="81" t="s">
        <v>48</v>
      </c>
      <c r="W287" s="81" t="s">
        <v>49</v>
      </c>
      <c r="X287" s="81" t="s">
        <v>48</v>
      </c>
      <c r="Y287" s="81" t="s">
        <v>48</v>
      </c>
    </row>
    <row r="288" spans="1:25" x14ac:dyDescent="0.3">
      <c r="A288" s="16">
        <v>780083141981</v>
      </c>
      <c r="B288" s="81" t="s">
        <v>43</v>
      </c>
      <c r="C288" s="81" t="s">
        <v>425</v>
      </c>
      <c r="D288" s="81" t="s">
        <v>45</v>
      </c>
      <c r="E288" s="81" t="s">
        <v>2771</v>
      </c>
      <c r="F288" s="81" t="s">
        <v>2772</v>
      </c>
      <c r="G288" s="81" t="s">
        <v>4896</v>
      </c>
      <c r="H288" s="81" t="s">
        <v>2264</v>
      </c>
      <c r="I288" s="81" t="s">
        <v>4617</v>
      </c>
      <c r="J288" s="81" t="s">
        <v>2186</v>
      </c>
      <c r="K288" s="81" t="s">
        <v>4617</v>
      </c>
      <c r="L288" s="81" t="s">
        <v>2392</v>
      </c>
      <c r="M288" s="81" t="s">
        <v>4617</v>
      </c>
      <c r="N288" s="81" t="s">
        <v>2231</v>
      </c>
      <c r="O288" s="81" t="s">
        <v>2187</v>
      </c>
      <c r="P288" s="81" t="s">
        <v>2187</v>
      </c>
      <c r="Q288" s="81" t="s">
        <v>43</v>
      </c>
      <c r="R288" s="81" t="s">
        <v>46</v>
      </c>
      <c r="S288" s="81" t="s">
        <v>47</v>
      </c>
      <c r="T288" s="81" t="s">
        <v>48</v>
      </c>
      <c r="U288" s="81" t="s">
        <v>48</v>
      </c>
      <c r="V288" s="81" t="s">
        <v>48</v>
      </c>
      <c r="W288" s="81" t="s">
        <v>49</v>
      </c>
      <c r="X288" s="81" t="s">
        <v>48</v>
      </c>
      <c r="Y288" s="81" t="s">
        <v>48</v>
      </c>
    </row>
    <row r="289" spans="1:25" x14ac:dyDescent="0.3">
      <c r="A289" s="16">
        <v>785120753349</v>
      </c>
      <c r="B289" s="81" t="s">
        <v>43</v>
      </c>
      <c r="C289" s="81" t="s">
        <v>426</v>
      </c>
      <c r="D289" s="81" t="s">
        <v>45</v>
      </c>
      <c r="E289" s="81" t="s">
        <v>2257</v>
      </c>
      <c r="F289" s="81" t="s">
        <v>2323</v>
      </c>
      <c r="G289" s="81" t="s">
        <v>5260</v>
      </c>
      <c r="H289" s="81" t="s">
        <v>2365</v>
      </c>
      <c r="I289" s="81" t="s">
        <v>5574</v>
      </c>
      <c r="J289" s="81" t="s">
        <v>2186</v>
      </c>
      <c r="K289" s="81" t="s">
        <v>5574</v>
      </c>
      <c r="L289" s="81" t="s">
        <v>2392</v>
      </c>
      <c r="M289" s="81" t="s">
        <v>5574</v>
      </c>
      <c r="N289" s="81" t="s">
        <v>2231</v>
      </c>
      <c r="O289" s="81" t="s">
        <v>2187</v>
      </c>
      <c r="P289" s="81" t="s">
        <v>2187</v>
      </c>
      <c r="Q289" s="81" t="s">
        <v>43</v>
      </c>
      <c r="R289" s="81" t="s">
        <v>51</v>
      </c>
      <c r="S289" s="81" t="s">
        <v>81</v>
      </c>
      <c r="T289" s="81" t="s">
        <v>49</v>
      </c>
      <c r="U289" s="81" t="s">
        <v>48</v>
      </c>
      <c r="V289" s="81" t="s">
        <v>48</v>
      </c>
      <c r="W289" s="81" t="s">
        <v>49</v>
      </c>
      <c r="X289" s="81" t="s">
        <v>48</v>
      </c>
      <c r="Y289" s="81" t="s">
        <v>48</v>
      </c>
    </row>
    <row r="290" spans="1:25" x14ac:dyDescent="0.3">
      <c r="A290" s="16">
        <v>7501075718096</v>
      </c>
      <c r="B290" s="81" t="s">
        <v>43</v>
      </c>
      <c r="C290" s="81" t="s">
        <v>427</v>
      </c>
      <c r="D290" s="81" t="s">
        <v>45</v>
      </c>
      <c r="E290" s="81" t="s">
        <v>2317</v>
      </c>
      <c r="F290" s="81" t="s">
        <v>2773</v>
      </c>
      <c r="G290" s="81" t="s">
        <v>4452</v>
      </c>
      <c r="H290" s="81" t="s">
        <v>2290</v>
      </c>
      <c r="I290" s="81" t="s">
        <v>3539</v>
      </c>
      <c r="J290" s="81" t="s">
        <v>2186</v>
      </c>
      <c r="K290" s="81" t="s">
        <v>3539</v>
      </c>
      <c r="L290" s="81" t="s">
        <v>2392</v>
      </c>
      <c r="M290" s="81" t="s">
        <v>3539</v>
      </c>
      <c r="N290" s="81" t="s">
        <v>2231</v>
      </c>
      <c r="O290" s="81" t="s">
        <v>2187</v>
      </c>
      <c r="P290" s="81" t="s">
        <v>2187</v>
      </c>
      <c r="Q290" s="81" t="s">
        <v>43</v>
      </c>
      <c r="R290" s="81" t="s">
        <v>51</v>
      </c>
      <c r="S290" s="81" t="s">
        <v>47</v>
      </c>
      <c r="T290" s="81" t="s">
        <v>49</v>
      </c>
      <c r="U290" s="81" t="s">
        <v>48</v>
      </c>
      <c r="V290" s="81" t="s">
        <v>48</v>
      </c>
      <c r="W290" s="81" t="s">
        <v>49</v>
      </c>
      <c r="X290" s="81" t="s">
        <v>48</v>
      </c>
      <c r="Y290" s="81" t="s">
        <v>48</v>
      </c>
    </row>
    <row r="291" spans="1:25" x14ac:dyDescent="0.3">
      <c r="A291" s="16">
        <v>785120754087</v>
      </c>
      <c r="B291" s="81" t="s">
        <v>43</v>
      </c>
      <c r="C291" s="81" t="s">
        <v>428</v>
      </c>
      <c r="D291" s="81" t="s">
        <v>45</v>
      </c>
      <c r="E291" s="81" t="s">
        <v>2274</v>
      </c>
      <c r="F291" s="81" t="s">
        <v>2292</v>
      </c>
      <c r="G291" s="81" t="s">
        <v>4104</v>
      </c>
      <c r="H291" s="81" t="s">
        <v>2197</v>
      </c>
      <c r="I291" s="81" t="s">
        <v>2185</v>
      </c>
      <c r="J291" s="81" t="s">
        <v>2186</v>
      </c>
      <c r="K291" s="81" t="s">
        <v>2185</v>
      </c>
      <c r="L291" s="81" t="s">
        <v>2392</v>
      </c>
      <c r="M291" s="81" t="s">
        <v>2185</v>
      </c>
      <c r="N291" s="81" t="s">
        <v>2231</v>
      </c>
      <c r="O291" s="81" t="s">
        <v>2187</v>
      </c>
      <c r="P291" s="81" t="s">
        <v>2187</v>
      </c>
      <c r="Q291" s="81" t="s">
        <v>43</v>
      </c>
      <c r="R291" s="81" t="s">
        <v>46</v>
      </c>
      <c r="S291" s="81" t="s">
        <v>47</v>
      </c>
      <c r="T291" s="81" t="s">
        <v>48</v>
      </c>
      <c r="U291" s="81" t="s">
        <v>48</v>
      </c>
      <c r="V291" s="81" t="s">
        <v>48</v>
      </c>
      <c r="W291" s="81" t="s">
        <v>49</v>
      </c>
      <c r="X291" s="81" t="s">
        <v>48</v>
      </c>
      <c r="Y291" s="81" t="s">
        <v>48</v>
      </c>
    </row>
    <row r="292" spans="1:25" x14ac:dyDescent="0.3">
      <c r="A292" s="16">
        <v>785120754766</v>
      </c>
      <c r="B292" s="81" t="s">
        <v>43</v>
      </c>
      <c r="C292" s="81" t="s">
        <v>429</v>
      </c>
      <c r="D292" s="81" t="s">
        <v>45</v>
      </c>
      <c r="E292" s="81" t="s">
        <v>2249</v>
      </c>
      <c r="F292" s="81" t="s">
        <v>2774</v>
      </c>
      <c r="G292" s="81" t="s">
        <v>3931</v>
      </c>
      <c r="H292" s="81" t="s">
        <v>2237</v>
      </c>
      <c r="I292" s="81" t="s">
        <v>5766</v>
      </c>
      <c r="J292" s="81" t="s">
        <v>2186</v>
      </c>
      <c r="K292" s="81" t="s">
        <v>5766</v>
      </c>
      <c r="L292" s="81" t="s">
        <v>2392</v>
      </c>
      <c r="M292" s="81" t="s">
        <v>5766</v>
      </c>
      <c r="N292" s="81" t="s">
        <v>2231</v>
      </c>
      <c r="O292" s="81" t="s">
        <v>2187</v>
      </c>
      <c r="P292" s="81" t="s">
        <v>2187</v>
      </c>
      <c r="Q292" s="81" t="s">
        <v>43</v>
      </c>
      <c r="R292" s="81" t="s">
        <v>46</v>
      </c>
      <c r="S292" s="81" t="s">
        <v>47</v>
      </c>
      <c r="T292" s="81" t="s">
        <v>48</v>
      </c>
      <c r="U292" s="81" t="s">
        <v>48</v>
      </c>
      <c r="V292" s="81" t="s">
        <v>48</v>
      </c>
      <c r="W292" s="81" t="s">
        <v>49</v>
      </c>
      <c r="X292" s="81" t="s">
        <v>48</v>
      </c>
      <c r="Y292" s="81" t="s">
        <v>48</v>
      </c>
    </row>
    <row r="293" spans="1:25" x14ac:dyDescent="0.3">
      <c r="A293" s="16">
        <v>785120754841</v>
      </c>
      <c r="B293" s="81" t="s">
        <v>43</v>
      </c>
      <c r="C293" s="81" t="s">
        <v>2775</v>
      </c>
      <c r="D293" s="81" t="s">
        <v>45</v>
      </c>
      <c r="E293" s="81" t="s">
        <v>2222</v>
      </c>
      <c r="F293" s="81" t="s">
        <v>2564</v>
      </c>
      <c r="G293" s="81" t="s">
        <v>5101</v>
      </c>
      <c r="H293" s="81" t="s">
        <v>2535</v>
      </c>
      <c r="I293" s="81" t="s">
        <v>5767</v>
      </c>
      <c r="J293" s="81" t="s">
        <v>2186</v>
      </c>
      <c r="K293" s="81" t="s">
        <v>5767</v>
      </c>
      <c r="L293" s="81" t="s">
        <v>2392</v>
      </c>
      <c r="M293" s="81" t="s">
        <v>5767</v>
      </c>
      <c r="N293" s="81" t="s">
        <v>2231</v>
      </c>
      <c r="O293" s="81" t="s">
        <v>2187</v>
      </c>
      <c r="P293" s="81" t="s">
        <v>2187</v>
      </c>
      <c r="Q293" s="81" t="s">
        <v>43</v>
      </c>
      <c r="R293" s="81" t="s">
        <v>46</v>
      </c>
      <c r="S293" s="81" t="s">
        <v>46</v>
      </c>
      <c r="T293" s="81" t="s">
        <v>48</v>
      </c>
      <c r="U293" s="81" t="s">
        <v>48</v>
      </c>
      <c r="V293" s="81" t="s">
        <v>48</v>
      </c>
      <c r="W293" s="81" t="s">
        <v>49</v>
      </c>
      <c r="X293" s="81" t="s">
        <v>48</v>
      </c>
      <c r="Y293" s="81" t="s">
        <v>48</v>
      </c>
    </row>
    <row r="294" spans="1:25" x14ac:dyDescent="0.3">
      <c r="A294" s="16">
        <v>785120755022</v>
      </c>
      <c r="B294" s="81" t="s">
        <v>43</v>
      </c>
      <c r="C294" s="81" t="s">
        <v>2776</v>
      </c>
      <c r="D294" s="81" t="s">
        <v>45</v>
      </c>
      <c r="E294" s="81" t="s">
        <v>2312</v>
      </c>
      <c r="F294" s="81" t="s">
        <v>2419</v>
      </c>
      <c r="G294" s="81" t="s">
        <v>4658</v>
      </c>
      <c r="H294" s="81" t="s">
        <v>2223</v>
      </c>
      <c r="I294" s="81" t="s">
        <v>5768</v>
      </c>
      <c r="J294" s="81" t="s">
        <v>2186</v>
      </c>
      <c r="K294" s="81" t="s">
        <v>5768</v>
      </c>
      <c r="L294" s="81" t="s">
        <v>2392</v>
      </c>
      <c r="M294" s="81" t="s">
        <v>5768</v>
      </c>
      <c r="N294" s="81" t="s">
        <v>2231</v>
      </c>
      <c r="O294" s="81" t="s">
        <v>2187</v>
      </c>
      <c r="P294" s="81" t="s">
        <v>2187</v>
      </c>
      <c r="Q294" s="81" t="s">
        <v>43</v>
      </c>
      <c r="R294" s="81" t="s">
        <v>46</v>
      </c>
      <c r="S294" s="81" t="s">
        <v>47</v>
      </c>
      <c r="T294" s="81" t="s">
        <v>48</v>
      </c>
      <c r="U294" s="81" t="s">
        <v>48</v>
      </c>
      <c r="V294" s="81" t="s">
        <v>48</v>
      </c>
      <c r="W294" s="81" t="s">
        <v>49</v>
      </c>
      <c r="X294" s="81" t="s">
        <v>48</v>
      </c>
      <c r="Y294" s="81" t="s">
        <v>48</v>
      </c>
    </row>
    <row r="295" spans="1:25" x14ac:dyDescent="0.3">
      <c r="A295" s="16">
        <v>785118752941</v>
      </c>
      <c r="B295" s="81" t="s">
        <v>43</v>
      </c>
      <c r="C295" s="81" t="s">
        <v>1907</v>
      </c>
      <c r="D295" s="81" t="s">
        <v>45</v>
      </c>
      <c r="E295" s="81" t="s">
        <v>2233</v>
      </c>
      <c r="F295" s="81" t="s">
        <v>2477</v>
      </c>
      <c r="G295" s="81" t="s">
        <v>5388</v>
      </c>
      <c r="H295" s="81" t="s">
        <v>2365</v>
      </c>
      <c r="I295" s="81" t="s">
        <v>5736</v>
      </c>
      <c r="J295" s="81" t="s">
        <v>2186</v>
      </c>
      <c r="K295" s="81" t="s">
        <v>5736</v>
      </c>
      <c r="L295" s="81" t="s">
        <v>2392</v>
      </c>
      <c r="M295" s="81" t="s">
        <v>5736</v>
      </c>
      <c r="N295" s="81" t="s">
        <v>2231</v>
      </c>
      <c r="O295" s="81" t="s">
        <v>2187</v>
      </c>
      <c r="P295" s="81" t="s">
        <v>2187</v>
      </c>
      <c r="Q295" s="81" t="s">
        <v>43</v>
      </c>
      <c r="R295" s="81" t="s">
        <v>46</v>
      </c>
      <c r="S295" s="81" t="s">
        <v>46</v>
      </c>
      <c r="T295" s="81" t="s">
        <v>48</v>
      </c>
      <c r="U295" s="81" t="s">
        <v>48</v>
      </c>
      <c r="V295" s="81" t="s">
        <v>48</v>
      </c>
      <c r="W295" s="81" t="s">
        <v>49</v>
      </c>
      <c r="X295" s="81" t="s">
        <v>48</v>
      </c>
      <c r="Y295" s="81" t="s">
        <v>48</v>
      </c>
    </row>
    <row r="296" spans="1:25" x14ac:dyDescent="0.3">
      <c r="A296" s="16">
        <v>7502001162518</v>
      </c>
      <c r="B296" s="81" t="s">
        <v>43</v>
      </c>
      <c r="C296" s="81" t="s">
        <v>430</v>
      </c>
      <c r="D296" s="81" t="s">
        <v>45</v>
      </c>
      <c r="E296" s="81" t="s">
        <v>2227</v>
      </c>
      <c r="F296" s="81" t="s">
        <v>2227</v>
      </c>
      <c r="G296" s="81" t="s">
        <v>2777</v>
      </c>
      <c r="H296" s="81" t="s">
        <v>2243</v>
      </c>
      <c r="I296" s="81" t="s">
        <v>2252</v>
      </c>
      <c r="J296" s="81" t="s">
        <v>2186</v>
      </c>
      <c r="K296" s="81" t="s">
        <v>2236</v>
      </c>
      <c r="L296" s="81" t="s">
        <v>2392</v>
      </c>
      <c r="M296" s="81" t="s">
        <v>2778</v>
      </c>
      <c r="N296" s="81" t="s">
        <v>2231</v>
      </c>
      <c r="O296" s="81" t="s">
        <v>2187</v>
      </c>
      <c r="P296" s="81" t="s">
        <v>2187</v>
      </c>
      <c r="Q296" s="81" t="s">
        <v>43</v>
      </c>
      <c r="R296" s="81" t="s">
        <v>46</v>
      </c>
      <c r="S296" s="81" t="s">
        <v>46</v>
      </c>
      <c r="T296" s="81" t="s">
        <v>48</v>
      </c>
      <c r="U296" s="81" t="s">
        <v>48</v>
      </c>
      <c r="V296" s="81" t="s">
        <v>48</v>
      </c>
      <c r="W296" s="81" t="s">
        <v>49</v>
      </c>
      <c r="X296" s="81" t="s">
        <v>48</v>
      </c>
      <c r="Y296" s="81" t="s">
        <v>48</v>
      </c>
    </row>
    <row r="297" spans="1:25" x14ac:dyDescent="0.3">
      <c r="A297" s="16">
        <v>7502001162525</v>
      </c>
      <c r="B297" s="81" t="s">
        <v>43</v>
      </c>
      <c r="C297" s="81" t="s">
        <v>2779</v>
      </c>
      <c r="D297" s="81" t="s">
        <v>45</v>
      </c>
      <c r="E297" s="81" t="s">
        <v>2780</v>
      </c>
      <c r="F297" s="81" t="s">
        <v>2678</v>
      </c>
      <c r="G297" s="81" t="s">
        <v>2781</v>
      </c>
      <c r="H297" s="81" t="s">
        <v>2243</v>
      </c>
      <c r="I297" s="81" t="s">
        <v>5603</v>
      </c>
      <c r="J297" s="81" t="s">
        <v>2186</v>
      </c>
      <c r="K297" s="81" t="s">
        <v>5603</v>
      </c>
      <c r="L297" s="81" t="s">
        <v>2392</v>
      </c>
      <c r="M297" s="81" t="s">
        <v>5603</v>
      </c>
      <c r="N297" s="81" t="s">
        <v>2231</v>
      </c>
      <c r="O297" s="81" t="s">
        <v>2187</v>
      </c>
      <c r="P297" s="81" t="s">
        <v>2187</v>
      </c>
      <c r="Q297" s="81" t="s">
        <v>43</v>
      </c>
      <c r="R297" s="81" t="s">
        <v>46</v>
      </c>
      <c r="S297" s="81" t="s">
        <v>47</v>
      </c>
      <c r="T297" s="81" t="s">
        <v>48</v>
      </c>
      <c r="U297" s="81" t="s">
        <v>48</v>
      </c>
      <c r="V297" s="81" t="s">
        <v>48</v>
      </c>
      <c r="W297" s="81" t="s">
        <v>49</v>
      </c>
      <c r="X297" s="81" t="s">
        <v>48</v>
      </c>
      <c r="Y297" s="81" t="s">
        <v>48</v>
      </c>
    </row>
    <row r="298" spans="1:25" x14ac:dyDescent="0.3">
      <c r="A298" s="16">
        <v>7451079003523</v>
      </c>
      <c r="B298" s="81" t="s">
        <v>43</v>
      </c>
      <c r="C298" s="81" t="s">
        <v>431</v>
      </c>
      <c r="D298" s="81" t="s">
        <v>45</v>
      </c>
      <c r="E298" s="81" t="s">
        <v>2354</v>
      </c>
      <c r="F298" s="81" t="s">
        <v>2355</v>
      </c>
      <c r="G298" s="81" t="s">
        <v>4897</v>
      </c>
      <c r="H298" s="81" t="s">
        <v>2482</v>
      </c>
      <c r="I298" s="81" t="s">
        <v>5769</v>
      </c>
      <c r="J298" s="81" t="s">
        <v>2186</v>
      </c>
      <c r="K298" s="81" t="s">
        <v>5769</v>
      </c>
      <c r="L298" s="81" t="s">
        <v>2392</v>
      </c>
      <c r="M298" s="81" t="s">
        <v>5769</v>
      </c>
      <c r="N298" s="81" t="s">
        <v>2231</v>
      </c>
      <c r="O298" s="81" t="s">
        <v>2187</v>
      </c>
      <c r="P298" s="81" t="s">
        <v>2187</v>
      </c>
      <c r="Q298" s="81" t="s">
        <v>43</v>
      </c>
      <c r="R298" s="81" t="s">
        <v>203</v>
      </c>
      <c r="S298" s="81" t="s">
        <v>47</v>
      </c>
      <c r="T298" s="81" t="s">
        <v>48</v>
      </c>
      <c r="U298" s="81" t="s">
        <v>48</v>
      </c>
      <c r="V298" s="81" t="s">
        <v>48</v>
      </c>
      <c r="W298" s="81" t="s">
        <v>49</v>
      </c>
      <c r="X298" s="81" t="s">
        <v>48</v>
      </c>
      <c r="Y298" s="81" t="s">
        <v>48</v>
      </c>
    </row>
    <row r="299" spans="1:25" x14ac:dyDescent="0.3">
      <c r="A299" s="16">
        <v>7501349022126</v>
      </c>
      <c r="B299" s="81" t="s">
        <v>43</v>
      </c>
      <c r="C299" s="81" t="s">
        <v>432</v>
      </c>
      <c r="D299" s="81" t="s">
        <v>45</v>
      </c>
      <c r="E299" s="81" t="s">
        <v>2784</v>
      </c>
      <c r="F299" s="81" t="s">
        <v>2785</v>
      </c>
      <c r="G299" s="81" t="s">
        <v>5477</v>
      </c>
      <c r="H299" s="81" t="s">
        <v>2264</v>
      </c>
      <c r="I299" s="81" t="s">
        <v>5770</v>
      </c>
      <c r="J299" s="81" t="s">
        <v>2186</v>
      </c>
      <c r="K299" s="81" t="s">
        <v>5770</v>
      </c>
      <c r="L299" s="81" t="s">
        <v>2392</v>
      </c>
      <c r="M299" s="81" t="s">
        <v>5770</v>
      </c>
      <c r="N299" s="81" t="s">
        <v>2231</v>
      </c>
      <c r="O299" s="81" t="s">
        <v>2187</v>
      </c>
      <c r="P299" s="81" t="s">
        <v>2187</v>
      </c>
      <c r="Q299" s="81" t="s">
        <v>43</v>
      </c>
      <c r="R299" s="81" t="s">
        <v>46</v>
      </c>
      <c r="S299" s="81" t="s">
        <v>73</v>
      </c>
      <c r="T299" s="81" t="s">
        <v>48</v>
      </c>
      <c r="U299" s="81" t="s">
        <v>48</v>
      </c>
      <c r="V299" s="81" t="s">
        <v>48</v>
      </c>
      <c r="W299" s="81" t="s">
        <v>49</v>
      </c>
      <c r="X299" s="81" t="s">
        <v>48</v>
      </c>
      <c r="Y299" s="81" t="s">
        <v>48</v>
      </c>
    </row>
    <row r="300" spans="1:25" x14ac:dyDescent="0.3">
      <c r="A300" s="16">
        <v>7502002462136</v>
      </c>
      <c r="B300" s="81" t="s">
        <v>43</v>
      </c>
      <c r="C300" s="81" t="s">
        <v>2786</v>
      </c>
      <c r="D300" s="81" t="s">
        <v>45</v>
      </c>
      <c r="E300" s="81" t="s">
        <v>2304</v>
      </c>
      <c r="F300" s="81" t="s">
        <v>2332</v>
      </c>
      <c r="G300" s="81" t="s">
        <v>2787</v>
      </c>
      <c r="H300" s="81" t="s">
        <v>2788</v>
      </c>
      <c r="I300" s="81" t="s">
        <v>5771</v>
      </c>
      <c r="J300" s="81" t="s">
        <v>2186</v>
      </c>
      <c r="K300" s="81" t="s">
        <v>5771</v>
      </c>
      <c r="L300" s="81" t="s">
        <v>2392</v>
      </c>
      <c r="M300" s="81" t="s">
        <v>5771</v>
      </c>
      <c r="N300" s="81" t="s">
        <v>2231</v>
      </c>
      <c r="O300" s="81" t="s">
        <v>2187</v>
      </c>
      <c r="P300" s="81" t="s">
        <v>2187</v>
      </c>
      <c r="Q300" s="81" t="s">
        <v>43</v>
      </c>
      <c r="R300" s="81" t="s">
        <v>203</v>
      </c>
      <c r="S300" s="81" t="s">
        <v>203</v>
      </c>
      <c r="T300" s="81" t="s">
        <v>48</v>
      </c>
      <c r="U300" s="81" t="s">
        <v>48</v>
      </c>
      <c r="V300" s="81" t="s">
        <v>48</v>
      </c>
      <c r="W300" s="81" t="s">
        <v>49</v>
      </c>
      <c r="X300" s="81" t="s">
        <v>48</v>
      </c>
      <c r="Y300" s="81" t="s">
        <v>48</v>
      </c>
    </row>
    <row r="301" spans="1:25" x14ac:dyDescent="0.3">
      <c r="A301" s="16">
        <v>7501075713459</v>
      </c>
      <c r="B301" s="81" t="s">
        <v>43</v>
      </c>
      <c r="C301" s="81" t="s">
        <v>433</v>
      </c>
      <c r="D301" s="81" t="s">
        <v>45</v>
      </c>
      <c r="E301" s="81" t="s">
        <v>2790</v>
      </c>
      <c r="F301" s="81" t="s">
        <v>2791</v>
      </c>
      <c r="G301" s="81" t="s">
        <v>2792</v>
      </c>
      <c r="H301" s="81" t="s">
        <v>2181</v>
      </c>
      <c r="I301" s="81" t="s">
        <v>5772</v>
      </c>
      <c r="J301" s="81" t="s">
        <v>2186</v>
      </c>
      <c r="K301" s="81" t="s">
        <v>5772</v>
      </c>
      <c r="L301" s="81" t="s">
        <v>2392</v>
      </c>
      <c r="M301" s="81" t="s">
        <v>5772</v>
      </c>
      <c r="N301" s="81" t="s">
        <v>2231</v>
      </c>
      <c r="O301" s="81" t="s">
        <v>2187</v>
      </c>
      <c r="P301" s="81" t="s">
        <v>2187</v>
      </c>
      <c r="Q301" s="81" t="s">
        <v>43</v>
      </c>
      <c r="R301" s="81" t="s">
        <v>46</v>
      </c>
      <c r="S301" s="81" t="s">
        <v>46</v>
      </c>
      <c r="T301" s="81" t="s">
        <v>48</v>
      </c>
      <c r="U301" s="81" t="s">
        <v>48</v>
      </c>
      <c r="V301" s="81" t="s">
        <v>48</v>
      </c>
      <c r="W301" s="81" t="s">
        <v>49</v>
      </c>
      <c r="X301" s="81" t="s">
        <v>48</v>
      </c>
      <c r="Y301" s="81" t="s">
        <v>48</v>
      </c>
    </row>
    <row r="302" spans="1:25" x14ac:dyDescent="0.3">
      <c r="A302" s="16">
        <v>7501349022515</v>
      </c>
      <c r="B302" s="81" t="s">
        <v>43</v>
      </c>
      <c r="C302" s="81" t="s">
        <v>434</v>
      </c>
      <c r="D302" s="81" t="s">
        <v>45</v>
      </c>
      <c r="E302" s="81" t="s">
        <v>2793</v>
      </c>
      <c r="F302" s="81" t="s">
        <v>2794</v>
      </c>
      <c r="G302" s="81" t="s">
        <v>4831</v>
      </c>
      <c r="H302" s="81" t="s">
        <v>2259</v>
      </c>
      <c r="I302" s="81" t="s">
        <v>5773</v>
      </c>
      <c r="J302" s="81" t="s">
        <v>2186</v>
      </c>
      <c r="K302" s="81" t="s">
        <v>5773</v>
      </c>
      <c r="L302" s="81" t="s">
        <v>2392</v>
      </c>
      <c r="M302" s="81" t="s">
        <v>5773</v>
      </c>
      <c r="N302" s="81" t="s">
        <v>2231</v>
      </c>
      <c r="O302" s="81" t="s">
        <v>2187</v>
      </c>
      <c r="P302" s="81" t="s">
        <v>2187</v>
      </c>
      <c r="Q302" s="81" t="s">
        <v>43</v>
      </c>
      <c r="R302" s="81" t="s">
        <v>51</v>
      </c>
      <c r="S302" s="81" t="s">
        <v>73</v>
      </c>
      <c r="T302" s="81" t="s">
        <v>49</v>
      </c>
      <c r="U302" s="81" t="s">
        <v>48</v>
      </c>
      <c r="V302" s="81" t="s">
        <v>48</v>
      </c>
      <c r="W302" s="81" t="s">
        <v>49</v>
      </c>
      <c r="X302" s="81" t="s">
        <v>48</v>
      </c>
      <c r="Y302" s="81" t="s">
        <v>48</v>
      </c>
    </row>
    <row r="303" spans="1:25" x14ac:dyDescent="0.3">
      <c r="A303" s="16">
        <v>650240010538</v>
      </c>
      <c r="B303" s="81" t="s">
        <v>43</v>
      </c>
      <c r="C303" s="81" t="s">
        <v>435</v>
      </c>
      <c r="D303" s="81" t="s">
        <v>45</v>
      </c>
      <c r="E303" s="81" t="s">
        <v>2795</v>
      </c>
      <c r="F303" s="81" t="s">
        <v>2796</v>
      </c>
      <c r="G303" s="81" t="s">
        <v>2537</v>
      </c>
      <c r="H303" s="81" t="s">
        <v>2218</v>
      </c>
      <c r="I303" s="81" t="s">
        <v>5774</v>
      </c>
      <c r="J303" s="81" t="s">
        <v>2186</v>
      </c>
      <c r="K303" s="81" t="s">
        <v>5774</v>
      </c>
      <c r="L303" s="81" t="s">
        <v>2392</v>
      </c>
      <c r="M303" s="81" t="s">
        <v>5774</v>
      </c>
      <c r="N303" s="81" t="s">
        <v>2231</v>
      </c>
      <c r="O303" s="81" t="s">
        <v>2187</v>
      </c>
      <c r="P303" s="81" t="s">
        <v>2187</v>
      </c>
      <c r="Q303" s="81" t="s">
        <v>43</v>
      </c>
      <c r="R303" s="81" t="s">
        <v>203</v>
      </c>
      <c r="S303" s="81" t="s">
        <v>47</v>
      </c>
      <c r="T303" s="81" t="s">
        <v>48</v>
      </c>
      <c r="U303" s="81" t="s">
        <v>48</v>
      </c>
      <c r="V303" s="81" t="s">
        <v>48</v>
      </c>
      <c r="W303" s="81" t="s">
        <v>49</v>
      </c>
      <c r="X303" s="81" t="s">
        <v>48</v>
      </c>
      <c r="Y303" s="81" t="s">
        <v>48</v>
      </c>
    </row>
    <row r="304" spans="1:25" x14ac:dyDescent="0.3">
      <c r="A304" s="16">
        <v>7501075722253</v>
      </c>
      <c r="B304" s="81" t="s">
        <v>43</v>
      </c>
      <c r="C304" s="81" t="s">
        <v>1908</v>
      </c>
      <c r="D304" s="81" t="s">
        <v>45</v>
      </c>
      <c r="E304" s="81" t="s">
        <v>2471</v>
      </c>
      <c r="F304" s="81" t="s">
        <v>2481</v>
      </c>
      <c r="G304" s="81" t="s">
        <v>5478</v>
      </c>
      <c r="H304" s="81" t="s">
        <v>2208</v>
      </c>
      <c r="I304" s="81" t="s">
        <v>5145</v>
      </c>
      <c r="J304" s="81" t="s">
        <v>2186</v>
      </c>
      <c r="K304" s="81" t="s">
        <v>5145</v>
      </c>
      <c r="L304" s="81" t="s">
        <v>2392</v>
      </c>
      <c r="M304" s="81" t="s">
        <v>5145</v>
      </c>
      <c r="N304" s="81" t="s">
        <v>2231</v>
      </c>
      <c r="O304" s="81" t="s">
        <v>2187</v>
      </c>
      <c r="P304" s="81" t="s">
        <v>2187</v>
      </c>
      <c r="Q304" s="81" t="s">
        <v>43</v>
      </c>
      <c r="R304" s="81" t="s">
        <v>46</v>
      </c>
      <c r="S304" s="81" t="s">
        <v>47</v>
      </c>
      <c r="T304" s="81" t="s">
        <v>48</v>
      </c>
      <c r="U304" s="81" t="s">
        <v>48</v>
      </c>
      <c r="V304" s="81" t="s">
        <v>48</v>
      </c>
      <c r="W304" s="81" t="s">
        <v>49</v>
      </c>
      <c r="X304" s="81" t="s">
        <v>48</v>
      </c>
      <c r="Y304" s="81" t="s">
        <v>48</v>
      </c>
    </row>
    <row r="305" spans="1:25" x14ac:dyDescent="0.3">
      <c r="A305" s="16">
        <v>7501075723137</v>
      </c>
      <c r="B305" s="81" t="s">
        <v>43</v>
      </c>
      <c r="C305" s="81" t="s">
        <v>436</v>
      </c>
      <c r="D305" s="81" t="s">
        <v>45</v>
      </c>
      <c r="E305" s="81" t="s">
        <v>2283</v>
      </c>
      <c r="F305" s="81" t="s">
        <v>2284</v>
      </c>
      <c r="G305" s="81" t="s">
        <v>4360</v>
      </c>
      <c r="H305" s="81" t="s">
        <v>5775</v>
      </c>
      <c r="I305" s="81" t="s">
        <v>5165</v>
      </c>
      <c r="J305" s="81" t="s">
        <v>2186</v>
      </c>
      <c r="K305" s="81" t="s">
        <v>5165</v>
      </c>
      <c r="L305" s="81" t="s">
        <v>2392</v>
      </c>
      <c r="M305" s="81" t="s">
        <v>5165</v>
      </c>
      <c r="N305" s="81" t="s">
        <v>2231</v>
      </c>
      <c r="O305" s="81" t="s">
        <v>2187</v>
      </c>
      <c r="P305" s="81" t="s">
        <v>2187</v>
      </c>
      <c r="Q305" s="81" t="s">
        <v>43</v>
      </c>
      <c r="R305" s="81" t="s">
        <v>46</v>
      </c>
      <c r="S305" s="81" t="s">
        <v>47</v>
      </c>
      <c r="T305" s="81" t="s">
        <v>48</v>
      </c>
      <c r="U305" s="81" t="s">
        <v>48</v>
      </c>
      <c r="V305" s="81" t="s">
        <v>48</v>
      </c>
      <c r="W305" s="81" t="s">
        <v>49</v>
      </c>
      <c r="X305" s="81" t="s">
        <v>48</v>
      </c>
      <c r="Y305" s="81" t="s">
        <v>48</v>
      </c>
    </row>
    <row r="306" spans="1:25" x14ac:dyDescent="0.3">
      <c r="A306" s="16">
        <v>7501058715487</v>
      </c>
      <c r="B306" s="81" t="s">
        <v>43</v>
      </c>
      <c r="C306" s="81" t="s">
        <v>437</v>
      </c>
      <c r="D306" s="81" t="s">
        <v>45</v>
      </c>
      <c r="E306" s="81" t="s">
        <v>2388</v>
      </c>
      <c r="F306" s="81" t="s">
        <v>2798</v>
      </c>
      <c r="G306" s="81" t="s">
        <v>2799</v>
      </c>
      <c r="H306" s="81" t="s">
        <v>2552</v>
      </c>
      <c r="I306" s="81" t="s">
        <v>5776</v>
      </c>
      <c r="J306" s="81" t="s">
        <v>2186</v>
      </c>
      <c r="K306" s="81" t="s">
        <v>5776</v>
      </c>
      <c r="L306" s="81" t="s">
        <v>2392</v>
      </c>
      <c r="M306" s="81" t="s">
        <v>5776</v>
      </c>
      <c r="N306" s="81" t="s">
        <v>2231</v>
      </c>
      <c r="O306" s="81" t="s">
        <v>2187</v>
      </c>
      <c r="P306" s="81" t="s">
        <v>2187</v>
      </c>
      <c r="Q306" s="81" t="s">
        <v>43</v>
      </c>
      <c r="R306" s="81" t="s">
        <v>46</v>
      </c>
      <c r="S306" s="81" t="s">
        <v>46</v>
      </c>
      <c r="T306" s="81" t="s">
        <v>48</v>
      </c>
      <c r="U306" s="81" t="s">
        <v>48</v>
      </c>
      <c r="V306" s="81" t="s">
        <v>48</v>
      </c>
      <c r="W306" s="81" t="s">
        <v>49</v>
      </c>
      <c r="X306" s="81" t="s">
        <v>48</v>
      </c>
      <c r="Y306" s="81" t="s">
        <v>48</v>
      </c>
    </row>
    <row r="307" spans="1:25" x14ac:dyDescent="0.3">
      <c r="A307" s="16">
        <v>7502227424995</v>
      </c>
      <c r="B307" s="81" t="s">
        <v>43</v>
      </c>
      <c r="C307" s="81" t="s">
        <v>438</v>
      </c>
      <c r="D307" s="81" t="s">
        <v>45</v>
      </c>
      <c r="E307" s="81" t="s">
        <v>2801</v>
      </c>
      <c r="F307" s="81" t="s">
        <v>2802</v>
      </c>
      <c r="G307" s="81" t="s">
        <v>5322</v>
      </c>
      <c r="H307" s="81" t="s">
        <v>2243</v>
      </c>
      <c r="I307" s="81" t="s">
        <v>5777</v>
      </c>
      <c r="J307" s="81" t="s">
        <v>2186</v>
      </c>
      <c r="K307" s="81" t="s">
        <v>5777</v>
      </c>
      <c r="L307" s="81" t="s">
        <v>2392</v>
      </c>
      <c r="M307" s="81" t="s">
        <v>5777</v>
      </c>
      <c r="N307" s="81" t="s">
        <v>2231</v>
      </c>
      <c r="O307" s="81" t="s">
        <v>2187</v>
      </c>
      <c r="P307" s="81" t="s">
        <v>2187</v>
      </c>
      <c r="Q307" s="81" t="s">
        <v>43</v>
      </c>
      <c r="R307" s="81" t="s">
        <v>46</v>
      </c>
      <c r="S307" s="81" t="s">
        <v>46</v>
      </c>
      <c r="T307" s="81" t="s">
        <v>48</v>
      </c>
      <c r="U307" s="81" t="s">
        <v>48</v>
      </c>
      <c r="V307" s="81" t="s">
        <v>48</v>
      </c>
      <c r="W307" s="81" t="s">
        <v>49</v>
      </c>
      <c r="X307" s="81" t="s">
        <v>48</v>
      </c>
      <c r="Y307" s="81" t="s">
        <v>48</v>
      </c>
    </row>
    <row r="308" spans="1:25" x14ac:dyDescent="0.3">
      <c r="A308" s="16">
        <v>4104480412103</v>
      </c>
      <c r="B308" s="81" t="s">
        <v>43</v>
      </c>
      <c r="C308" s="81" t="s">
        <v>439</v>
      </c>
      <c r="D308" s="81" t="s">
        <v>45</v>
      </c>
      <c r="E308" s="81" t="s">
        <v>2262</v>
      </c>
      <c r="F308" s="81" t="s">
        <v>2263</v>
      </c>
      <c r="G308" s="81" t="s">
        <v>2803</v>
      </c>
      <c r="H308" s="81" t="s">
        <v>2804</v>
      </c>
      <c r="I308" s="81" t="s">
        <v>5778</v>
      </c>
      <c r="J308" s="81" t="s">
        <v>2186</v>
      </c>
      <c r="K308" s="81" t="s">
        <v>5778</v>
      </c>
      <c r="L308" s="81" t="s">
        <v>2392</v>
      </c>
      <c r="M308" s="81" t="s">
        <v>5778</v>
      </c>
      <c r="N308" s="81" t="s">
        <v>2231</v>
      </c>
      <c r="O308" s="81" t="s">
        <v>2187</v>
      </c>
      <c r="P308" s="81" t="s">
        <v>2187</v>
      </c>
      <c r="Q308" s="81" t="s">
        <v>43</v>
      </c>
      <c r="R308" s="81" t="s">
        <v>374</v>
      </c>
      <c r="S308" s="81" t="s">
        <v>164</v>
      </c>
      <c r="T308" s="81" t="s">
        <v>48</v>
      </c>
      <c r="U308" s="81" t="s">
        <v>48</v>
      </c>
      <c r="V308" s="81" t="s">
        <v>48</v>
      </c>
      <c r="W308" s="81" t="s">
        <v>49</v>
      </c>
      <c r="X308" s="81" t="s">
        <v>48</v>
      </c>
      <c r="Y308" s="81" t="s">
        <v>48</v>
      </c>
    </row>
    <row r="309" spans="1:25" x14ac:dyDescent="0.3">
      <c r="A309" s="16">
        <v>7501349022485</v>
      </c>
      <c r="B309" s="81" t="s">
        <v>43</v>
      </c>
      <c r="C309" s="81" t="s">
        <v>440</v>
      </c>
      <c r="D309" s="81" t="s">
        <v>45</v>
      </c>
      <c r="E309" s="81" t="s">
        <v>2233</v>
      </c>
      <c r="F309" s="81" t="s">
        <v>2477</v>
      </c>
      <c r="G309" s="81" t="s">
        <v>4413</v>
      </c>
      <c r="H309" s="81" t="s">
        <v>2181</v>
      </c>
      <c r="I309" s="81" t="s">
        <v>5779</v>
      </c>
      <c r="J309" s="81" t="s">
        <v>2186</v>
      </c>
      <c r="K309" s="81" t="s">
        <v>5779</v>
      </c>
      <c r="L309" s="81" t="s">
        <v>2392</v>
      </c>
      <c r="M309" s="81" t="s">
        <v>5779</v>
      </c>
      <c r="N309" s="81" t="s">
        <v>2231</v>
      </c>
      <c r="O309" s="81" t="s">
        <v>2187</v>
      </c>
      <c r="P309" s="81" t="s">
        <v>2187</v>
      </c>
      <c r="Q309" s="81" t="s">
        <v>43</v>
      </c>
      <c r="R309" s="81" t="s">
        <v>46</v>
      </c>
      <c r="S309" s="81" t="s">
        <v>47</v>
      </c>
      <c r="T309" s="81" t="s">
        <v>48</v>
      </c>
      <c r="U309" s="81" t="s">
        <v>48</v>
      </c>
      <c r="V309" s="81" t="s">
        <v>48</v>
      </c>
      <c r="W309" s="81" t="s">
        <v>49</v>
      </c>
      <c r="X309" s="81" t="s">
        <v>48</v>
      </c>
      <c r="Y309" s="81" t="s">
        <v>48</v>
      </c>
    </row>
    <row r="310" spans="1:25" x14ac:dyDescent="0.3">
      <c r="A310" s="16">
        <v>7501349011175</v>
      </c>
      <c r="B310" s="81" t="s">
        <v>43</v>
      </c>
      <c r="C310" s="81" t="s">
        <v>2808</v>
      </c>
      <c r="D310" s="81" t="s">
        <v>45</v>
      </c>
      <c r="E310" s="81" t="s">
        <v>2795</v>
      </c>
      <c r="F310" s="81" t="s">
        <v>2809</v>
      </c>
      <c r="G310" s="81" t="s">
        <v>4566</v>
      </c>
      <c r="H310" s="81" t="s">
        <v>2264</v>
      </c>
      <c r="I310" s="81" t="s">
        <v>5691</v>
      </c>
      <c r="J310" s="81" t="s">
        <v>2186</v>
      </c>
      <c r="K310" s="81" t="s">
        <v>5691</v>
      </c>
      <c r="L310" s="81" t="s">
        <v>2392</v>
      </c>
      <c r="M310" s="81" t="s">
        <v>5691</v>
      </c>
      <c r="N310" s="81" t="s">
        <v>2231</v>
      </c>
      <c r="O310" s="81" t="s">
        <v>2187</v>
      </c>
      <c r="P310" s="81" t="s">
        <v>2187</v>
      </c>
      <c r="Q310" s="81" t="s">
        <v>43</v>
      </c>
      <c r="R310" s="81" t="s">
        <v>51</v>
      </c>
      <c r="S310" s="81" t="s">
        <v>73</v>
      </c>
      <c r="T310" s="81" t="s">
        <v>49</v>
      </c>
      <c r="U310" s="81" t="s">
        <v>48</v>
      </c>
      <c r="V310" s="81" t="s">
        <v>48</v>
      </c>
      <c r="W310" s="81" t="s">
        <v>49</v>
      </c>
      <c r="X310" s="81" t="s">
        <v>48</v>
      </c>
      <c r="Y310" s="81" t="s">
        <v>48</v>
      </c>
    </row>
    <row r="311" spans="1:25" x14ac:dyDescent="0.3">
      <c r="A311" s="16">
        <v>7501001258023</v>
      </c>
      <c r="B311" s="81" t="s">
        <v>43</v>
      </c>
      <c r="C311" s="81" t="s">
        <v>441</v>
      </c>
      <c r="D311" s="81" t="s">
        <v>45</v>
      </c>
      <c r="E311" s="81" t="s">
        <v>2303</v>
      </c>
      <c r="F311" s="81" t="s">
        <v>2304</v>
      </c>
      <c r="G311" s="81" t="s">
        <v>4898</v>
      </c>
      <c r="H311" s="81" t="s">
        <v>3213</v>
      </c>
      <c r="I311" s="81" t="s">
        <v>5780</v>
      </c>
      <c r="J311" s="81" t="s">
        <v>2186</v>
      </c>
      <c r="K311" s="81" t="s">
        <v>5780</v>
      </c>
      <c r="L311" s="81" t="s">
        <v>2392</v>
      </c>
      <c r="M311" s="81" t="s">
        <v>5780</v>
      </c>
      <c r="N311" s="81" t="s">
        <v>2231</v>
      </c>
      <c r="O311" s="81" t="s">
        <v>2187</v>
      </c>
      <c r="P311" s="81" t="s">
        <v>2187</v>
      </c>
      <c r="Q311" s="81" t="s">
        <v>43</v>
      </c>
      <c r="R311" s="81" t="s">
        <v>203</v>
      </c>
      <c r="S311" s="81" t="s">
        <v>47</v>
      </c>
      <c r="T311" s="81" t="s">
        <v>48</v>
      </c>
      <c r="U311" s="81" t="s">
        <v>48</v>
      </c>
      <c r="V311" s="81" t="s">
        <v>48</v>
      </c>
      <c r="W311" s="81" t="s">
        <v>49</v>
      </c>
      <c r="X311" s="81" t="s">
        <v>48</v>
      </c>
      <c r="Y311" s="81" t="s">
        <v>48</v>
      </c>
    </row>
    <row r="312" spans="1:25" x14ac:dyDescent="0.3">
      <c r="A312" s="16">
        <v>7501001155209</v>
      </c>
      <c r="B312" s="81" t="s">
        <v>43</v>
      </c>
      <c r="C312" s="81" t="s">
        <v>442</v>
      </c>
      <c r="D312" s="81" t="s">
        <v>45</v>
      </c>
      <c r="E312" s="81" t="s">
        <v>2248</v>
      </c>
      <c r="F312" s="81" t="s">
        <v>2405</v>
      </c>
      <c r="G312" s="81" t="s">
        <v>5180</v>
      </c>
      <c r="H312" s="81" t="s">
        <v>2459</v>
      </c>
      <c r="I312" s="81" t="s">
        <v>5781</v>
      </c>
      <c r="J312" s="81" t="s">
        <v>2186</v>
      </c>
      <c r="K312" s="81" t="s">
        <v>5781</v>
      </c>
      <c r="L312" s="81" t="s">
        <v>2392</v>
      </c>
      <c r="M312" s="81" t="s">
        <v>5781</v>
      </c>
      <c r="N312" s="81" t="s">
        <v>2231</v>
      </c>
      <c r="O312" s="81" t="s">
        <v>2187</v>
      </c>
      <c r="P312" s="81" t="s">
        <v>2187</v>
      </c>
      <c r="Q312" s="81" t="s">
        <v>43</v>
      </c>
      <c r="R312" s="81" t="s">
        <v>203</v>
      </c>
      <c r="S312" s="81" t="s">
        <v>47</v>
      </c>
      <c r="T312" s="81" t="s">
        <v>48</v>
      </c>
      <c r="U312" s="81" t="s">
        <v>48</v>
      </c>
      <c r="V312" s="81" t="s">
        <v>48</v>
      </c>
      <c r="W312" s="81" t="s">
        <v>49</v>
      </c>
      <c r="X312" s="81" t="s">
        <v>48</v>
      </c>
      <c r="Y312" s="81" t="s">
        <v>48</v>
      </c>
    </row>
    <row r="313" spans="1:25" x14ac:dyDescent="0.3">
      <c r="A313" s="16">
        <v>20800753067</v>
      </c>
      <c r="B313" s="81" t="s">
        <v>43</v>
      </c>
      <c r="C313" s="81" t="s">
        <v>443</v>
      </c>
      <c r="D313" s="81" t="s">
        <v>45</v>
      </c>
      <c r="E313" s="81" t="s">
        <v>2227</v>
      </c>
      <c r="F313" s="81" t="s">
        <v>2227</v>
      </c>
      <c r="G313" s="81" t="s">
        <v>4832</v>
      </c>
      <c r="H313" s="81" t="s">
        <v>5241</v>
      </c>
      <c r="I313" s="81" t="s">
        <v>5782</v>
      </c>
      <c r="J313" s="81" t="s">
        <v>2186</v>
      </c>
      <c r="K313" s="81" t="s">
        <v>5782</v>
      </c>
      <c r="L313" s="81" t="s">
        <v>2392</v>
      </c>
      <c r="M313" s="81" t="s">
        <v>5782</v>
      </c>
      <c r="N313" s="81" t="s">
        <v>2231</v>
      </c>
      <c r="O313" s="81" t="s">
        <v>2187</v>
      </c>
      <c r="P313" s="81" t="s">
        <v>2187</v>
      </c>
      <c r="Q313" s="81" t="s">
        <v>43</v>
      </c>
      <c r="R313" s="81" t="s">
        <v>203</v>
      </c>
      <c r="S313" s="81" t="s">
        <v>203</v>
      </c>
      <c r="T313" s="81" t="s">
        <v>48</v>
      </c>
      <c r="U313" s="81" t="s">
        <v>48</v>
      </c>
      <c r="V313" s="81" t="s">
        <v>48</v>
      </c>
      <c r="W313" s="81" t="s">
        <v>49</v>
      </c>
      <c r="X313" s="81" t="s">
        <v>48</v>
      </c>
      <c r="Y313" s="81" t="s">
        <v>48</v>
      </c>
    </row>
    <row r="314" spans="1:25" x14ac:dyDescent="0.3">
      <c r="A314" s="16">
        <v>7501349021211</v>
      </c>
      <c r="B314" s="81" t="s">
        <v>43</v>
      </c>
      <c r="C314" s="81" t="s">
        <v>444</v>
      </c>
      <c r="D314" s="81" t="s">
        <v>45</v>
      </c>
      <c r="E314" s="81" t="s">
        <v>2303</v>
      </c>
      <c r="F314" s="81" t="s">
        <v>2233</v>
      </c>
      <c r="G314" s="81" t="s">
        <v>5783</v>
      </c>
      <c r="H314" s="81" t="s">
        <v>2202</v>
      </c>
      <c r="I314" s="81" t="s">
        <v>5784</v>
      </c>
      <c r="J314" s="81" t="s">
        <v>2186</v>
      </c>
      <c r="K314" s="81" t="s">
        <v>5784</v>
      </c>
      <c r="L314" s="81" t="s">
        <v>2392</v>
      </c>
      <c r="M314" s="81" t="s">
        <v>5784</v>
      </c>
      <c r="N314" s="81" t="s">
        <v>2231</v>
      </c>
      <c r="O314" s="81" t="s">
        <v>2187</v>
      </c>
      <c r="P314" s="81" t="s">
        <v>2187</v>
      </c>
      <c r="Q314" s="81" t="s">
        <v>43</v>
      </c>
      <c r="R314" s="81" t="s">
        <v>46</v>
      </c>
      <c r="S314" s="81" t="s">
        <v>47</v>
      </c>
      <c r="T314" s="81" t="s">
        <v>48</v>
      </c>
      <c r="U314" s="81" t="s">
        <v>48</v>
      </c>
      <c r="V314" s="81" t="s">
        <v>48</v>
      </c>
      <c r="W314" s="81" t="s">
        <v>49</v>
      </c>
      <c r="X314" s="81" t="s">
        <v>48</v>
      </c>
      <c r="Y314" s="81" t="s">
        <v>48</v>
      </c>
    </row>
    <row r="315" spans="1:25" x14ac:dyDescent="0.3">
      <c r="A315" s="16">
        <v>780083140595</v>
      </c>
      <c r="B315" s="81" t="s">
        <v>43</v>
      </c>
      <c r="C315" s="81" t="s">
        <v>2812</v>
      </c>
      <c r="D315" s="81" t="s">
        <v>45</v>
      </c>
      <c r="E315" s="81" t="s">
        <v>2722</v>
      </c>
      <c r="F315" s="81" t="s">
        <v>2813</v>
      </c>
      <c r="G315" s="81" t="s">
        <v>4852</v>
      </c>
      <c r="H315" s="81" t="s">
        <v>2503</v>
      </c>
      <c r="I315" s="81" t="s">
        <v>5785</v>
      </c>
      <c r="J315" s="81" t="s">
        <v>2186</v>
      </c>
      <c r="K315" s="81" t="s">
        <v>5785</v>
      </c>
      <c r="L315" s="81" t="s">
        <v>2392</v>
      </c>
      <c r="M315" s="81" t="s">
        <v>5785</v>
      </c>
      <c r="N315" s="81" t="s">
        <v>2231</v>
      </c>
      <c r="O315" s="81" t="s">
        <v>2187</v>
      </c>
      <c r="P315" s="81" t="s">
        <v>2187</v>
      </c>
      <c r="Q315" s="81" t="s">
        <v>43</v>
      </c>
      <c r="R315" s="81" t="s">
        <v>46</v>
      </c>
      <c r="S315" s="81" t="s">
        <v>46</v>
      </c>
      <c r="T315" s="81" t="s">
        <v>48</v>
      </c>
      <c r="U315" s="81" t="s">
        <v>48</v>
      </c>
      <c r="V315" s="81" t="s">
        <v>48</v>
      </c>
      <c r="W315" s="81" t="s">
        <v>49</v>
      </c>
      <c r="X315" s="81" t="s">
        <v>48</v>
      </c>
      <c r="Y315" s="81" t="s">
        <v>48</v>
      </c>
    </row>
    <row r="316" spans="1:25" x14ac:dyDescent="0.3">
      <c r="A316" s="16">
        <v>7501349028364</v>
      </c>
      <c r="B316" s="81" t="s">
        <v>43</v>
      </c>
      <c r="C316" s="81" t="s">
        <v>445</v>
      </c>
      <c r="D316" s="81" t="s">
        <v>45</v>
      </c>
      <c r="E316" s="81" t="s">
        <v>2741</v>
      </c>
      <c r="F316" s="81" t="s">
        <v>2742</v>
      </c>
      <c r="G316" s="81" t="s">
        <v>5095</v>
      </c>
      <c r="H316" s="81" t="s">
        <v>2287</v>
      </c>
      <c r="I316" s="81" t="s">
        <v>5786</v>
      </c>
      <c r="J316" s="81" t="s">
        <v>2186</v>
      </c>
      <c r="K316" s="81" t="s">
        <v>5786</v>
      </c>
      <c r="L316" s="81" t="s">
        <v>2392</v>
      </c>
      <c r="M316" s="81" t="s">
        <v>5786</v>
      </c>
      <c r="N316" s="81" t="s">
        <v>2231</v>
      </c>
      <c r="O316" s="81" t="s">
        <v>2187</v>
      </c>
      <c r="P316" s="81" t="s">
        <v>2187</v>
      </c>
      <c r="Q316" s="81" t="s">
        <v>43</v>
      </c>
      <c r="R316" s="81" t="s">
        <v>46</v>
      </c>
      <c r="S316" s="81" t="s">
        <v>47</v>
      </c>
      <c r="T316" s="81" t="s">
        <v>48</v>
      </c>
      <c r="U316" s="81" t="s">
        <v>48</v>
      </c>
      <c r="V316" s="81" t="s">
        <v>48</v>
      </c>
      <c r="W316" s="81" t="s">
        <v>49</v>
      </c>
      <c r="X316" s="81" t="s">
        <v>48</v>
      </c>
      <c r="Y316" s="81" t="s">
        <v>48</v>
      </c>
    </row>
    <row r="317" spans="1:25" x14ac:dyDescent="0.3">
      <c r="A317" s="16">
        <v>7501249605634</v>
      </c>
      <c r="B317" s="81" t="s">
        <v>43</v>
      </c>
      <c r="C317" s="81" t="s">
        <v>446</v>
      </c>
      <c r="D317" s="81" t="s">
        <v>45</v>
      </c>
      <c r="E317" s="81" t="s">
        <v>2814</v>
      </c>
      <c r="F317" s="81" t="s">
        <v>2815</v>
      </c>
      <c r="G317" s="81" t="s">
        <v>4743</v>
      </c>
      <c r="H317" s="81" t="s">
        <v>2506</v>
      </c>
      <c r="I317" s="81" t="s">
        <v>5787</v>
      </c>
      <c r="J317" s="81" t="s">
        <v>2186</v>
      </c>
      <c r="K317" s="81" t="s">
        <v>5787</v>
      </c>
      <c r="L317" s="81" t="s">
        <v>2392</v>
      </c>
      <c r="M317" s="81" t="s">
        <v>5787</v>
      </c>
      <c r="N317" s="81" t="s">
        <v>2231</v>
      </c>
      <c r="O317" s="81" t="s">
        <v>2187</v>
      </c>
      <c r="P317" s="81" t="s">
        <v>2187</v>
      </c>
      <c r="Q317" s="81" t="s">
        <v>43</v>
      </c>
      <c r="R317" s="81" t="s">
        <v>46</v>
      </c>
      <c r="S317" s="81" t="s">
        <v>46</v>
      </c>
      <c r="T317" s="81" t="s">
        <v>48</v>
      </c>
      <c r="U317" s="81" t="s">
        <v>48</v>
      </c>
      <c r="V317" s="81" t="s">
        <v>48</v>
      </c>
      <c r="W317" s="81" t="s">
        <v>49</v>
      </c>
      <c r="X317" s="81" t="s">
        <v>48</v>
      </c>
      <c r="Y317" s="81" t="s">
        <v>48</v>
      </c>
    </row>
    <row r="318" spans="1:25" x14ac:dyDescent="0.3">
      <c r="A318" s="16">
        <v>7501836009746</v>
      </c>
      <c r="B318" s="81" t="s">
        <v>43</v>
      </c>
      <c r="C318" s="81" t="s">
        <v>2115</v>
      </c>
      <c r="D318" s="81" t="s">
        <v>45</v>
      </c>
      <c r="E318" s="81" t="s">
        <v>2257</v>
      </c>
      <c r="F318" s="81" t="s">
        <v>2323</v>
      </c>
      <c r="G318" s="81" t="s">
        <v>4960</v>
      </c>
      <c r="H318" s="81" t="s">
        <v>2278</v>
      </c>
      <c r="I318" s="81" t="s">
        <v>5788</v>
      </c>
      <c r="J318" s="81" t="s">
        <v>2186</v>
      </c>
      <c r="K318" s="81" t="s">
        <v>5788</v>
      </c>
      <c r="L318" s="81" t="s">
        <v>2392</v>
      </c>
      <c r="M318" s="81" t="s">
        <v>5788</v>
      </c>
      <c r="N318" s="81" t="s">
        <v>2231</v>
      </c>
      <c r="O318" s="81" t="s">
        <v>2187</v>
      </c>
      <c r="P318" s="81" t="s">
        <v>2187</v>
      </c>
      <c r="Q318" s="81" t="s">
        <v>43</v>
      </c>
      <c r="R318" s="81" t="s">
        <v>46</v>
      </c>
      <c r="S318" s="81" t="s">
        <v>47</v>
      </c>
      <c r="T318" s="81" t="s">
        <v>48</v>
      </c>
      <c r="U318" s="81" t="s">
        <v>48</v>
      </c>
      <c r="V318" s="81" t="s">
        <v>48</v>
      </c>
      <c r="W318" s="81" t="s">
        <v>49</v>
      </c>
      <c r="X318" s="81" t="s">
        <v>48</v>
      </c>
      <c r="Y318" s="81" t="s">
        <v>48</v>
      </c>
    </row>
    <row r="319" spans="1:25" x14ac:dyDescent="0.3">
      <c r="A319" s="16">
        <v>7503008344501</v>
      </c>
      <c r="B319" s="81" t="s">
        <v>43</v>
      </c>
      <c r="C319" s="81" t="s">
        <v>447</v>
      </c>
      <c r="D319" s="81" t="s">
        <v>45</v>
      </c>
      <c r="E319" s="81" t="s">
        <v>2333</v>
      </c>
      <c r="F319" s="81" t="s">
        <v>2334</v>
      </c>
      <c r="G319" s="81" t="s">
        <v>5015</v>
      </c>
      <c r="H319" s="81" t="s">
        <v>5789</v>
      </c>
      <c r="I319" s="81" t="s">
        <v>5790</v>
      </c>
      <c r="J319" s="81" t="s">
        <v>2186</v>
      </c>
      <c r="K319" s="81" t="s">
        <v>5790</v>
      </c>
      <c r="L319" s="81" t="s">
        <v>2392</v>
      </c>
      <c r="M319" s="81" t="s">
        <v>5790</v>
      </c>
      <c r="N319" s="81" t="s">
        <v>2231</v>
      </c>
      <c r="O319" s="81" t="s">
        <v>2187</v>
      </c>
      <c r="P319" s="81" t="s">
        <v>2187</v>
      </c>
      <c r="Q319" s="81" t="s">
        <v>43</v>
      </c>
      <c r="R319" s="81" t="s">
        <v>101</v>
      </c>
      <c r="S319" s="81" t="s">
        <v>101</v>
      </c>
      <c r="T319" s="81" t="s">
        <v>48</v>
      </c>
      <c r="U319" s="81" t="s">
        <v>48</v>
      </c>
      <c r="V319" s="81" t="s">
        <v>49</v>
      </c>
      <c r="W319" s="81" t="s">
        <v>48</v>
      </c>
      <c r="X319" s="81" t="s">
        <v>48</v>
      </c>
      <c r="Y319" s="81" t="s">
        <v>48</v>
      </c>
    </row>
    <row r="320" spans="1:25" x14ac:dyDescent="0.3">
      <c r="A320" s="16">
        <v>7502213042059</v>
      </c>
      <c r="B320" s="81" t="s">
        <v>43</v>
      </c>
      <c r="C320" s="81" t="s">
        <v>2116</v>
      </c>
      <c r="D320" s="81" t="s">
        <v>45</v>
      </c>
      <c r="E320" s="81" t="s">
        <v>2780</v>
      </c>
      <c r="F320" s="81" t="s">
        <v>2678</v>
      </c>
      <c r="G320" s="81" t="s">
        <v>2781</v>
      </c>
      <c r="H320" s="81" t="s">
        <v>2243</v>
      </c>
      <c r="I320" s="81" t="s">
        <v>5662</v>
      </c>
      <c r="J320" s="81" t="s">
        <v>2186</v>
      </c>
      <c r="K320" s="81" t="s">
        <v>5662</v>
      </c>
      <c r="L320" s="81" t="s">
        <v>2392</v>
      </c>
      <c r="M320" s="81" t="s">
        <v>5662</v>
      </c>
      <c r="N320" s="81" t="s">
        <v>2231</v>
      </c>
      <c r="O320" s="81" t="s">
        <v>2187</v>
      </c>
      <c r="P320" s="81" t="s">
        <v>2187</v>
      </c>
      <c r="Q320" s="81" t="s">
        <v>43</v>
      </c>
      <c r="R320" s="81" t="s">
        <v>51</v>
      </c>
      <c r="S320" s="81" t="s">
        <v>47</v>
      </c>
      <c r="T320" s="81" t="s">
        <v>49</v>
      </c>
      <c r="U320" s="81" t="s">
        <v>48</v>
      </c>
      <c r="V320" s="81" t="s">
        <v>48</v>
      </c>
      <c r="W320" s="81" t="s">
        <v>49</v>
      </c>
      <c r="X320" s="81" t="s">
        <v>48</v>
      </c>
      <c r="Y320" s="81" t="s">
        <v>48</v>
      </c>
    </row>
    <row r="321" spans="1:25" x14ac:dyDescent="0.3">
      <c r="A321" s="16">
        <v>7502240450711</v>
      </c>
      <c r="B321" s="81" t="s">
        <v>43</v>
      </c>
      <c r="C321" s="81" t="s">
        <v>448</v>
      </c>
      <c r="D321" s="81" t="s">
        <v>45</v>
      </c>
      <c r="E321" s="81" t="s">
        <v>2678</v>
      </c>
      <c r="F321" s="81" t="s">
        <v>2731</v>
      </c>
      <c r="G321" s="81" t="s">
        <v>5016</v>
      </c>
      <c r="H321" s="81" t="s">
        <v>2220</v>
      </c>
      <c r="I321" s="81" t="s">
        <v>5659</v>
      </c>
      <c r="J321" s="81" t="s">
        <v>2186</v>
      </c>
      <c r="K321" s="81" t="s">
        <v>5659</v>
      </c>
      <c r="L321" s="81" t="s">
        <v>2392</v>
      </c>
      <c r="M321" s="81" t="s">
        <v>5659</v>
      </c>
      <c r="N321" s="81" t="s">
        <v>2231</v>
      </c>
      <c r="O321" s="81" t="s">
        <v>2187</v>
      </c>
      <c r="P321" s="81" t="s">
        <v>2187</v>
      </c>
      <c r="Q321" s="81" t="s">
        <v>43</v>
      </c>
      <c r="R321" s="81" t="s">
        <v>46</v>
      </c>
      <c r="S321" s="81" t="s">
        <v>47</v>
      </c>
      <c r="T321" s="81" t="s">
        <v>48</v>
      </c>
      <c r="U321" s="81" t="s">
        <v>48</v>
      </c>
      <c r="V321" s="81" t="s">
        <v>48</v>
      </c>
      <c r="W321" s="81" t="s">
        <v>49</v>
      </c>
      <c r="X321" s="81" t="s">
        <v>48</v>
      </c>
      <c r="Y321" s="81" t="s">
        <v>48</v>
      </c>
    </row>
    <row r="322" spans="1:25" x14ac:dyDescent="0.3">
      <c r="A322" s="16">
        <v>7502240450070</v>
      </c>
      <c r="B322" s="81" t="s">
        <v>43</v>
      </c>
      <c r="C322" s="81" t="s">
        <v>449</v>
      </c>
      <c r="D322" s="81" t="s">
        <v>45</v>
      </c>
      <c r="E322" s="81" t="s">
        <v>2562</v>
      </c>
      <c r="F322" s="81" t="s">
        <v>2819</v>
      </c>
      <c r="G322" s="81" t="s">
        <v>2186</v>
      </c>
      <c r="H322" s="81" t="s">
        <v>2202</v>
      </c>
      <c r="I322" s="81" t="s">
        <v>5648</v>
      </c>
      <c r="J322" s="81" t="s">
        <v>2186</v>
      </c>
      <c r="K322" s="81" t="s">
        <v>5648</v>
      </c>
      <c r="L322" s="81" t="s">
        <v>2392</v>
      </c>
      <c r="M322" s="81" t="s">
        <v>5648</v>
      </c>
      <c r="N322" s="81" t="s">
        <v>2231</v>
      </c>
      <c r="O322" s="81" t="s">
        <v>2187</v>
      </c>
      <c r="P322" s="81" t="s">
        <v>2187</v>
      </c>
      <c r="Q322" s="81" t="s">
        <v>43</v>
      </c>
      <c r="R322" s="81" t="s">
        <v>46</v>
      </c>
      <c r="S322" s="81" t="s">
        <v>47</v>
      </c>
      <c r="T322" s="81" t="s">
        <v>48</v>
      </c>
      <c r="U322" s="81" t="s">
        <v>48</v>
      </c>
      <c r="V322" s="81" t="s">
        <v>48</v>
      </c>
      <c r="W322" s="81" t="s">
        <v>49</v>
      </c>
      <c r="X322" s="81" t="s">
        <v>48</v>
      </c>
      <c r="Y322" s="81" t="s">
        <v>48</v>
      </c>
    </row>
    <row r="323" spans="1:25" x14ac:dyDescent="0.3">
      <c r="A323" s="16">
        <v>650240011139</v>
      </c>
      <c r="B323" s="81" t="s">
        <v>43</v>
      </c>
      <c r="C323" s="81" t="s">
        <v>450</v>
      </c>
      <c r="D323" s="81" t="s">
        <v>45</v>
      </c>
      <c r="E323" s="81" t="s">
        <v>2704</v>
      </c>
      <c r="F323" s="81" t="s">
        <v>2465</v>
      </c>
      <c r="G323" s="81" t="s">
        <v>2524</v>
      </c>
      <c r="H323" s="81" t="s">
        <v>2820</v>
      </c>
      <c r="I323" s="81" t="s">
        <v>5791</v>
      </c>
      <c r="J323" s="81" t="s">
        <v>2186</v>
      </c>
      <c r="K323" s="81" t="s">
        <v>5791</v>
      </c>
      <c r="L323" s="81" t="s">
        <v>2392</v>
      </c>
      <c r="M323" s="81" t="s">
        <v>5791</v>
      </c>
      <c r="N323" s="81" t="s">
        <v>2231</v>
      </c>
      <c r="O323" s="81" t="s">
        <v>2187</v>
      </c>
      <c r="P323" s="81" t="s">
        <v>2187</v>
      </c>
      <c r="Q323" s="81" t="s">
        <v>43</v>
      </c>
      <c r="R323" s="81" t="s">
        <v>203</v>
      </c>
      <c r="S323" s="81" t="s">
        <v>47</v>
      </c>
      <c r="T323" s="81" t="s">
        <v>48</v>
      </c>
      <c r="U323" s="81" t="s">
        <v>48</v>
      </c>
      <c r="V323" s="81" t="s">
        <v>48</v>
      </c>
      <c r="W323" s="81" t="s">
        <v>49</v>
      </c>
      <c r="X323" s="81" t="s">
        <v>48</v>
      </c>
      <c r="Y323" s="81" t="s">
        <v>48</v>
      </c>
    </row>
    <row r="324" spans="1:25" x14ac:dyDescent="0.3">
      <c r="A324" s="16">
        <v>7501109761388</v>
      </c>
      <c r="B324" s="81" t="s">
        <v>43</v>
      </c>
      <c r="C324" s="81" t="s">
        <v>451</v>
      </c>
      <c r="D324" s="81" t="s">
        <v>45</v>
      </c>
      <c r="E324" s="81" t="s">
        <v>2613</v>
      </c>
      <c r="F324" s="81" t="s">
        <v>2587</v>
      </c>
      <c r="G324" s="81" t="s">
        <v>5242</v>
      </c>
      <c r="H324" s="81" t="s">
        <v>2325</v>
      </c>
      <c r="I324" s="81" t="s">
        <v>5792</v>
      </c>
      <c r="J324" s="81" t="s">
        <v>2186</v>
      </c>
      <c r="K324" s="81" t="s">
        <v>5792</v>
      </c>
      <c r="L324" s="81" t="s">
        <v>2392</v>
      </c>
      <c r="M324" s="81" t="s">
        <v>5792</v>
      </c>
      <c r="N324" s="81" t="s">
        <v>2231</v>
      </c>
      <c r="O324" s="81" t="s">
        <v>2187</v>
      </c>
      <c r="P324" s="81" t="s">
        <v>2187</v>
      </c>
      <c r="Q324" s="81" t="s">
        <v>43</v>
      </c>
      <c r="R324" s="81" t="s">
        <v>46</v>
      </c>
      <c r="S324" s="81" t="s">
        <v>47</v>
      </c>
      <c r="T324" s="81" t="s">
        <v>48</v>
      </c>
      <c r="U324" s="81" t="s">
        <v>48</v>
      </c>
      <c r="V324" s="81" t="s">
        <v>48</v>
      </c>
      <c r="W324" s="81" t="s">
        <v>49</v>
      </c>
      <c r="X324" s="81" t="s">
        <v>48</v>
      </c>
      <c r="Y324" s="81" t="s">
        <v>48</v>
      </c>
    </row>
    <row r="325" spans="1:25" x14ac:dyDescent="0.3">
      <c r="A325" s="16">
        <v>7501573900443</v>
      </c>
      <c r="B325" s="81" t="s">
        <v>43</v>
      </c>
      <c r="C325" s="81" t="s">
        <v>452</v>
      </c>
      <c r="D325" s="81" t="s">
        <v>45</v>
      </c>
      <c r="E325" s="81" t="s">
        <v>2821</v>
      </c>
      <c r="F325" s="81" t="s">
        <v>2822</v>
      </c>
      <c r="G325" s="81" t="s">
        <v>5146</v>
      </c>
      <c r="H325" s="81" t="s">
        <v>2183</v>
      </c>
      <c r="I325" s="81" t="s">
        <v>5147</v>
      </c>
      <c r="J325" s="81" t="s">
        <v>2186</v>
      </c>
      <c r="K325" s="81" t="s">
        <v>5147</v>
      </c>
      <c r="L325" s="81" t="s">
        <v>2392</v>
      </c>
      <c r="M325" s="81" t="s">
        <v>5147</v>
      </c>
      <c r="N325" s="81" t="s">
        <v>2231</v>
      </c>
      <c r="O325" s="81" t="s">
        <v>2187</v>
      </c>
      <c r="P325" s="81" t="s">
        <v>2187</v>
      </c>
      <c r="Q325" s="81" t="s">
        <v>43</v>
      </c>
      <c r="R325" s="81" t="s">
        <v>46</v>
      </c>
      <c r="S325" s="81" t="s">
        <v>47</v>
      </c>
      <c r="T325" s="81" t="s">
        <v>48</v>
      </c>
      <c r="U325" s="81" t="s">
        <v>48</v>
      </c>
      <c r="V325" s="81" t="s">
        <v>48</v>
      </c>
      <c r="W325" s="81" t="s">
        <v>49</v>
      </c>
      <c r="X325" s="81" t="s">
        <v>48</v>
      </c>
      <c r="Y325" s="81" t="s">
        <v>48</v>
      </c>
    </row>
    <row r="326" spans="1:25" x14ac:dyDescent="0.3">
      <c r="A326" s="16">
        <v>7501573900269</v>
      </c>
      <c r="B326" s="81" t="s">
        <v>43</v>
      </c>
      <c r="C326" s="81" t="s">
        <v>453</v>
      </c>
      <c r="D326" s="81" t="s">
        <v>45</v>
      </c>
      <c r="E326" s="81" t="s">
        <v>2825</v>
      </c>
      <c r="F326" s="81" t="s">
        <v>2826</v>
      </c>
      <c r="G326" s="81" t="s">
        <v>3517</v>
      </c>
      <c r="H326" s="81" t="s">
        <v>2237</v>
      </c>
      <c r="I326" s="81" t="s">
        <v>2302</v>
      </c>
      <c r="J326" s="81" t="s">
        <v>2186</v>
      </c>
      <c r="K326" s="81" t="s">
        <v>2827</v>
      </c>
      <c r="L326" s="81" t="s">
        <v>2392</v>
      </c>
      <c r="M326" s="81" t="s">
        <v>2382</v>
      </c>
      <c r="N326" s="81" t="s">
        <v>2231</v>
      </c>
      <c r="O326" s="81" t="s">
        <v>2187</v>
      </c>
      <c r="P326" s="81" t="s">
        <v>2187</v>
      </c>
      <c r="Q326" s="81" t="s">
        <v>43</v>
      </c>
      <c r="R326" s="81" t="s">
        <v>46</v>
      </c>
      <c r="S326" s="81" t="s">
        <v>47</v>
      </c>
      <c r="T326" s="81" t="s">
        <v>48</v>
      </c>
      <c r="U326" s="81" t="s">
        <v>48</v>
      </c>
      <c r="V326" s="81" t="s">
        <v>48</v>
      </c>
      <c r="W326" s="81" t="s">
        <v>49</v>
      </c>
      <c r="X326" s="81" t="s">
        <v>48</v>
      </c>
      <c r="Y326" s="81" t="s">
        <v>48</v>
      </c>
    </row>
    <row r="327" spans="1:25" x14ac:dyDescent="0.3">
      <c r="A327" s="16">
        <v>7502227871416</v>
      </c>
      <c r="B327" s="81" t="s">
        <v>43</v>
      </c>
      <c r="C327" s="81" t="s">
        <v>454</v>
      </c>
      <c r="D327" s="81" t="s">
        <v>45</v>
      </c>
      <c r="E327" s="81" t="s">
        <v>2433</v>
      </c>
      <c r="F327" s="81" t="s">
        <v>2288</v>
      </c>
      <c r="G327" s="81" t="s">
        <v>5389</v>
      </c>
      <c r="H327" s="81" t="s">
        <v>5793</v>
      </c>
      <c r="I327" s="81" t="s">
        <v>5794</v>
      </c>
      <c r="J327" s="81" t="s">
        <v>2186</v>
      </c>
      <c r="K327" s="81" t="s">
        <v>5794</v>
      </c>
      <c r="L327" s="81" t="s">
        <v>2392</v>
      </c>
      <c r="M327" s="81" t="s">
        <v>5794</v>
      </c>
      <c r="N327" s="81" t="s">
        <v>2231</v>
      </c>
      <c r="O327" s="81" t="s">
        <v>2187</v>
      </c>
      <c r="P327" s="81" t="s">
        <v>2187</v>
      </c>
      <c r="Q327" s="81" t="s">
        <v>43</v>
      </c>
      <c r="R327" s="81" t="s">
        <v>46</v>
      </c>
      <c r="S327" s="81" t="s">
        <v>47</v>
      </c>
      <c r="T327" s="81" t="s">
        <v>48</v>
      </c>
      <c r="U327" s="81" t="s">
        <v>48</v>
      </c>
      <c r="V327" s="81" t="s">
        <v>48</v>
      </c>
      <c r="W327" s="81" t="s">
        <v>49</v>
      </c>
      <c r="X327" s="81" t="s">
        <v>48</v>
      </c>
      <c r="Y327" s="81" t="s">
        <v>48</v>
      </c>
    </row>
    <row r="328" spans="1:25" x14ac:dyDescent="0.3">
      <c r="A328" s="16">
        <v>7502235760139</v>
      </c>
      <c r="B328" s="81" t="s">
        <v>43</v>
      </c>
      <c r="C328" s="81" t="s">
        <v>455</v>
      </c>
      <c r="D328" s="81" t="s">
        <v>45</v>
      </c>
      <c r="E328" s="81" t="s">
        <v>2262</v>
      </c>
      <c r="F328" s="81" t="s">
        <v>2521</v>
      </c>
      <c r="G328" s="81" t="s">
        <v>2828</v>
      </c>
      <c r="H328" s="81" t="s">
        <v>2829</v>
      </c>
      <c r="I328" s="81" t="s">
        <v>5795</v>
      </c>
      <c r="J328" s="81" t="s">
        <v>2186</v>
      </c>
      <c r="K328" s="81" t="s">
        <v>5795</v>
      </c>
      <c r="L328" s="81" t="s">
        <v>2392</v>
      </c>
      <c r="M328" s="81" t="s">
        <v>5795</v>
      </c>
      <c r="N328" s="81" t="s">
        <v>2231</v>
      </c>
      <c r="O328" s="81" t="s">
        <v>2187</v>
      </c>
      <c r="P328" s="81" t="s">
        <v>2187</v>
      </c>
      <c r="Q328" s="81" t="s">
        <v>43</v>
      </c>
      <c r="R328" s="81" t="s">
        <v>203</v>
      </c>
      <c r="S328" s="81" t="s">
        <v>203</v>
      </c>
      <c r="T328" s="81" t="s">
        <v>48</v>
      </c>
      <c r="U328" s="81" t="s">
        <v>48</v>
      </c>
      <c r="V328" s="81" t="s">
        <v>49</v>
      </c>
      <c r="W328" s="81" t="s">
        <v>48</v>
      </c>
      <c r="X328" s="81" t="s">
        <v>48</v>
      </c>
      <c r="Y328" s="81" t="s">
        <v>48</v>
      </c>
    </row>
    <row r="329" spans="1:25" x14ac:dyDescent="0.3">
      <c r="A329" s="16">
        <v>714908100228</v>
      </c>
      <c r="B329" s="81" t="s">
        <v>43</v>
      </c>
      <c r="C329" s="81" t="s">
        <v>456</v>
      </c>
      <c r="D329" s="81" t="s">
        <v>45</v>
      </c>
      <c r="E329" s="81" t="s">
        <v>2780</v>
      </c>
      <c r="F329" s="81" t="s">
        <v>2678</v>
      </c>
      <c r="G329" s="81" t="s">
        <v>5796</v>
      </c>
      <c r="H329" s="81" t="s">
        <v>2426</v>
      </c>
      <c r="I329" s="81" t="s">
        <v>2693</v>
      </c>
      <c r="J329" s="81" t="s">
        <v>2186</v>
      </c>
      <c r="K329" s="81" t="s">
        <v>2693</v>
      </c>
      <c r="L329" s="81" t="s">
        <v>2392</v>
      </c>
      <c r="M329" s="81" t="s">
        <v>2693</v>
      </c>
      <c r="N329" s="81" t="s">
        <v>2231</v>
      </c>
      <c r="O329" s="81" t="s">
        <v>2187</v>
      </c>
      <c r="P329" s="81" t="s">
        <v>2187</v>
      </c>
      <c r="Q329" s="81" t="s">
        <v>43</v>
      </c>
      <c r="R329" s="81" t="s">
        <v>46</v>
      </c>
      <c r="S329" s="81" t="s">
        <v>47</v>
      </c>
      <c r="T329" s="81" t="s">
        <v>48</v>
      </c>
      <c r="U329" s="81" t="s">
        <v>48</v>
      </c>
      <c r="V329" s="81" t="s">
        <v>48</v>
      </c>
      <c r="W329" s="81" t="s">
        <v>49</v>
      </c>
      <c r="X329" s="81" t="s">
        <v>48</v>
      </c>
      <c r="Y329" s="81" t="s">
        <v>48</v>
      </c>
    </row>
    <row r="330" spans="1:25" x14ac:dyDescent="0.3">
      <c r="A330" s="16">
        <v>75006440</v>
      </c>
      <c r="B330" s="81" t="s">
        <v>43</v>
      </c>
      <c r="C330" s="81" t="s">
        <v>2117</v>
      </c>
      <c r="D330" s="81" t="s">
        <v>45</v>
      </c>
      <c r="E330" s="81" t="s">
        <v>2222</v>
      </c>
      <c r="F330" s="81" t="s">
        <v>2830</v>
      </c>
      <c r="G330" s="81" t="s">
        <v>4361</v>
      </c>
      <c r="H330" s="81" t="s">
        <v>2252</v>
      </c>
      <c r="I330" s="81" t="s">
        <v>5545</v>
      </c>
      <c r="J330" s="81" t="s">
        <v>2186</v>
      </c>
      <c r="K330" s="81" t="s">
        <v>5545</v>
      </c>
      <c r="L330" s="81" t="s">
        <v>2392</v>
      </c>
      <c r="M330" s="81" t="s">
        <v>5545</v>
      </c>
      <c r="N330" s="81" t="s">
        <v>2231</v>
      </c>
      <c r="O330" s="81" t="s">
        <v>2187</v>
      </c>
      <c r="P330" s="81" t="s">
        <v>2187</v>
      </c>
      <c r="Q330" s="81" t="s">
        <v>43</v>
      </c>
      <c r="R330" s="81" t="s">
        <v>46</v>
      </c>
      <c r="S330" s="81" t="s">
        <v>46</v>
      </c>
      <c r="T330" s="81" t="s">
        <v>48</v>
      </c>
      <c r="U330" s="81" t="s">
        <v>48</v>
      </c>
      <c r="V330" s="81" t="s">
        <v>48</v>
      </c>
      <c r="W330" s="81" t="s">
        <v>49</v>
      </c>
      <c r="X330" s="81" t="s">
        <v>48</v>
      </c>
      <c r="Y330" s="81" t="s">
        <v>48</v>
      </c>
    </row>
    <row r="331" spans="1:25" x14ac:dyDescent="0.3">
      <c r="A331" s="16">
        <v>7503003738404</v>
      </c>
      <c r="B331" s="81" t="s">
        <v>43</v>
      </c>
      <c r="C331" s="81" t="s">
        <v>1805</v>
      </c>
      <c r="D331" s="81" t="s">
        <v>45</v>
      </c>
      <c r="E331" s="81" t="s">
        <v>2831</v>
      </c>
      <c r="F331" s="81" t="s">
        <v>2832</v>
      </c>
      <c r="G331" s="81" t="s">
        <v>4996</v>
      </c>
      <c r="H331" s="81" t="s">
        <v>2287</v>
      </c>
      <c r="I331" s="81" t="s">
        <v>5575</v>
      </c>
      <c r="J331" s="81" t="s">
        <v>2186</v>
      </c>
      <c r="K331" s="81" t="s">
        <v>5575</v>
      </c>
      <c r="L331" s="81" t="s">
        <v>2392</v>
      </c>
      <c r="M331" s="81" t="s">
        <v>5575</v>
      </c>
      <c r="N331" s="81" t="s">
        <v>2231</v>
      </c>
      <c r="O331" s="81" t="s">
        <v>2187</v>
      </c>
      <c r="P331" s="81" t="s">
        <v>2187</v>
      </c>
      <c r="Q331" s="81" t="s">
        <v>43</v>
      </c>
      <c r="R331" s="81" t="s">
        <v>46</v>
      </c>
      <c r="S331" s="81" t="s">
        <v>46</v>
      </c>
      <c r="T331" s="81" t="s">
        <v>48</v>
      </c>
      <c r="U331" s="81" t="s">
        <v>48</v>
      </c>
      <c r="V331" s="81" t="s">
        <v>48</v>
      </c>
      <c r="W331" s="81" t="s">
        <v>49</v>
      </c>
      <c r="X331" s="81" t="s">
        <v>48</v>
      </c>
      <c r="Y331" s="81" t="s">
        <v>48</v>
      </c>
    </row>
    <row r="332" spans="1:25" x14ac:dyDescent="0.3">
      <c r="A332" s="16">
        <v>7502240450230</v>
      </c>
      <c r="B332" s="81" t="s">
        <v>43</v>
      </c>
      <c r="C332" s="81" t="s">
        <v>1806</v>
      </c>
      <c r="D332" s="81" t="s">
        <v>45</v>
      </c>
      <c r="E332" s="81" t="s">
        <v>2833</v>
      </c>
      <c r="F332" s="81" t="s">
        <v>2834</v>
      </c>
      <c r="G332" s="81" t="s">
        <v>4794</v>
      </c>
      <c r="H332" s="81" t="s">
        <v>2259</v>
      </c>
      <c r="I332" s="81" t="s">
        <v>5751</v>
      </c>
      <c r="J332" s="81" t="s">
        <v>2186</v>
      </c>
      <c r="K332" s="81" t="s">
        <v>5751</v>
      </c>
      <c r="L332" s="81" t="s">
        <v>2392</v>
      </c>
      <c r="M332" s="81" t="s">
        <v>5751</v>
      </c>
      <c r="N332" s="81" t="s">
        <v>2231</v>
      </c>
      <c r="O332" s="81" t="s">
        <v>2187</v>
      </c>
      <c r="P332" s="81" t="s">
        <v>2187</v>
      </c>
      <c r="Q332" s="81" t="s">
        <v>43</v>
      </c>
      <c r="R332" s="81" t="s">
        <v>46</v>
      </c>
      <c r="S332" s="81" t="s">
        <v>46</v>
      </c>
      <c r="T332" s="81" t="s">
        <v>48</v>
      </c>
      <c r="U332" s="81" t="s">
        <v>48</v>
      </c>
      <c r="V332" s="81" t="s">
        <v>48</v>
      </c>
      <c r="W332" s="81" t="s">
        <v>49</v>
      </c>
      <c r="X332" s="81" t="s">
        <v>48</v>
      </c>
      <c r="Y332" s="81" t="s">
        <v>48</v>
      </c>
    </row>
    <row r="333" spans="1:25" x14ac:dyDescent="0.3">
      <c r="A333" s="16">
        <v>7503003738879</v>
      </c>
      <c r="B333" s="81" t="s">
        <v>43</v>
      </c>
      <c r="C333" s="81" t="s">
        <v>1807</v>
      </c>
      <c r="D333" s="81" t="s">
        <v>45</v>
      </c>
      <c r="E333" s="81" t="s">
        <v>2836</v>
      </c>
      <c r="F333" s="81" t="s">
        <v>2837</v>
      </c>
      <c r="G333" s="81" t="s">
        <v>2342</v>
      </c>
      <c r="H333" s="81" t="s">
        <v>2264</v>
      </c>
      <c r="I333" s="81" t="s">
        <v>2202</v>
      </c>
      <c r="J333" s="81" t="s">
        <v>2186</v>
      </c>
      <c r="K333" s="81" t="s">
        <v>2202</v>
      </c>
      <c r="L333" s="81" t="s">
        <v>2392</v>
      </c>
      <c r="M333" s="81" t="s">
        <v>2202</v>
      </c>
      <c r="N333" s="81" t="s">
        <v>2231</v>
      </c>
      <c r="O333" s="81" t="s">
        <v>2187</v>
      </c>
      <c r="P333" s="81" t="s">
        <v>2187</v>
      </c>
      <c r="Q333" s="81" t="s">
        <v>43</v>
      </c>
      <c r="R333" s="81" t="s">
        <v>46</v>
      </c>
      <c r="S333" s="81" t="s">
        <v>47</v>
      </c>
      <c r="T333" s="81" t="s">
        <v>48</v>
      </c>
      <c r="U333" s="81" t="s">
        <v>48</v>
      </c>
      <c r="V333" s="81" t="s">
        <v>48</v>
      </c>
      <c r="W333" s="81" t="s">
        <v>49</v>
      </c>
      <c r="X333" s="81" t="s">
        <v>48</v>
      </c>
      <c r="Y333" s="81" t="s">
        <v>48</v>
      </c>
    </row>
    <row r="334" spans="1:25" x14ac:dyDescent="0.3">
      <c r="A334" s="16">
        <v>7501075723724</v>
      </c>
      <c r="B334" s="81" t="s">
        <v>43</v>
      </c>
      <c r="C334" s="81" t="s">
        <v>1909</v>
      </c>
      <c r="D334" s="81" t="s">
        <v>45</v>
      </c>
      <c r="E334" s="81" t="s">
        <v>2597</v>
      </c>
      <c r="F334" s="81" t="s">
        <v>2784</v>
      </c>
      <c r="G334" s="81" t="s">
        <v>4398</v>
      </c>
      <c r="H334" s="81" t="s">
        <v>5797</v>
      </c>
      <c r="I334" s="81" t="s">
        <v>5798</v>
      </c>
      <c r="J334" s="81" t="s">
        <v>2186</v>
      </c>
      <c r="K334" s="81" t="s">
        <v>5798</v>
      </c>
      <c r="L334" s="81" t="s">
        <v>2392</v>
      </c>
      <c r="M334" s="81" t="s">
        <v>5798</v>
      </c>
      <c r="N334" s="81" t="s">
        <v>2231</v>
      </c>
      <c r="O334" s="81" t="s">
        <v>2187</v>
      </c>
      <c r="P334" s="81" t="s">
        <v>2187</v>
      </c>
      <c r="Q334" s="81" t="s">
        <v>43</v>
      </c>
      <c r="R334" s="81" t="s">
        <v>46</v>
      </c>
      <c r="S334" s="81" t="s">
        <v>47</v>
      </c>
      <c r="T334" s="81" t="s">
        <v>48</v>
      </c>
      <c r="U334" s="81" t="s">
        <v>48</v>
      </c>
      <c r="V334" s="81" t="s">
        <v>48</v>
      </c>
      <c r="W334" s="81" t="s">
        <v>49</v>
      </c>
      <c r="X334" s="81" t="s">
        <v>48</v>
      </c>
      <c r="Y334" s="81" t="s">
        <v>48</v>
      </c>
    </row>
    <row r="335" spans="1:25" x14ac:dyDescent="0.3">
      <c r="A335" s="16">
        <v>7501298281407</v>
      </c>
      <c r="B335" s="81" t="s">
        <v>43</v>
      </c>
      <c r="C335" s="81" t="s">
        <v>457</v>
      </c>
      <c r="D335" s="81" t="s">
        <v>45</v>
      </c>
      <c r="E335" s="81" t="s">
        <v>2298</v>
      </c>
      <c r="F335" s="81" t="s">
        <v>2620</v>
      </c>
      <c r="G335" s="81" t="s">
        <v>4520</v>
      </c>
      <c r="H335" s="81" t="s">
        <v>2736</v>
      </c>
      <c r="I335" s="81" t="s">
        <v>5799</v>
      </c>
      <c r="J335" s="81" t="s">
        <v>2186</v>
      </c>
      <c r="K335" s="81" t="s">
        <v>5799</v>
      </c>
      <c r="L335" s="81" t="s">
        <v>2392</v>
      </c>
      <c r="M335" s="81" t="s">
        <v>5799</v>
      </c>
      <c r="N335" s="81" t="s">
        <v>2231</v>
      </c>
      <c r="O335" s="81" t="s">
        <v>2187</v>
      </c>
      <c r="P335" s="81" t="s">
        <v>2187</v>
      </c>
      <c r="Q335" s="81" t="s">
        <v>43</v>
      </c>
      <c r="R335" s="81" t="s">
        <v>203</v>
      </c>
      <c r="S335" s="81" t="s">
        <v>47</v>
      </c>
      <c r="T335" s="81" t="s">
        <v>48</v>
      </c>
      <c r="U335" s="81" t="s">
        <v>48</v>
      </c>
      <c r="V335" s="81" t="s">
        <v>48</v>
      </c>
      <c r="W335" s="81" t="s">
        <v>49</v>
      </c>
      <c r="X335" s="81" t="s">
        <v>48</v>
      </c>
      <c r="Y335" s="81" t="s">
        <v>48</v>
      </c>
    </row>
    <row r="336" spans="1:25" x14ac:dyDescent="0.3">
      <c r="A336" s="16">
        <v>7503003738671</v>
      </c>
      <c r="B336" s="81" t="s">
        <v>43</v>
      </c>
      <c r="C336" s="81" t="s">
        <v>1910</v>
      </c>
      <c r="D336" s="81" t="s">
        <v>45</v>
      </c>
      <c r="E336" s="81" t="s">
        <v>2363</v>
      </c>
      <c r="F336" s="81" t="s">
        <v>2364</v>
      </c>
      <c r="G336" s="81" t="s">
        <v>4853</v>
      </c>
      <c r="H336" s="81" t="s">
        <v>2667</v>
      </c>
      <c r="I336" s="81" t="s">
        <v>5800</v>
      </c>
      <c r="J336" s="81" t="s">
        <v>2186</v>
      </c>
      <c r="K336" s="81" t="s">
        <v>5800</v>
      </c>
      <c r="L336" s="81" t="s">
        <v>2392</v>
      </c>
      <c r="M336" s="81" t="s">
        <v>5800</v>
      </c>
      <c r="N336" s="81" t="s">
        <v>2231</v>
      </c>
      <c r="O336" s="81" t="s">
        <v>2187</v>
      </c>
      <c r="P336" s="81" t="s">
        <v>2187</v>
      </c>
      <c r="Q336" s="81" t="s">
        <v>43</v>
      </c>
      <c r="R336" s="81" t="s">
        <v>46</v>
      </c>
      <c r="S336" s="81" t="s">
        <v>47</v>
      </c>
      <c r="T336" s="81" t="s">
        <v>48</v>
      </c>
      <c r="U336" s="81" t="s">
        <v>48</v>
      </c>
      <c r="V336" s="81" t="s">
        <v>48</v>
      </c>
      <c r="W336" s="81" t="s">
        <v>49</v>
      </c>
      <c r="X336" s="81" t="s">
        <v>48</v>
      </c>
      <c r="Y336" s="81" t="s">
        <v>48</v>
      </c>
    </row>
    <row r="337" spans="1:25" x14ac:dyDescent="0.3">
      <c r="A337" s="16">
        <v>7502256040067</v>
      </c>
      <c r="B337" s="81" t="s">
        <v>43</v>
      </c>
      <c r="C337" s="81" t="s">
        <v>458</v>
      </c>
      <c r="D337" s="81" t="s">
        <v>45</v>
      </c>
      <c r="E337" s="81" t="s">
        <v>2840</v>
      </c>
      <c r="F337" s="81" t="s">
        <v>2841</v>
      </c>
      <c r="G337" s="81" t="s">
        <v>2484</v>
      </c>
      <c r="H337" s="81" t="s">
        <v>2183</v>
      </c>
      <c r="I337" s="81" t="s">
        <v>5801</v>
      </c>
      <c r="J337" s="81" t="s">
        <v>2186</v>
      </c>
      <c r="K337" s="81" t="s">
        <v>5801</v>
      </c>
      <c r="L337" s="81" t="s">
        <v>2392</v>
      </c>
      <c r="M337" s="81" t="s">
        <v>5801</v>
      </c>
      <c r="N337" s="81" t="s">
        <v>2231</v>
      </c>
      <c r="O337" s="81" t="s">
        <v>2187</v>
      </c>
      <c r="P337" s="81" t="s">
        <v>2187</v>
      </c>
      <c r="Q337" s="81" t="s">
        <v>43</v>
      </c>
      <c r="R337" s="81" t="s">
        <v>46</v>
      </c>
      <c r="S337" s="81" t="s">
        <v>73</v>
      </c>
      <c r="T337" s="81" t="s">
        <v>48</v>
      </c>
      <c r="U337" s="81" t="s">
        <v>48</v>
      </c>
      <c r="V337" s="81" t="s">
        <v>48</v>
      </c>
      <c r="W337" s="81" t="s">
        <v>49</v>
      </c>
      <c r="X337" s="81" t="s">
        <v>48</v>
      </c>
      <c r="Y337" s="81" t="s">
        <v>48</v>
      </c>
    </row>
    <row r="338" spans="1:25" x14ac:dyDescent="0.3">
      <c r="A338" s="16">
        <v>7501537189747</v>
      </c>
      <c r="B338" s="81" t="s">
        <v>43</v>
      </c>
      <c r="C338" s="81" t="s">
        <v>1808</v>
      </c>
      <c r="D338" s="81" t="s">
        <v>45</v>
      </c>
      <c r="E338" s="81" t="s">
        <v>2227</v>
      </c>
      <c r="F338" s="81" t="s">
        <v>2227</v>
      </c>
      <c r="G338" s="81" t="s">
        <v>5203</v>
      </c>
      <c r="H338" s="81" t="s">
        <v>2264</v>
      </c>
      <c r="I338" s="81" t="s">
        <v>5802</v>
      </c>
      <c r="J338" s="81" t="s">
        <v>2186</v>
      </c>
      <c r="K338" s="81" t="s">
        <v>5802</v>
      </c>
      <c r="L338" s="81" t="s">
        <v>2392</v>
      </c>
      <c r="M338" s="81" t="s">
        <v>5802</v>
      </c>
      <c r="N338" s="81" t="s">
        <v>2231</v>
      </c>
      <c r="O338" s="81" t="s">
        <v>2187</v>
      </c>
      <c r="P338" s="81" t="s">
        <v>2187</v>
      </c>
      <c r="Q338" s="81" t="s">
        <v>43</v>
      </c>
      <c r="R338" s="81" t="s">
        <v>51</v>
      </c>
      <c r="S338" s="81" t="s">
        <v>81</v>
      </c>
      <c r="T338" s="81" t="s">
        <v>49</v>
      </c>
      <c r="U338" s="81" t="s">
        <v>48</v>
      </c>
      <c r="V338" s="81" t="s">
        <v>48</v>
      </c>
      <c r="W338" s="81" t="s">
        <v>49</v>
      </c>
      <c r="X338" s="81" t="s">
        <v>48</v>
      </c>
      <c r="Y338" s="81" t="s">
        <v>48</v>
      </c>
    </row>
    <row r="339" spans="1:25" x14ac:dyDescent="0.3">
      <c r="A339" s="16">
        <v>7501080912076</v>
      </c>
      <c r="B339" s="81" t="s">
        <v>43</v>
      </c>
      <c r="C339" s="81" t="s">
        <v>459</v>
      </c>
      <c r="D339" s="81" t="s">
        <v>45</v>
      </c>
      <c r="E339" s="81" t="s">
        <v>2294</v>
      </c>
      <c r="F339" s="81" t="s">
        <v>2490</v>
      </c>
      <c r="G339" s="81" t="s">
        <v>2842</v>
      </c>
      <c r="H339" s="81" t="s">
        <v>5803</v>
      </c>
      <c r="I339" s="81" t="s">
        <v>2994</v>
      </c>
      <c r="J339" s="81" t="s">
        <v>2186</v>
      </c>
      <c r="K339" s="81" t="s">
        <v>2994</v>
      </c>
      <c r="L339" s="81" t="s">
        <v>2392</v>
      </c>
      <c r="M339" s="81" t="s">
        <v>2994</v>
      </c>
      <c r="N339" s="81" t="s">
        <v>2231</v>
      </c>
      <c r="O339" s="81" t="s">
        <v>2187</v>
      </c>
      <c r="P339" s="81" t="s">
        <v>2187</v>
      </c>
      <c r="Q339" s="81" t="s">
        <v>43</v>
      </c>
      <c r="R339" s="81" t="s">
        <v>122</v>
      </c>
      <c r="S339" s="81" t="s">
        <v>123</v>
      </c>
      <c r="T339" s="81" t="s">
        <v>48</v>
      </c>
      <c r="U339" s="81" t="s">
        <v>48</v>
      </c>
      <c r="V339" s="81" t="s">
        <v>49</v>
      </c>
      <c r="W339" s="81" t="s">
        <v>48</v>
      </c>
      <c r="X339" s="81" t="s">
        <v>48</v>
      </c>
      <c r="Y339" s="81" t="s">
        <v>48</v>
      </c>
    </row>
    <row r="340" spans="1:25" x14ac:dyDescent="0.3">
      <c r="A340" s="16">
        <v>650240032264</v>
      </c>
      <c r="B340" s="81" t="s">
        <v>43</v>
      </c>
      <c r="C340" s="81" t="s">
        <v>460</v>
      </c>
      <c r="D340" s="81" t="s">
        <v>45</v>
      </c>
      <c r="E340" s="81" t="s">
        <v>2227</v>
      </c>
      <c r="F340" s="81" t="s">
        <v>2227</v>
      </c>
      <c r="G340" s="81" t="s">
        <v>4701</v>
      </c>
      <c r="H340" s="81" t="s">
        <v>4702</v>
      </c>
      <c r="I340" s="81" t="s">
        <v>4703</v>
      </c>
      <c r="J340" s="81" t="s">
        <v>2186</v>
      </c>
      <c r="K340" s="81" t="s">
        <v>4704</v>
      </c>
      <c r="L340" s="81" t="s">
        <v>2392</v>
      </c>
      <c r="M340" s="81" t="s">
        <v>4705</v>
      </c>
      <c r="N340" s="81" t="s">
        <v>2231</v>
      </c>
      <c r="O340" s="81" t="s">
        <v>2187</v>
      </c>
      <c r="P340" s="81" t="s">
        <v>2187</v>
      </c>
      <c r="Q340" s="81" t="s">
        <v>461</v>
      </c>
      <c r="R340" s="81" t="s">
        <v>462</v>
      </c>
      <c r="S340" s="81" t="s">
        <v>462</v>
      </c>
      <c r="T340" s="81" t="s">
        <v>48</v>
      </c>
      <c r="U340" s="81" t="s">
        <v>48</v>
      </c>
      <c r="V340" s="81" t="s">
        <v>49</v>
      </c>
      <c r="W340" s="81" t="s">
        <v>48</v>
      </c>
      <c r="X340" s="81" t="s">
        <v>48</v>
      </c>
      <c r="Y340" s="81" t="s">
        <v>48</v>
      </c>
    </row>
    <row r="341" spans="1:25" x14ac:dyDescent="0.3">
      <c r="A341" s="16">
        <v>650240032325</v>
      </c>
      <c r="B341" s="81" t="s">
        <v>43</v>
      </c>
      <c r="C341" s="81" t="s">
        <v>463</v>
      </c>
      <c r="D341" s="81" t="s">
        <v>45</v>
      </c>
      <c r="E341" s="81" t="s">
        <v>2227</v>
      </c>
      <c r="F341" s="81" t="s">
        <v>2227</v>
      </c>
      <c r="G341" s="81" t="s">
        <v>2186</v>
      </c>
      <c r="H341" s="81" t="s">
        <v>2843</v>
      </c>
      <c r="I341" s="81" t="s">
        <v>2844</v>
      </c>
      <c r="J341" s="81" t="s">
        <v>2186</v>
      </c>
      <c r="K341" s="81" t="s">
        <v>2845</v>
      </c>
      <c r="L341" s="81" t="s">
        <v>2392</v>
      </c>
      <c r="M341" s="81" t="s">
        <v>2846</v>
      </c>
      <c r="N341" s="81" t="s">
        <v>2231</v>
      </c>
      <c r="O341" s="81" t="s">
        <v>2187</v>
      </c>
      <c r="P341" s="81" t="s">
        <v>2187</v>
      </c>
      <c r="Q341" s="81" t="s">
        <v>43</v>
      </c>
      <c r="R341" s="81" t="s">
        <v>462</v>
      </c>
      <c r="S341" s="81" t="s">
        <v>462</v>
      </c>
      <c r="T341" s="81" t="s">
        <v>48</v>
      </c>
      <c r="U341" s="81" t="s">
        <v>48</v>
      </c>
      <c r="V341" s="81" t="s">
        <v>49</v>
      </c>
      <c r="W341" s="81" t="s">
        <v>48</v>
      </c>
      <c r="X341" s="81" t="s">
        <v>48</v>
      </c>
      <c r="Y341" s="81" t="s">
        <v>48</v>
      </c>
    </row>
    <row r="342" spans="1:25" x14ac:dyDescent="0.3">
      <c r="A342" s="16">
        <v>650240032295</v>
      </c>
      <c r="B342" s="81" t="s">
        <v>43</v>
      </c>
      <c r="C342" s="81" t="s">
        <v>464</v>
      </c>
      <c r="D342" s="81" t="s">
        <v>45</v>
      </c>
      <c r="E342" s="81" t="s">
        <v>2227</v>
      </c>
      <c r="F342" s="81" t="s">
        <v>2227</v>
      </c>
      <c r="G342" s="81" t="s">
        <v>4701</v>
      </c>
      <c r="H342" s="81" t="s">
        <v>2843</v>
      </c>
      <c r="I342" s="81" t="s">
        <v>2844</v>
      </c>
      <c r="J342" s="81" t="s">
        <v>2186</v>
      </c>
      <c r="K342" s="81" t="s">
        <v>2845</v>
      </c>
      <c r="L342" s="81" t="s">
        <v>2392</v>
      </c>
      <c r="M342" s="81" t="s">
        <v>2846</v>
      </c>
      <c r="N342" s="81" t="s">
        <v>2231</v>
      </c>
      <c r="O342" s="81" t="s">
        <v>2187</v>
      </c>
      <c r="P342" s="81" t="s">
        <v>2187</v>
      </c>
      <c r="Q342" s="81" t="s">
        <v>43</v>
      </c>
      <c r="R342" s="81" t="s">
        <v>462</v>
      </c>
      <c r="S342" s="81" t="s">
        <v>462</v>
      </c>
      <c r="T342" s="81" t="s">
        <v>48</v>
      </c>
      <c r="U342" s="81" t="s">
        <v>48</v>
      </c>
      <c r="V342" s="81" t="s">
        <v>49</v>
      </c>
      <c r="W342" s="81" t="s">
        <v>48</v>
      </c>
      <c r="X342" s="81" t="s">
        <v>48</v>
      </c>
      <c r="Y342" s="81" t="s">
        <v>48</v>
      </c>
    </row>
    <row r="343" spans="1:25" x14ac:dyDescent="0.3">
      <c r="A343" s="16">
        <v>650240032301</v>
      </c>
      <c r="B343" s="81" t="s">
        <v>43</v>
      </c>
      <c r="C343" s="81" t="s">
        <v>465</v>
      </c>
      <c r="D343" s="81" t="s">
        <v>45</v>
      </c>
      <c r="E343" s="81" t="s">
        <v>2529</v>
      </c>
      <c r="F343" s="81" t="s">
        <v>2848</v>
      </c>
      <c r="G343" s="81" t="s">
        <v>2186</v>
      </c>
      <c r="H343" s="81" t="s">
        <v>2843</v>
      </c>
      <c r="I343" s="81" t="s">
        <v>2844</v>
      </c>
      <c r="J343" s="81" t="s">
        <v>2186</v>
      </c>
      <c r="K343" s="81" t="s">
        <v>2845</v>
      </c>
      <c r="L343" s="81" t="s">
        <v>2392</v>
      </c>
      <c r="M343" s="81" t="s">
        <v>2846</v>
      </c>
      <c r="N343" s="81" t="s">
        <v>2231</v>
      </c>
      <c r="O343" s="81" t="s">
        <v>2187</v>
      </c>
      <c r="P343" s="81" t="s">
        <v>2187</v>
      </c>
      <c r="Q343" s="81" t="s">
        <v>43</v>
      </c>
      <c r="R343" s="81" t="s">
        <v>462</v>
      </c>
      <c r="S343" s="81" t="s">
        <v>462</v>
      </c>
      <c r="T343" s="81" t="s">
        <v>48</v>
      </c>
      <c r="U343" s="81" t="s">
        <v>48</v>
      </c>
      <c r="V343" s="81" t="s">
        <v>49</v>
      </c>
      <c r="W343" s="81" t="s">
        <v>48</v>
      </c>
      <c r="X343" s="81" t="s">
        <v>48</v>
      </c>
      <c r="Y343" s="81" t="s">
        <v>48</v>
      </c>
    </row>
    <row r="344" spans="1:25" x14ac:dyDescent="0.3">
      <c r="A344" s="16">
        <v>650240032271</v>
      </c>
      <c r="B344" s="81" t="s">
        <v>43</v>
      </c>
      <c r="C344" s="81" t="s">
        <v>466</v>
      </c>
      <c r="D344" s="81" t="s">
        <v>45</v>
      </c>
      <c r="E344" s="81" t="s">
        <v>2227</v>
      </c>
      <c r="F344" s="81" t="s">
        <v>2227</v>
      </c>
      <c r="G344" s="81" t="s">
        <v>2186</v>
      </c>
      <c r="H344" s="81" t="s">
        <v>2843</v>
      </c>
      <c r="I344" s="81" t="s">
        <v>2844</v>
      </c>
      <c r="J344" s="81" t="s">
        <v>2186</v>
      </c>
      <c r="K344" s="81" t="s">
        <v>2845</v>
      </c>
      <c r="L344" s="81" t="s">
        <v>2392</v>
      </c>
      <c r="M344" s="81" t="s">
        <v>2846</v>
      </c>
      <c r="N344" s="81" t="s">
        <v>2231</v>
      </c>
      <c r="O344" s="81" t="s">
        <v>2187</v>
      </c>
      <c r="P344" s="81" t="s">
        <v>2187</v>
      </c>
      <c r="Q344" s="81" t="s">
        <v>43</v>
      </c>
      <c r="R344" s="81" t="s">
        <v>462</v>
      </c>
      <c r="S344" s="81" t="s">
        <v>462</v>
      </c>
      <c r="T344" s="81" t="s">
        <v>48</v>
      </c>
      <c r="U344" s="81" t="s">
        <v>48</v>
      </c>
      <c r="V344" s="81" t="s">
        <v>49</v>
      </c>
      <c r="W344" s="81" t="s">
        <v>48</v>
      </c>
      <c r="X344" s="81" t="s">
        <v>48</v>
      </c>
      <c r="Y344" s="81" t="s">
        <v>48</v>
      </c>
    </row>
    <row r="345" spans="1:25" x14ac:dyDescent="0.3">
      <c r="A345" s="16">
        <v>7502208891549</v>
      </c>
      <c r="B345" s="81" t="s">
        <v>43</v>
      </c>
      <c r="C345" s="81" t="s">
        <v>467</v>
      </c>
      <c r="D345" s="81" t="s">
        <v>45</v>
      </c>
      <c r="E345" s="81" t="s">
        <v>2640</v>
      </c>
      <c r="F345" s="81" t="s">
        <v>2199</v>
      </c>
      <c r="G345" s="81" t="s">
        <v>5390</v>
      </c>
      <c r="H345" s="81" t="s">
        <v>2237</v>
      </c>
      <c r="I345" s="81" t="s">
        <v>5804</v>
      </c>
      <c r="J345" s="81" t="s">
        <v>2186</v>
      </c>
      <c r="K345" s="81" t="s">
        <v>5804</v>
      </c>
      <c r="L345" s="81" t="s">
        <v>2392</v>
      </c>
      <c r="M345" s="81" t="s">
        <v>5804</v>
      </c>
      <c r="N345" s="81" t="s">
        <v>2231</v>
      </c>
      <c r="O345" s="81" t="s">
        <v>2187</v>
      </c>
      <c r="P345" s="81" t="s">
        <v>2187</v>
      </c>
      <c r="Q345" s="81" t="s">
        <v>43</v>
      </c>
      <c r="R345" s="81" t="s">
        <v>468</v>
      </c>
      <c r="S345" s="81" t="s">
        <v>47</v>
      </c>
      <c r="T345" s="81" t="s">
        <v>48</v>
      </c>
      <c r="U345" s="81" t="s">
        <v>48</v>
      </c>
      <c r="V345" s="81" t="s">
        <v>48</v>
      </c>
      <c r="W345" s="81" t="s">
        <v>49</v>
      </c>
      <c r="X345" s="81" t="s">
        <v>48</v>
      </c>
      <c r="Y345" s="81" t="s">
        <v>48</v>
      </c>
    </row>
    <row r="346" spans="1:25" x14ac:dyDescent="0.3">
      <c r="A346" s="16">
        <v>780083142308</v>
      </c>
      <c r="B346" s="81" t="s">
        <v>43</v>
      </c>
      <c r="C346" s="81" t="s">
        <v>469</v>
      </c>
      <c r="D346" s="81" t="s">
        <v>45</v>
      </c>
      <c r="E346" s="81" t="s">
        <v>2402</v>
      </c>
      <c r="F346" s="81" t="s">
        <v>2849</v>
      </c>
      <c r="G346" s="81" t="s">
        <v>4561</v>
      </c>
      <c r="H346" s="81" t="s">
        <v>2353</v>
      </c>
      <c r="I346" s="81" t="s">
        <v>2202</v>
      </c>
      <c r="J346" s="81" t="s">
        <v>2186</v>
      </c>
      <c r="K346" s="81" t="s">
        <v>2202</v>
      </c>
      <c r="L346" s="81" t="s">
        <v>2392</v>
      </c>
      <c r="M346" s="81" t="s">
        <v>2202</v>
      </c>
      <c r="N346" s="81" t="s">
        <v>2231</v>
      </c>
      <c r="O346" s="81" t="s">
        <v>2187</v>
      </c>
      <c r="P346" s="81" t="s">
        <v>2187</v>
      </c>
      <c r="Q346" s="81" t="s">
        <v>43</v>
      </c>
      <c r="R346" s="81" t="s">
        <v>46</v>
      </c>
      <c r="S346" s="81" t="s">
        <v>46</v>
      </c>
      <c r="T346" s="81" t="s">
        <v>48</v>
      </c>
      <c r="U346" s="81" t="s">
        <v>48</v>
      </c>
      <c r="V346" s="81" t="s">
        <v>48</v>
      </c>
      <c r="W346" s="81" t="s">
        <v>49</v>
      </c>
      <c r="X346" s="81" t="s">
        <v>48</v>
      </c>
      <c r="Y346" s="81" t="s">
        <v>48</v>
      </c>
    </row>
    <row r="347" spans="1:25" x14ac:dyDescent="0.3">
      <c r="A347" s="16">
        <v>4015630064076</v>
      </c>
      <c r="B347" s="81" t="s">
        <v>43</v>
      </c>
      <c r="C347" s="81" t="s">
        <v>2118</v>
      </c>
      <c r="D347" s="81" t="s">
        <v>45</v>
      </c>
      <c r="E347" s="81" t="s">
        <v>2457</v>
      </c>
      <c r="F347" s="81" t="s">
        <v>2458</v>
      </c>
      <c r="G347" s="81" t="s">
        <v>4431</v>
      </c>
      <c r="H347" s="81" t="s">
        <v>4961</v>
      </c>
      <c r="I347" s="81" t="s">
        <v>5805</v>
      </c>
      <c r="J347" s="81" t="s">
        <v>2186</v>
      </c>
      <c r="K347" s="81" t="s">
        <v>5805</v>
      </c>
      <c r="L347" s="81" t="s">
        <v>2392</v>
      </c>
      <c r="M347" s="81" t="s">
        <v>5805</v>
      </c>
      <c r="N347" s="81" t="s">
        <v>2231</v>
      </c>
      <c r="O347" s="81" t="s">
        <v>2187</v>
      </c>
      <c r="P347" s="81" t="s">
        <v>2187</v>
      </c>
      <c r="Q347" s="81" t="s">
        <v>43</v>
      </c>
      <c r="R347" s="81" t="s">
        <v>122</v>
      </c>
      <c r="S347" s="81" t="s">
        <v>123</v>
      </c>
      <c r="T347" s="81" t="s">
        <v>48</v>
      </c>
      <c r="U347" s="81" t="s">
        <v>48</v>
      </c>
      <c r="V347" s="81" t="s">
        <v>49</v>
      </c>
      <c r="W347" s="81" t="s">
        <v>48</v>
      </c>
      <c r="X347" s="81" t="s">
        <v>48</v>
      </c>
      <c r="Y347" s="81" t="s">
        <v>48</v>
      </c>
    </row>
    <row r="348" spans="1:25" x14ac:dyDescent="0.3">
      <c r="A348" s="16">
        <v>75916565</v>
      </c>
      <c r="B348" s="81" t="s">
        <v>43</v>
      </c>
      <c r="C348" s="81" t="s">
        <v>1911</v>
      </c>
      <c r="D348" s="81" t="s">
        <v>45</v>
      </c>
      <c r="E348" s="81" t="s">
        <v>2851</v>
      </c>
      <c r="F348" s="81" t="s">
        <v>2852</v>
      </c>
      <c r="G348" s="81" t="s">
        <v>5102</v>
      </c>
      <c r="H348" s="81" t="s">
        <v>5806</v>
      </c>
      <c r="I348" s="81" t="s">
        <v>5807</v>
      </c>
      <c r="J348" s="81" t="s">
        <v>2186</v>
      </c>
      <c r="K348" s="81" t="s">
        <v>5807</v>
      </c>
      <c r="L348" s="81" t="s">
        <v>2392</v>
      </c>
      <c r="M348" s="81" t="s">
        <v>5807</v>
      </c>
      <c r="N348" s="81" t="s">
        <v>2231</v>
      </c>
      <c r="O348" s="81" t="s">
        <v>2187</v>
      </c>
      <c r="P348" s="81" t="s">
        <v>2187</v>
      </c>
      <c r="Q348" s="81" t="s">
        <v>43</v>
      </c>
      <c r="R348" s="81" t="s">
        <v>203</v>
      </c>
      <c r="S348" s="81" t="s">
        <v>203</v>
      </c>
      <c r="T348" s="81" t="s">
        <v>48</v>
      </c>
      <c r="U348" s="81" t="s">
        <v>48</v>
      </c>
      <c r="V348" s="81" t="s">
        <v>48</v>
      </c>
      <c r="W348" s="81" t="s">
        <v>49</v>
      </c>
      <c r="X348" s="81" t="s">
        <v>48</v>
      </c>
      <c r="Y348" s="81" t="s">
        <v>48</v>
      </c>
    </row>
    <row r="349" spans="1:25" x14ac:dyDescent="0.3">
      <c r="A349" s="16">
        <v>7501109790739</v>
      </c>
      <c r="B349" s="81" t="s">
        <v>43</v>
      </c>
      <c r="C349" s="81" t="s">
        <v>470</v>
      </c>
      <c r="D349" s="81" t="s">
        <v>45</v>
      </c>
      <c r="E349" s="81" t="s">
        <v>2358</v>
      </c>
      <c r="F349" s="81" t="s">
        <v>2354</v>
      </c>
      <c r="G349" s="81" t="s">
        <v>5808</v>
      </c>
      <c r="H349" s="81" t="s">
        <v>2236</v>
      </c>
      <c r="I349" s="81" t="s">
        <v>5809</v>
      </c>
      <c r="J349" s="81" t="s">
        <v>2186</v>
      </c>
      <c r="K349" s="81" t="s">
        <v>5809</v>
      </c>
      <c r="L349" s="81" t="s">
        <v>2392</v>
      </c>
      <c r="M349" s="81" t="s">
        <v>5809</v>
      </c>
      <c r="N349" s="81" t="s">
        <v>2231</v>
      </c>
      <c r="O349" s="81" t="s">
        <v>2187</v>
      </c>
      <c r="P349" s="81" t="s">
        <v>2187</v>
      </c>
      <c r="Q349" s="81" t="s">
        <v>43</v>
      </c>
      <c r="R349" s="81" t="s">
        <v>46</v>
      </c>
      <c r="S349" s="81" t="s">
        <v>46</v>
      </c>
      <c r="T349" s="81" t="s">
        <v>48</v>
      </c>
      <c r="U349" s="81" t="s">
        <v>48</v>
      </c>
      <c r="V349" s="81" t="s">
        <v>48</v>
      </c>
      <c r="W349" s="81" t="s">
        <v>49</v>
      </c>
      <c r="X349" s="81" t="s">
        <v>48</v>
      </c>
      <c r="Y349" s="81" t="s">
        <v>48</v>
      </c>
    </row>
    <row r="350" spans="1:25" x14ac:dyDescent="0.3">
      <c r="A350" s="16">
        <v>7501349020993</v>
      </c>
      <c r="B350" s="81" t="s">
        <v>43</v>
      </c>
      <c r="C350" s="81" t="s">
        <v>471</v>
      </c>
      <c r="D350" s="81" t="s">
        <v>45</v>
      </c>
      <c r="E350" s="81" t="s">
        <v>2316</v>
      </c>
      <c r="F350" s="81" t="s">
        <v>2332</v>
      </c>
      <c r="G350" s="81" t="s">
        <v>4721</v>
      </c>
      <c r="H350" s="81" t="s">
        <v>2207</v>
      </c>
      <c r="I350" s="81" t="s">
        <v>5810</v>
      </c>
      <c r="J350" s="81" t="s">
        <v>2186</v>
      </c>
      <c r="K350" s="81" t="s">
        <v>5810</v>
      </c>
      <c r="L350" s="81" t="s">
        <v>2392</v>
      </c>
      <c r="M350" s="81" t="s">
        <v>5810</v>
      </c>
      <c r="N350" s="81" t="s">
        <v>2231</v>
      </c>
      <c r="O350" s="81" t="s">
        <v>2187</v>
      </c>
      <c r="P350" s="81" t="s">
        <v>2187</v>
      </c>
      <c r="Q350" s="81" t="s">
        <v>43</v>
      </c>
      <c r="R350" s="81" t="s">
        <v>46</v>
      </c>
      <c r="S350" s="81" t="s">
        <v>46</v>
      </c>
      <c r="T350" s="81" t="s">
        <v>48</v>
      </c>
      <c r="U350" s="81" t="s">
        <v>48</v>
      </c>
      <c r="V350" s="81" t="s">
        <v>48</v>
      </c>
      <c r="W350" s="81" t="s">
        <v>49</v>
      </c>
      <c r="X350" s="81" t="s">
        <v>48</v>
      </c>
      <c r="Y350" s="81" t="s">
        <v>48</v>
      </c>
    </row>
    <row r="351" spans="1:25" x14ac:dyDescent="0.3">
      <c r="A351" s="16">
        <v>7501037925579</v>
      </c>
      <c r="B351" s="81" t="s">
        <v>43</v>
      </c>
      <c r="C351" s="81" t="s">
        <v>472</v>
      </c>
      <c r="D351" s="81" t="s">
        <v>45</v>
      </c>
      <c r="E351" s="81" t="s">
        <v>2521</v>
      </c>
      <c r="F351" s="81" t="s">
        <v>2528</v>
      </c>
      <c r="G351" s="81" t="s">
        <v>4962</v>
      </c>
      <c r="H351" s="81" t="s">
        <v>2853</v>
      </c>
      <c r="I351" s="81" t="s">
        <v>5811</v>
      </c>
      <c r="J351" s="81" t="s">
        <v>2186</v>
      </c>
      <c r="K351" s="81" t="s">
        <v>5811</v>
      </c>
      <c r="L351" s="81" t="s">
        <v>2392</v>
      </c>
      <c r="M351" s="81" t="s">
        <v>5811</v>
      </c>
      <c r="N351" s="81" t="s">
        <v>2231</v>
      </c>
      <c r="O351" s="81" t="s">
        <v>2187</v>
      </c>
      <c r="P351" s="81" t="s">
        <v>2187</v>
      </c>
      <c r="Q351" s="81" t="s">
        <v>43</v>
      </c>
      <c r="R351" s="81" t="s">
        <v>374</v>
      </c>
      <c r="S351" s="81" t="s">
        <v>47</v>
      </c>
      <c r="T351" s="81" t="s">
        <v>48</v>
      </c>
      <c r="U351" s="81" t="s">
        <v>48</v>
      </c>
      <c r="V351" s="81" t="s">
        <v>48</v>
      </c>
      <c r="W351" s="81" t="s">
        <v>49</v>
      </c>
      <c r="X351" s="81" t="s">
        <v>48</v>
      </c>
      <c r="Y351" s="81" t="s">
        <v>48</v>
      </c>
    </row>
    <row r="352" spans="1:25" x14ac:dyDescent="0.3">
      <c r="A352" s="16">
        <v>7501037935189</v>
      </c>
      <c r="B352" s="81" t="s">
        <v>43</v>
      </c>
      <c r="C352" s="81" t="s">
        <v>5391</v>
      </c>
      <c r="D352" s="81" t="s">
        <v>45</v>
      </c>
      <c r="E352" s="81" t="s">
        <v>2227</v>
      </c>
      <c r="F352" s="81" t="s">
        <v>2227</v>
      </c>
      <c r="G352" s="81" t="s">
        <v>4746</v>
      </c>
      <c r="H352" s="81" t="s">
        <v>4747</v>
      </c>
      <c r="I352" s="81" t="s">
        <v>5812</v>
      </c>
      <c r="J352" s="81" t="s">
        <v>2186</v>
      </c>
      <c r="K352" s="81" t="s">
        <v>5812</v>
      </c>
      <c r="L352" s="81" t="s">
        <v>2392</v>
      </c>
      <c r="M352" s="81" t="s">
        <v>5812</v>
      </c>
      <c r="N352" s="81" t="s">
        <v>2231</v>
      </c>
      <c r="O352" s="81" t="s">
        <v>2187</v>
      </c>
      <c r="P352" s="81" t="s">
        <v>2187</v>
      </c>
      <c r="Q352" s="81" t="s">
        <v>43</v>
      </c>
      <c r="R352" s="81" t="s">
        <v>374</v>
      </c>
      <c r="S352" s="81" t="s">
        <v>47</v>
      </c>
      <c r="T352" s="81" t="s">
        <v>48</v>
      </c>
      <c r="U352" s="81" t="s">
        <v>48</v>
      </c>
      <c r="V352" s="81" t="s">
        <v>48</v>
      </c>
      <c r="W352" s="81" t="s">
        <v>49</v>
      </c>
      <c r="X352" s="81" t="s">
        <v>48</v>
      </c>
      <c r="Y352" s="81" t="s">
        <v>48</v>
      </c>
    </row>
    <row r="353" spans="1:25" x14ac:dyDescent="0.3">
      <c r="A353" s="16">
        <v>7501537182960</v>
      </c>
      <c r="B353" s="81" t="s">
        <v>43</v>
      </c>
      <c r="C353" s="81" t="s">
        <v>473</v>
      </c>
      <c r="D353" s="81" t="s">
        <v>45</v>
      </c>
      <c r="E353" s="81" t="s">
        <v>2854</v>
      </c>
      <c r="F353" s="81" t="s">
        <v>2855</v>
      </c>
      <c r="G353" s="81" t="s">
        <v>2856</v>
      </c>
      <c r="H353" s="81" t="s">
        <v>2416</v>
      </c>
      <c r="I353" s="81" t="s">
        <v>5813</v>
      </c>
      <c r="J353" s="81" t="s">
        <v>2186</v>
      </c>
      <c r="K353" s="81" t="s">
        <v>5813</v>
      </c>
      <c r="L353" s="81" t="s">
        <v>2392</v>
      </c>
      <c r="M353" s="81" t="s">
        <v>5813</v>
      </c>
      <c r="N353" s="81" t="s">
        <v>2231</v>
      </c>
      <c r="O353" s="81" t="s">
        <v>2187</v>
      </c>
      <c r="P353" s="81" t="s">
        <v>2187</v>
      </c>
      <c r="Q353" s="81" t="s">
        <v>43</v>
      </c>
      <c r="R353" s="81" t="s">
        <v>46</v>
      </c>
      <c r="S353" s="81" t="s">
        <v>73</v>
      </c>
      <c r="T353" s="81" t="s">
        <v>48</v>
      </c>
      <c r="U353" s="81" t="s">
        <v>48</v>
      </c>
      <c r="V353" s="81" t="s">
        <v>48</v>
      </c>
      <c r="W353" s="81" t="s">
        <v>49</v>
      </c>
      <c r="X353" s="81" t="s">
        <v>48</v>
      </c>
      <c r="Y353" s="81" t="s">
        <v>48</v>
      </c>
    </row>
    <row r="354" spans="1:25" x14ac:dyDescent="0.3">
      <c r="A354" s="16">
        <v>7501537164713</v>
      </c>
      <c r="B354" s="81" t="s">
        <v>43</v>
      </c>
      <c r="C354" s="81" t="s">
        <v>474</v>
      </c>
      <c r="D354" s="81" t="s">
        <v>45</v>
      </c>
      <c r="E354" s="81" t="s">
        <v>2857</v>
      </c>
      <c r="F354" s="81" t="s">
        <v>2858</v>
      </c>
      <c r="G354" s="81" t="s">
        <v>3233</v>
      </c>
      <c r="H354" s="81" t="s">
        <v>2511</v>
      </c>
      <c r="I354" s="81" t="s">
        <v>5814</v>
      </c>
      <c r="J354" s="81" t="s">
        <v>2186</v>
      </c>
      <c r="K354" s="81" t="s">
        <v>5814</v>
      </c>
      <c r="L354" s="81" t="s">
        <v>2392</v>
      </c>
      <c r="M354" s="81" t="s">
        <v>5814</v>
      </c>
      <c r="N354" s="81" t="s">
        <v>2231</v>
      </c>
      <c r="O354" s="81" t="s">
        <v>2187</v>
      </c>
      <c r="P354" s="81" t="s">
        <v>2187</v>
      </c>
      <c r="Q354" s="81" t="s">
        <v>43</v>
      </c>
      <c r="R354" s="81" t="s">
        <v>46</v>
      </c>
      <c r="S354" s="81" t="s">
        <v>46</v>
      </c>
      <c r="T354" s="81" t="s">
        <v>48</v>
      </c>
      <c r="U354" s="81" t="s">
        <v>48</v>
      </c>
      <c r="V354" s="81" t="s">
        <v>48</v>
      </c>
      <c r="W354" s="81" t="s">
        <v>49</v>
      </c>
      <c r="X354" s="81" t="s">
        <v>48</v>
      </c>
      <c r="Y354" s="81" t="s">
        <v>48</v>
      </c>
    </row>
    <row r="355" spans="1:25" x14ac:dyDescent="0.3">
      <c r="A355" s="16">
        <v>7501537163266</v>
      </c>
      <c r="B355" s="81" t="s">
        <v>43</v>
      </c>
      <c r="C355" s="81" t="s">
        <v>2119</v>
      </c>
      <c r="D355" s="81" t="s">
        <v>45</v>
      </c>
      <c r="E355" s="81" t="s">
        <v>2487</v>
      </c>
      <c r="F355" s="81" t="s">
        <v>2859</v>
      </c>
      <c r="G355" s="81" t="s">
        <v>4362</v>
      </c>
      <c r="H355" s="81" t="s">
        <v>2408</v>
      </c>
      <c r="I355" s="81" t="s">
        <v>5815</v>
      </c>
      <c r="J355" s="81" t="s">
        <v>2186</v>
      </c>
      <c r="K355" s="81" t="s">
        <v>5815</v>
      </c>
      <c r="L355" s="81" t="s">
        <v>2392</v>
      </c>
      <c r="M355" s="81" t="s">
        <v>5815</v>
      </c>
      <c r="N355" s="81" t="s">
        <v>2231</v>
      </c>
      <c r="O355" s="81" t="s">
        <v>2187</v>
      </c>
      <c r="P355" s="81" t="s">
        <v>2187</v>
      </c>
      <c r="Q355" s="81" t="s">
        <v>43</v>
      </c>
      <c r="R355" s="81" t="s">
        <v>46</v>
      </c>
      <c r="S355" s="81" t="s">
        <v>73</v>
      </c>
      <c r="T355" s="81" t="s">
        <v>48</v>
      </c>
      <c r="U355" s="81" t="s">
        <v>48</v>
      </c>
      <c r="V355" s="81" t="s">
        <v>48</v>
      </c>
      <c r="W355" s="81" t="s">
        <v>49</v>
      </c>
      <c r="X355" s="81" t="s">
        <v>48</v>
      </c>
      <c r="Y355" s="81" t="s">
        <v>48</v>
      </c>
    </row>
    <row r="356" spans="1:25" x14ac:dyDescent="0.3">
      <c r="A356" s="16">
        <v>7501298223711</v>
      </c>
      <c r="B356" s="81" t="s">
        <v>43</v>
      </c>
      <c r="C356" s="81" t="s">
        <v>2120</v>
      </c>
      <c r="D356" s="81" t="s">
        <v>45</v>
      </c>
      <c r="E356" s="81" t="s">
        <v>2358</v>
      </c>
      <c r="F356" s="81" t="s">
        <v>2557</v>
      </c>
      <c r="G356" s="81" t="s">
        <v>5103</v>
      </c>
      <c r="H356" s="81" t="s">
        <v>5816</v>
      </c>
      <c r="I356" s="81" t="s">
        <v>5243</v>
      </c>
      <c r="J356" s="81" t="s">
        <v>2186</v>
      </c>
      <c r="K356" s="81" t="s">
        <v>5243</v>
      </c>
      <c r="L356" s="81" t="s">
        <v>2392</v>
      </c>
      <c r="M356" s="81" t="s">
        <v>5243</v>
      </c>
      <c r="N356" s="81" t="s">
        <v>2231</v>
      </c>
      <c r="O356" s="81" t="s">
        <v>2187</v>
      </c>
      <c r="P356" s="81" t="s">
        <v>2187</v>
      </c>
      <c r="Q356" s="81" t="s">
        <v>43</v>
      </c>
      <c r="R356" s="81" t="s">
        <v>203</v>
      </c>
      <c r="S356" s="81" t="s">
        <v>47</v>
      </c>
      <c r="T356" s="81" t="s">
        <v>48</v>
      </c>
      <c r="U356" s="81" t="s">
        <v>48</v>
      </c>
      <c r="V356" s="81" t="s">
        <v>48</v>
      </c>
      <c r="W356" s="81" t="s">
        <v>49</v>
      </c>
      <c r="X356" s="81" t="s">
        <v>48</v>
      </c>
      <c r="Y356" s="81" t="s">
        <v>48</v>
      </c>
    </row>
    <row r="357" spans="1:25" x14ac:dyDescent="0.3">
      <c r="A357" s="16">
        <v>650240010712</v>
      </c>
      <c r="B357" s="81" t="s">
        <v>43</v>
      </c>
      <c r="C357" s="81" t="s">
        <v>475</v>
      </c>
      <c r="D357" s="81" t="s">
        <v>45</v>
      </c>
      <c r="E357" s="81" t="s">
        <v>2410</v>
      </c>
      <c r="F357" s="81" t="s">
        <v>2861</v>
      </c>
      <c r="G357" s="81" t="s">
        <v>3770</v>
      </c>
      <c r="H357" s="81" t="s">
        <v>2743</v>
      </c>
      <c r="I357" s="81" t="s">
        <v>5817</v>
      </c>
      <c r="J357" s="81" t="s">
        <v>2186</v>
      </c>
      <c r="K357" s="81" t="s">
        <v>5817</v>
      </c>
      <c r="L357" s="81" t="s">
        <v>2392</v>
      </c>
      <c r="M357" s="81" t="s">
        <v>5817</v>
      </c>
      <c r="N357" s="81" t="s">
        <v>2231</v>
      </c>
      <c r="O357" s="81" t="s">
        <v>2187</v>
      </c>
      <c r="P357" s="81" t="s">
        <v>2187</v>
      </c>
      <c r="Q357" s="81" t="s">
        <v>43</v>
      </c>
      <c r="R357" s="81" t="s">
        <v>203</v>
      </c>
      <c r="S357" s="81" t="s">
        <v>164</v>
      </c>
      <c r="T357" s="81" t="s">
        <v>48</v>
      </c>
      <c r="U357" s="81" t="s">
        <v>48</v>
      </c>
      <c r="V357" s="81" t="s">
        <v>48</v>
      </c>
      <c r="W357" s="81" t="s">
        <v>49</v>
      </c>
      <c r="X357" s="81" t="s">
        <v>48</v>
      </c>
      <c r="Y357" s="81" t="s">
        <v>48</v>
      </c>
    </row>
    <row r="358" spans="1:25" x14ac:dyDescent="0.3">
      <c r="A358" s="16">
        <v>650240011351</v>
      </c>
      <c r="B358" s="81" t="s">
        <v>43</v>
      </c>
      <c r="C358" s="81" t="s">
        <v>476</v>
      </c>
      <c r="D358" s="81" t="s">
        <v>45</v>
      </c>
      <c r="E358" s="81" t="s">
        <v>2191</v>
      </c>
      <c r="F358" s="81" t="s">
        <v>2303</v>
      </c>
      <c r="G358" s="81" t="s">
        <v>2863</v>
      </c>
      <c r="H358" s="81" t="s">
        <v>2864</v>
      </c>
      <c r="I358" s="81" t="s">
        <v>5818</v>
      </c>
      <c r="J358" s="81" t="s">
        <v>2186</v>
      </c>
      <c r="K358" s="81" t="s">
        <v>5818</v>
      </c>
      <c r="L358" s="81" t="s">
        <v>2392</v>
      </c>
      <c r="M358" s="81" t="s">
        <v>5818</v>
      </c>
      <c r="N358" s="81" t="s">
        <v>2231</v>
      </c>
      <c r="O358" s="81" t="s">
        <v>2187</v>
      </c>
      <c r="P358" s="81" t="s">
        <v>2187</v>
      </c>
      <c r="Q358" s="81" t="s">
        <v>43</v>
      </c>
      <c r="R358" s="81" t="s">
        <v>203</v>
      </c>
      <c r="S358" s="81" t="s">
        <v>203</v>
      </c>
      <c r="T358" s="81" t="s">
        <v>48</v>
      </c>
      <c r="U358" s="81" t="s">
        <v>48</v>
      </c>
      <c r="V358" s="81" t="s">
        <v>48</v>
      </c>
      <c r="W358" s="81" t="s">
        <v>49</v>
      </c>
      <c r="X358" s="81" t="s">
        <v>48</v>
      </c>
      <c r="Y358" s="81" t="s">
        <v>48</v>
      </c>
    </row>
    <row r="359" spans="1:25" x14ac:dyDescent="0.3">
      <c r="A359" s="16">
        <v>785118752477</v>
      </c>
      <c r="B359" s="81" t="s">
        <v>43</v>
      </c>
      <c r="C359" s="81" t="s">
        <v>477</v>
      </c>
      <c r="D359" s="81" t="s">
        <v>45</v>
      </c>
      <c r="E359" s="81" t="s">
        <v>2731</v>
      </c>
      <c r="F359" s="81" t="s">
        <v>2866</v>
      </c>
      <c r="G359" s="81" t="s">
        <v>4829</v>
      </c>
      <c r="H359" s="81" t="s">
        <v>2209</v>
      </c>
      <c r="I359" s="81" t="s">
        <v>5680</v>
      </c>
      <c r="J359" s="81" t="s">
        <v>2186</v>
      </c>
      <c r="K359" s="81" t="s">
        <v>5680</v>
      </c>
      <c r="L359" s="81" t="s">
        <v>2392</v>
      </c>
      <c r="M359" s="81" t="s">
        <v>5680</v>
      </c>
      <c r="N359" s="81" t="s">
        <v>2231</v>
      </c>
      <c r="O359" s="81" t="s">
        <v>2187</v>
      </c>
      <c r="P359" s="81" t="s">
        <v>2187</v>
      </c>
      <c r="Q359" s="81" t="s">
        <v>43</v>
      </c>
      <c r="R359" s="81" t="s">
        <v>46</v>
      </c>
      <c r="S359" s="81" t="s">
        <v>47</v>
      </c>
      <c r="T359" s="81" t="s">
        <v>48</v>
      </c>
      <c r="U359" s="81" t="s">
        <v>48</v>
      </c>
      <c r="V359" s="81" t="s">
        <v>48</v>
      </c>
      <c r="W359" s="81" t="s">
        <v>49</v>
      </c>
      <c r="X359" s="81" t="s">
        <v>48</v>
      </c>
      <c r="Y359" s="81" t="s">
        <v>48</v>
      </c>
    </row>
    <row r="360" spans="1:25" x14ac:dyDescent="0.3">
      <c r="A360" s="16">
        <v>6938056201093</v>
      </c>
      <c r="B360" s="81" t="s">
        <v>43</v>
      </c>
      <c r="C360" s="81" t="s">
        <v>478</v>
      </c>
      <c r="D360" s="81" t="s">
        <v>45</v>
      </c>
      <c r="E360" s="81" t="s">
        <v>2443</v>
      </c>
      <c r="F360" s="81" t="s">
        <v>2483</v>
      </c>
      <c r="G360" s="81" t="s">
        <v>5164</v>
      </c>
      <c r="H360" s="81" t="s">
        <v>2867</v>
      </c>
      <c r="I360" s="81" t="s">
        <v>5819</v>
      </c>
      <c r="J360" s="81" t="s">
        <v>2186</v>
      </c>
      <c r="K360" s="81" t="s">
        <v>5819</v>
      </c>
      <c r="L360" s="81" t="s">
        <v>2392</v>
      </c>
      <c r="M360" s="81" t="s">
        <v>5819</v>
      </c>
      <c r="N360" s="81" t="s">
        <v>2231</v>
      </c>
      <c r="O360" s="81" t="s">
        <v>2187</v>
      </c>
      <c r="P360" s="81" t="s">
        <v>2187</v>
      </c>
      <c r="Q360" s="81" t="s">
        <v>43</v>
      </c>
      <c r="R360" s="81" t="s">
        <v>122</v>
      </c>
      <c r="S360" s="81" t="s">
        <v>123</v>
      </c>
      <c r="T360" s="81" t="s">
        <v>48</v>
      </c>
      <c r="U360" s="81" t="s">
        <v>48</v>
      </c>
      <c r="V360" s="81" t="s">
        <v>49</v>
      </c>
      <c r="W360" s="81" t="s">
        <v>48</v>
      </c>
      <c r="X360" s="81" t="s">
        <v>48</v>
      </c>
      <c r="Y360" s="81" t="s">
        <v>48</v>
      </c>
    </row>
    <row r="361" spans="1:25" x14ac:dyDescent="0.3">
      <c r="A361" s="16">
        <v>75006471</v>
      </c>
      <c r="B361" s="81" t="s">
        <v>43</v>
      </c>
      <c r="C361" s="81" t="s">
        <v>479</v>
      </c>
      <c r="D361" s="81" t="s">
        <v>45</v>
      </c>
      <c r="E361" s="81" t="s">
        <v>2298</v>
      </c>
      <c r="F361" s="81" t="s">
        <v>2545</v>
      </c>
      <c r="G361" s="81" t="s">
        <v>2870</v>
      </c>
      <c r="H361" s="81" t="s">
        <v>2383</v>
      </c>
      <c r="I361" s="81" t="s">
        <v>5820</v>
      </c>
      <c r="J361" s="81" t="s">
        <v>2186</v>
      </c>
      <c r="K361" s="81" t="s">
        <v>5820</v>
      </c>
      <c r="L361" s="81" t="s">
        <v>2392</v>
      </c>
      <c r="M361" s="81" t="s">
        <v>5820</v>
      </c>
      <c r="N361" s="81" t="s">
        <v>2231</v>
      </c>
      <c r="O361" s="81" t="s">
        <v>2187</v>
      </c>
      <c r="P361" s="81" t="s">
        <v>2187</v>
      </c>
      <c r="Q361" s="81" t="s">
        <v>43</v>
      </c>
      <c r="R361" s="81" t="s">
        <v>46</v>
      </c>
      <c r="S361" s="81" t="s">
        <v>46</v>
      </c>
      <c r="T361" s="81" t="s">
        <v>48</v>
      </c>
      <c r="U361" s="81" t="s">
        <v>48</v>
      </c>
      <c r="V361" s="81" t="s">
        <v>48</v>
      </c>
      <c r="W361" s="81" t="s">
        <v>49</v>
      </c>
      <c r="X361" s="81" t="s">
        <v>48</v>
      </c>
      <c r="Y361" s="81" t="s">
        <v>48</v>
      </c>
    </row>
    <row r="362" spans="1:25" x14ac:dyDescent="0.3">
      <c r="A362" s="16">
        <v>7501001116187</v>
      </c>
      <c r="B362" s="81" t="s">
        <v>43</v>
      </c>
      <c r="C362" s="81" t="s">
        <v>1912</v>
      </c>
      <c r="D362" s="81" t="s">
        <v>45</v>
      </c>
      <c r="E362" s="81" t="s">
        <v>2221</v>
      </c>
      <c r="F362" s="81" t="s">
        <v>2656</v>
      </c>
      <c r="G362" s="81" t="s">
        <v>5821</v>
      </c>
      <c r="H362" s="81" t="s">
        <v>2981</v>
      </c>
      <c r="I362" s="81" t="s">
        <v>5725</v>
      </c>
      <c r="J362" s="81" t="s">
        <v>2186</v>
      </c>
      <c r="K362" s="81" t="s">
        <v>5725</v>
      </c>
      <c r="L362" s="81" t="s">
        <v>2392</v>
      </c>
      <c r="M362" s="81" t="s">
        <v>5725</v>
      </c>
      <c r="N362" s="81" t="s">
        <v>2231</v>
      </c>
      <c r="O362" s="81" t="s">
        <v>2187</v>
      </c>
      <c r="P362" s="81" t="s">
        <v>2187</v>
      </c>
      <c r="Q362" s="81" t="s">
        <v>43</v>
      </c>
      <c r="R362" s="81" t="s">
        <v>203</v>
      </c>
      <c r="S362" s="81" t="s">
        <v>164</v>
      </c>
      <c r="T362" s="81" t="s">
        <v>48</v>
      </c>
      <c r="U362" s="81" t="s">
        <v>48</v>
      </c>
      <c r="V362" s="81" t="s">
        <v>48</v>
      </c>
      <c r="W362" s="81" t="s">
        <v>49</v>
      </c>
      <c r="X362" s="81" t="s">
        <v>48</v>
      </c>
      <c r="Y362" s="81" t="s">
        <v>48</v>
      </c>
    </row>
    <row r="363" spans="1:25" x14ac:dyDescent="0.3">
      <c r="A363" s="16">
        <v>7590002012468</v>
      </c>
      <c r="B363" s="81" t="s">
        <v>43</v>
      </c>
      <c r="C363" s="81" t="s">
        <v>480</v>
      </c>
      <c r="D363" s="81" t="s">
        <v>45</v>
      </c>
      <c r="E363" s="81" t="s">
        <v>2308</v>
      </c>
      <c r="F363" s="81" t="s">
        <v>2221</v>
      </c>
      <c r="G363" s="81" t="s">
        <v>5191</v>
      </c>
      <c r="H363" s="81" t="s">
        <v>2552</v>
      </c>
      <c r="I363" s="81" t="s">
        <v>5800</v>
      </c>
      <c r="J363" s="81" t="s">
        <v>2186</v>
      </c>
      <c r="K363" s="81" t="s">
        <v>5800</v>
      </c>
      <c r="L363" s="81" t="s">
        <v>2392</v>
      </c>
      <c r="M363" s="81" t="s">
        <v>5800</v>
      </c>
      <c r="N363" s="81" t="s">
        <v>2231</v>
      </c>
      <c r="O363" s="81" t="s">
        <v>2187</v>
      </c>
      <c r="P363" s="81" t="s">
        <v>2187</v>
      </c>
      <c r="Q363" s="81" t="s">
        <v>43</v>
      </c>
      <c r="R363" s="81" t="s">
        <v>203</v>
      </c>
      <c r="S363" s="81" t="s">
        <v>203</v>
      </c>
      <c r="T363" s="81" t="s">
        <v>48</v>
      </c>
      <c r="U363" s="81" t="s">
        <v>48</v>
      </c>
      <c r="V363" s="81" t="s">
        <v>48</v>
      </c>
      <c r="W363" s="81" t="s">
        <v>49</v>
      </c>
      <c r="X363" s="81" t="s">
        <v>48</v>
      </c>
      <c r="Y363" s="81" t="s">
        <v>48</v>
      </c>
    </row>
    <row r="364" spans="1:25" x14ac:dyDescent="0.3">
      <c r="A364" s="16">
        <v>7502227870532</v>
      </c>
      <c r="B364" s="81" t="s">
        <v>43</v>
      </c>
      <c r="C364" s="81" t="s">
        <v>481</v>
      </c>
      <c r="D364" s="81" t="s">
        <v>45</v>
      </c>
      <c r="E364" s="81" t="s">
        <v>2490</v>
      </c>
      <c r="F364" s="81" t="s">
        <v>2491</v>
      </c>
      <c r="G364" s="81" t="s">
        <v>4899</v>
      </c>
      <c r="H364" s="81" t="s">
        <v>2183</v>
      </c>
      <c r="I364" s="81" t="s">
        <v>5566</v>
      </c>
      <c r="J364" s="81" t="s">
        <v>2186</v>
      </c>
      <c r="K364" s="81" t="s">
        <v>5566</v>
      </c>
      <c r="L364" s="81" t="s">
        <v>2392</v>
      </c>
      <c r="M364" s="81" t="s">
        <v>5566</v>
      </c>
      <c r="N364" s="81" t="s">
        <v>2231</v>
      </c>
      <c r="O364" s="81" t="s">
        <v>2187</v>
      </c>
      <c r="P364" s="81" t="s">
        <v>2187</v>
      </c>
      <c r="Q364" s="81" t="s">
        <v>43</v>
      </c>
      <c r="R364" s="81" t="s">
        <v>46</v>
      </c>
      <c r="S364" s="81" t="s">
        <v>47</v>
      </c>
      <c r="T364" s="81" t="s">
        <v>48</v>
      </c>
      <c r="U364" s="81" t="s">
        <v>48</v>
      </c>
      <c r="V364" s="81" t="s">
        <v>48</v>
      </c>
      <c r="W364" s="81" t="s">
        <v>49</v>
      </c>
      <c r="X364" s="81" t="s">
        <v>48</v>
      </c>
      <c r="Y364" s="81" t="s">
        <v>48</v>
      </c>
    </row>
    <row r="365" spans="1:25" x14ac:dyDescent="0.3">
      <c r="A365" s="16">
        <v>650240017094</v>
      </c>
      <c r="B365" s="81" t="s">
        <v>43</v>
      </c>
      <c r="C365" s="81" t="s">
        <v>1809</v>
      </c>
      <c r="D365" s="81" t="s">
        <v>45</v>
      </c>
      <c r="E365" s="81" t="s">
        <v>2873</v>
      </c>
      <c r="F365" s="81" t="s">
        <v>2874</v>
      </c>
      <c r="G365" s="81" t="s">
        <v>2452</v>
      </c>
      <c r="H365" s="81" t="s">
        <v>2230</v>
      </c>
      <c r="I365" s="81" t="s">
        <v>5822</v>
      </c>
      <c r="J365" s="81" t="s">
        <v>2186</v>
      </c>
      <c r="K365" s="81" t="s">
        <v>5822</v>
      </c>
      <c r="L365" s="81" t="s">
        <v>2392</v>
      </c>
      <c r="M365" s="81" t="s">
        <v>5822</v>
      </c>
      <c r="N365" s="81" t="s">
        <v>2231</v>
      </c>
      <c r="O365" s="81" t="s">
        <v>2187</v>
      </c>
      <c r="P365" s="81" t="s">
        <v>2187</v>
      </c>
      <c r="Q365" s="81" t="s">
        <v>43</v>
      </c>
      <c r="R365" s="81" t="s">
        <v>203</v>
      </c>
      <c r="S365" s="81" t="s">
        <v>203</v>
      </c>
      <c r="T365" s="81" t="s">
        <v>48</v>
      </c>
      <c r="U365" s="81" t="s">
        <v>48</v>
      </c>
      <c r="V365" s="81" t="s">
        <v>48</v>
      </c>
      <c r="W365" s="81" t="s">
        <v>49</v>
      </c>
      <c r="X365" s="81" t="s">
        <v>48</v>
      </c>
      <c r="Y365" s="81" t="s">
        <v>48</v>
      </c>
    </row>
    <row r="366" spans="1:25" x14ac:dyDescent="0.3">
      <c r="A366" s="16">
        <v>7503003738725</v>
      </c>
      <c r="B366" s="81" t="s">
        <v>43</v>
      </c>
      <c r="C366" s="81" t="s">
        <v>482</v>
      </c>
      <c r="D366" s="81" t="s">
        <v>45</v>
      </c>
      <c r="E366" s="81" t="s">
        <v>2363</v>
      </c>
      <c r="F366" s="81" t="s">
        <v>2364</v>
      </c>
      <c r="G366" s="81" t="s">
        <v>2811</v>
      </c>
      <c r="H366" s="81" t="s">
        <v>2269</v>
      </c>
      <c r="I366" s="81" t="s">
        <v>5823</v>
      </c>
      <c r="J366" s="81" t="s">
        <v>2186</v>
      </c>
      <c r="K366" s="81" t="s">
        <v>5823</v>
      </c>
      <c r="L366" s="81" t="s">
        <v>2392</v>
      </c>
      <c r="M366" s="81" t="s">
        <v>5823</v>
      </c>
      <c r="N366" s="81" t="s">
        <v>2231</v>
      </c>
      <c r="O366" s="81" t="s">
        <v>2187</v>
      </c>
      <c r="P366" s="81" t="s">
        <v>2187</v>
      </c>
      <c r="Q366" s="81" t="s">
        <v>43</v>
      </c>
      <c r="R366" s="81" t="s">
        <v>46</v>
      </c>
      <c r="S366" s="81" t="s">
        <v>46</v>
      </c>
      <c r="T366" s="81" t="s">
        <v>48</v>
      </c>
      <c r="U366" s="81" t="s">
        <v>48</v>
      </c>
      <c r="V366" s="81" t="s">
        <v>48</v>
      </c>
      <c r="W366" s="81" t="s">
        <v>49</v>
      </c>
      <c r="X366" s="81" t="s">
        <v>48</v>
      </c>
      <c r="Y366" s="81" t="s">
        <v>48</v>
      </c>
    </row>
    <row r="367" spans="1:25" x14ac:dyDescent="0.3">
      <c r="A367" s="16">
        <v>7502001160507</v>
      </c>
      <c r="B367" s="81" t="s">
        <v>43</v>
      </c>
      <c r="C367" s="81" t="s">
        <v>483</v>
      </c>
      <c r="D367" s="81" t="s">
        <v>45</v>
      </c>
      <c r="E367" s="81" t="s">
        <v>2545</v>
      </c>
      <c r="F367" s="81" t="s">
        <v>2248</v>
      </c>
      <c r="G367" s="81" t="s">
        <v>4412</v>
      </c>
      <c r="H367" s="81" t="s">
        <v>2503</v>
      </c>
      <c r="I367" s="81" t="s">
        <v>5824</v>
      </c>
      <c r="J367" s="81" t="s">
        <v>2186</v>
      </c>
      <c r="K367" s="81" t="s">
        <v>5824</v>
      </c>
      <c r="L367" s="81" t="s">
        <v>2392</v>
      </c>
      <c r="M367" s="81" t="s">
        <v>5824</v>
      </c>
      <c r="N367" s="81" t="s">
        <v>2231</v>
      </c>
      <c r="O367" s="81" t="s">
        <v>2187</v>
      </c>
      <c r="P367" s="81" t="s">
        <v>2187</v>
      </c>
      <c r="Q367" s="81" t="s">
        <v>43</v>
      </c>
      <c r="R367" s="81" t="s">
        <v>46</v>
      </c>
      <c r="S367" s="81" t="s">
        <v>46</v>
      </c>
      <c r="T367" s="81" t="s">
        <v>48</v>
      </c>
      <c r="U367" s="81" t="s">
        <v>48</v>
      </c>
      <c r="V367" s="81" t="s">
        <v>48</v>
      </c>
      <c r="W367" s="81" t="s">
        <v>49</v>
      </c>
      <c r="X367" s="81" t="s">
        <v>48</v>
      </c>
      <c r="Y367" s="81" t="s">
        <v>48</v>
      </c>
    </row>
    <row r="368" spans="1:25" x14ac:dyDescent="0.3">
      <c r="A368" s="16">
        <v>7502223553033</v>
      </c>
      <c r="B368" s="81" t="s">
        <v>43</v>
      </c>
      <c r="C368" s="81" t="s">
        <v>484</v>
      </c>
      <c r="D368" s="81" t="s">
        <v>45</v>
      </c>
      <c r="E368" s="81" t="s">
        <v>2211</v>
      </c>
      <c r="F368" s="81" t="s">
        <v>2686</v>
      </c>
      <c r="G368" s="81" t="s">
        <v>4950</v>
      </c>
      <c r="H368" s="81" t="s">
        <v>2535</v>
      </c>
      <c r="I368" s="81" t="s">
        <v>5695</v>
      </c>
      <c r="J368" s="81" t="s">
        <v>2186</v>
      </c>
      <c r="K368" s="81" t="s">
        <v>5695</v>
      </c>
      <c r="L368" s="81" t="s">
        <v>2392</v>
      </c>
      <c r="M368" s="81" t="s">
        <v>5695</v>
      </c>
      <c r="N368" s="81" t="s">
        <v>2231</v>
      </c>
      <c r="O368" s="81" t="s">
        <v>2187</v>
      </c>
      <c r="P368" s="81" t="s">
        <v>2187</v>
      </c>
      <c r="Q368" s="81" t="s">
        <v>43</v>
      </c>
      <c r="R368" s="81" t="s">
        <v>46</v>
      </c>
      <c r="S368" s="81" t="s">
        <v>46</v>
      </c>
      <c r="T368" s="81" t="s">
        <v>48</v>
      </c>
      <c r="U368" s="81" t="s">
        <v>48</v>
      </c>
      <c r="V368" s="81" t="s">
        <v>48</v>
      </c>
      <c r="W368" s="81" t="s">
        <v>49</v>
      </c>
      <c r="X368" s="81" t="s">
        <v>48</v>
      </c>
      <c r="Y368" s="81" t="s">
        <v>48</v>
      </c>
    </row>
    <row r="369" spans="1:25" x14ac:dyDescent="0.3">
      <c r="A369" s="16">
        <v>650240057946</v>
      </c>
      <c r="B369" s="81" t="s">
        <v>43</v>
      </c>
      <c r="C369" s="81" t="s">
        <v>485</v>
      </c>
      <c r="D369" s="81" t="s">
        <v>45</v>
      </c>
      <c r="E369" s="81" t="s">
        <v>2227</v>
      </c>
      <c r="F369" s="81" t="s">
        <v>2227</v>
      </c>
      <c r="G369" s="81" t="s">
        <v>2847</v>
      </c>
      <c r="H369" s="81" t="s">
        <v>2843</v>
      </c>
      <c r="I369" s="81" t="s">
        <v>2844</v>
      </c>
      <c r="J369" s="81" t="s">
        <v>2186</v>
      </c>
      <c r="K369" s="81" t="s">
        <v>2845</v>
      </c>
      <c r="L369" s="81" t="s">
        <v>2392</v>
      </c>
      <c r="M369" s="81" t="s">
        <v>2846</v>
      </c>
      <c r="N369" s="81" t="s">
        <v>2231</v>
      </c>
      <c r="O369" s="81" t="s">
        <v>2187</v>
      </c>
      <c r="P369" s="81" t="s">
        <v>2187</v>
      </c>
      <c r="Q369" s="81" t="s">
        <v>43</v>
      </c>
      <c r="R369" s="81" t="s">
        <v>462</v>
      </c>
      <c r="S369" s="81" t="s">
        <v>462</v>
      </c>
      <c r="T369" s="81" t="s">
        <v>48</v>
      </c>
      <c r="U369" s="81" t="s">
        <v>48</v>
      </c>
      <c r="V369" s="81" t="s">
        <v>49</v>
      </c>
      <c r="W369" s="81" t="s">
        <v>48</v>
      </c>
      <c r="X369" s="81" t="s">
        <v>48</v>
      </c>
      <c r="Y369" s="81" t="s">
        <v>48</v>
      </c>
    </row>
    <row r="370" spans="1:25" x14ac:dyDescent="0.3">
      <c r="A370" s="16">
        <v>7502001169197</v>
      </c>
      <c r="B370" s="81" t="s">
        <v>43</v>
      </c>
      <c r="C370" s="81" t="s">
        <v>486</v>
      </c>
      <c r="D370" s="81" t="s">
        <v>45</v>
      </c>
      <c r="E370" s="81" t="s">
        <v>2557</v>
      </c>
      <c r="F370" s="81" t="s">
        <v>2613</v>
      </c>
      <c r="G370" s="81" t="s">
        <v>4922</v>
      </c>
      <c r="H370" s="81" t="s">
        <v>4299</v>
      </c>
      <c r="I370" s="81" t="s">
        <v>5825</v>
      </c>
      <c r="J370" s="81" t="s">
        <v>2186</v>
      </c>
      <c r="K370" s="81" t="s">
        <v>5825</v>
      </c>
      <c r="L370" s="81" t="s">
        <v>2392</v>
      </c>
      <c r="M370" s="81" t="s">
        <v>5825</v>
      </c>
      <c r="N370" s="81" t="s">
        <v>2231</v>
      </c>
      <c r="O370" s="81" t="s">
        <v>2187</v>
      </c>
      <c r="P370" s="81" t="s">
        <v>2187</v>
      </c>
      <c r="Q370" s="81" t="s">
        <v>43</v>
      </c>
      <c r="R370" s="81" t="s">
        <v>46</v>
      </c>
      <c r="S370" s="81" t="s">
        <v>46</v>
      </c>
      <c r="T370" s="81" t="s">
        <v>48</v>
      </c>
      <c r="U370" s="81" t="s">
        <v>48</v>
      </c>
      <c r="V370" s="81" t="s">
        <v>48</v>
      </c>
      <c r="W370" s="81" t="s">
        <v>49</v>
      </c>
      <c r="X370" s="81" t="s">
        <v>48</v>
      </c>
      <c r="Y370" s="81" t="s">
        <v>48</v>
      </c>
    </row>
    <row r="371" spans="1:25" x14ac:dyDescent="0.3">
      <c r="A371" s="16">
        <v>780083148966</v>
      </c>
      <c r="B371" s="81" t="s">
        <v>43</v>
      </c>
      <c r="C371" s="81" t="s">
        <v>1913</v>
      </c>
      <c r="D371" s="81" t="s">
        <v>45</v>
      </c>
      <c r="E371" s="81" t="s">
        <v>2423</v>
      </c>
      <c r="F371" s="81" t="s">
        <v>2876</v>
      </c>
      <c r="G371" s="81" t="s">
        <v>2766</v>
      </c>
      <c r="H371" s="81" t="s">
        <v>2243</v>
      </c>
      <c r="I371" s="81" t="s">
        <v>5826</v>
      </c>
      <c r="J371" s="81" t="s">
        <v>2186</v>
      </c>
      <c r="K371" s="81" t="s">
        <v>5826</v>
      </c>
      <c r="L371" s="81" t="s">
        <v>2392</v>
      </c>
      <c r="M371" s="81" t="s">
        <v>5826</v>
      </c>
      <c r="N371" s="81" t="s">
        <v>2231</v>
      </c>
      <c r="O371" s="81" t="s">
        <v>2187</v>
      </c>
      <c r="P371" s="81" t="s">
        <v>2187</v>
      </c>
      <c r="Q371" s="81" t="s">
        <v>43</v>
      </c>
      <c r="R371" s="81" t="s">
        <v>46</v>
      </c>
      <c r="S371" s="81" t="s">
        <v>46</v>
      </c>
      <c r="T371" s="81" t="s">
        <v>48</v>
      </c>
      <c r="U371" s="81" t="s">
        <v>48</v>
      </c>
      <c r="V371" s="81" t="s">
        <v>48</v>
      </c>
      <c r="W371" s="81" t="s">
        <v>49</v>
      </c>
      <c r="X371" s="81" t="s">
        <v>48</v>
      </c>
      <c r="Y371" s="81" t="s">
        <v>48</v>
      </c>
    </row>
    <row r="372" spans="1:25" x14ac:dyDescent="0.3">
      <c r="A372" s="16">
        <v>7503001007069</v>
      </c>
      <c r="B372" s="81" t="s">
        <v>43</v>
      </c>
      <c r="C372" s="81" t="s">
        <v>487</v>
      </c>
      <c r="D372" s="81" t="s">
        <v>45</v>
      </c>
      <c r="E372" s="81" t="s">
        <v>2877</v>
      </c>
      <c r="F372" s="81" t="s">
        <v>2878</v>
      </c>
      <c r="G372" s="81" t="s">
        <v>4988</v>
      </c>
      <c r="H372" s="81" t="s">
        <v>2243</v>
      </c>
      <c r="I372" s="81" t="s">
        <v>5537</v>
      </c>
      <c r="J372" s="81" t="s">
        <v>2186</v>
      </c>
      <c r="K372" s="81" t="s">
        <v>5537</v>
      </c>
      <c r="L372" s="81" t="s">
        <v>2392</v>
      </c>
      <c r="M372" s="81" t="s">
        <v>5537</v>
      </c>
      <c r="N372" s="81" t="s">
        <v>2231</v>
      </c>
      <c r="O372" s="81" t="s">
        <v>2187</v>
      </c>
      <c r="P372" s="81" t="s">
        <v>2187</v>
      </c>
      <c r="Q372" s="81" t="s">
        <v>43</v>
      </c>
      <c r="R372" s="81" t="s">
        <v>51</v>
      </c>
      <c r="S372" s="81" t="s">
        <v>81</v>
      </c>
      <c r="T372" s="81" t="s">
        <v>49</v>
      </c>
      <c r="U372" s="81" t="s">
        <v>48</v>
      </c>
      <c r="V372" s="81" t="s">
        <v>48</v>
      </c>
      <c r="W372" s="81" t="s">
        <v>49</v>
      </c>
      <c r="X372" s="81" t="s">
        <v>48</v>
      </c>
      <c r="Y372" s="81" t="s">
        <v>48</v>
      </c>
    </row>
    <row r="373" spans="1:25" x14ac:dyDescent="0.3">
      <c r="A373" s="16">
        <v>7502006920038</v>
      </c>
      <c r="B373" s="81" t="s">
        <v>43</v>
      </c>
      <c r="C373" s="81" t="s">
        <v>2121</v>
      </c>
      <c r="D373" s="81" t="s">
        <v>45</v>
      </c>
      <c r="E373" s="81" t="s">
        <v>2656</v>
      </c>
      <c r="F373" s="81" t="s">
        <v>2879</v>
      </c>
      <c r="G373" s="81" t="s">
        <v>5374</v>
      </c>
      <c r="H373" s="81" t="s">
        <v>2243</v>
      </c>
      <c r="I373" s="81" t="s">
        <v>5554</v>
      </c>
      <c r="J373" s="81" t="s">
        <v>2186</v>
      </c>
      <c r="K373" s="81" t="s">
        <v>5554</v>
      </c>
      <c r="L373" s="81" t="s">
        <v>2392</v>
      </c>
      <c r="M373" s="81" t="s">
        <v>5554</v>
      </c>
      <c r="N373" s="81" t="s">
        <v>2231</v>
      </c>
      <c r="O373" s="81" t="s">
        <v>2187</v>
      </c>
      <c r="P373" s="81" t="s">
        <v>2187</v>
      </c>
      <c r="Q373" s="81" t="s">
        <v>43</v>
      </c>
      <c r="R373" s="81" t="s">
        <v>46</v>
      </c>
      <c r="S373" s="81" t="s">
        <v>47</v>
      </c>
      <c r="T373" s="81" t="s">
        <v>48</v>
      </c>
      <c r="U373" s="81" t="s">
        <v>48</v>
      </c>
      <c r="V373" s="81" t="s">
        <v>48</v>
      </c>
      <c r="W373" s="81" t="s">
        <v>49</v>
      </c>
      <c r="X373" s="81" t="s">
        <v>48</v>
      </c>
      <c r="Y373" s="81" t="s">
        <v>48</v>
      </c>
    </row>
    <row r="374" spans="1:25" x14ac:dyDescent="0.3">
      <c r="A374" s="16">
        <v>7501478315762</v>
      </c>
      <c r="B374" s="81" t="s">
        <v>43</v>
      </c>
      <c r="C374" s="81" t="s">
        <v>2881</v>
      </c>
      <c r="D374" s="81" t="s">
        <v>45</v>
      </c>
      <c r="E374" s="81" t="s">
        <v>2616</v>
      </c>
      <c r="F374" s="81" t="s">
        <v>2471</v>
      </c>
      <c r="G374" s="81" t="s">
        <v>3505</v>
      </c>
      <c r="H374" s="81" t="s">
        <v>2209</v>
      </c>
      <c r="I374" s="81" t="s">
        <v>5597</v>
      </c>
      <c r="J374" s="81" t="s">
        <v>2186</v>
      </c>
      <c r="K374" s="81" t="s">
        <v>5597</v>
      </c>
      <c r="L374" s="81" t="s">
        <v>2392</v>
      </c>
      <c r="M374" s="81" t="s">
        <v>5597</v>
      </c>
      <c r="N374" s="81" t="s">
        <v>2231</v>
      </c>
      <c r="O374" s="81" t="s">
        <v>2187</v>
      </c>
      <c r="P374" s="81" t="s">
        <v>2187</v>
      </c>
      <c r="Q374" s="81" t="s">
        <v>43</v>
      </c>
      <c r="R374" s="81" t="s">
        <v>101</v>
      </c>
      <c r="S374" s="81" t="s">
        <v>101</v>
      </c>
      <c r="T374" s="81" t="s">
        <v>48</v>
      </c>
      <c r="U374" s="81" t="s">
        <v>48</v>
      </c>
      <c r="V374" s="81" t="s">
        <v>48</v>
      </c>
      <c r="W374" s="81" t="s">
        <v>49</v>
      </c>
      <c r="X374" s="81" t="s">
        <v>48</v>
      </c>
      <c r="Y374" s="81" t="s">
        <v>48</v>
      </c>
    </row>
    <row r="375" spans="1:25" x14ac:dyDescent="0.3">
      <c r="A375" s="16">
        <v>780083144296</v>
      </c>
      <c r="B375" s="81" t="s">
        <v>43</v>
      </c>
      <c r="C375" s="81" t="s">
        <v>2882</v>
      </c>
      <c r="D375" s="81" t="s">
        <v>45</v>
      </c>
      <c r="E375" s="81" t="s">
        <v>2304</v>
      </c>
      <c r="F375" s="81" t="s">
        <v>2435</v>
      </c>
      <c r="G375" s="81" t="s">
        <v>4793</v>
      </c>
      <c r="H375" s="81" t="s">
        <v>2429</v>
      </c>
      <c r="I375" s="81" t="s">
        <v>5827</v>
      </c>
      <c r="J375" s="81" t="s">
        <v>2186</v>
      </c>
      <c r="K375" s="81" t="s">
        <v>5827</v>
      </c>
      <c r="L375" s="81" t="s">
        <v>2392</v>
      </c>
      <c r="M375" s="81" t="s">
        <v>5827</v>
      </c>
      <c r="N375" s="81" t="s">
        <v>2231</v>
      </c>
      <c r="O375" s="81" t="s">
        <v>2187</v>
      </c>
      <c r="P375" s="81" t="s">
        <v>2187</v>
      </c>
      <c r="Q375" s="81" t="s">
        <v>43</v>
      </c>
      <c r="R375" s="81" t="s">
        <v>46</v>
      </c>
      <c r="S375" s="81" t="s">
        <v>46</v>
      </c>
      <c r="T375" s="81" t="s">
        <v>48</v>
      </c>
      <c r="U375" s="81" t="s">
        <v>48</v>
      </c>
      <c r="V375" s="81" t="s">
        <v>48</v>
      </c>
      <c r="W375" s="81" t="s">
        <v>49</v>
      </c>
      <c r="X375" s="81" t="s">
        <v>48</v>
      </c>
      <c r="Y375" s="81" t="s">
        <v>48</v>
      </c>
    </row>
    <row r="376" spans="1:25" x14ac:dyDescent="0.3">
      <c r="A376" s="16">
        <v>7501008491966</v>
      </c>
      <c r="B376" s="81" t="s">
        <v>43</v>
      </c>
      <c r="C376" s="81" t="s">
        <v>488</v>
      </c>
      <c r="D376" s="81" t="s">
        <v>45</v>
      </c>
      <c r="E376" s="81" t="s">
        <v>2313</v>
      </c>
      <c r="F376" s="81" t="s">
        <v>2801</v>
      </c>
      <c r="G376" s="81" t="s">
        <v>5828</v>
      </c>
      <c r="H376" s="81" t="s">
        <v>2783</v>
      </c>
      <c r="I376" s="81" t="s">
        <v>5479</v>
      </c>
      <c r="J376" s="81" t="s">
        <v>2186</v>
      </c>
      <c r="K376" s="81" t="s">
        <v>5479</v>
      </c>
      <c r="L376" s="81" t="s">
        <v>2392</v>
      </c>
      <c r="M376" s="81" t="s">
        <v>5479</v>
      </c>
      <c r="N376" s="81" t="s">
        <v>2231</v>
      </c>
      <c r="O376" s="81" t="s">
        <v>2187</v>
      </c>
      <c r="P376" s="81" t="s">
        <v>2187</v>
      </c>
      <c r="Q376" s="81" t="s">
        <v>43</v>
      </c>
      <c r="R376" s="81" t="s">
        <v>203</v>
      </c>
      <c r="S376" s="81" t="s">
        <v>47</v>
      </c>
      <c r="T376" s="81" t="s">
        <v>48</v>
      </c>
      <c r="U376" s="81" t="s">
        <v>48</v>
      </c>
      <c r="V376" s="81" t="s">
        <v>48</v>
      </c>
      <c r="W376" s="81" t="s">
        <v>49</v>
      </c>
      <c r="X376" s="81" t="s">
        <v>48</v>
      </c>
      <c r="Y376" s="81" t="s">
        <v>48</v>
      </c>
    </row>
    <row r="377" spans="1:25" x14ac:dyDescent="0.3">
      <c r="A377" s="16">
        <v>7502225094275</v>
      </c>
      <c r="B377" s="81" t="s">
        <v>43</v>
      </c>
      <c r="C377" s="81" t="s">
        <v>489</v>
      </c>
      <c r="D377" s="81" t="s">
        <v>45</v>
      </c>
      <c r="E377" s="81" t="s">
        <v>2253</v>
      </c>
      <c r="F377" s="81" t="s">
        <v>2254</v>
      </c>
      <c r="G377" s="81" t="s">
        <v>5392</v>
      </c>
      <c r="H377" s="81" t="s">
        <v>2401</v>
      </c>
      <c r="I377" s="81" t="s">
        <v>2394</v>
      </c>
      <c r="J377" s="81" t="s">
        <v>2186</v>
      </c>
      <c r="K377" s="81" t="s">
        <v>2394</v>
      </c>
      <c r="L377" s="81" t="s">
        <v>2392</v>
      </c>
      <c r="M377" s="81" t="s">
        <v>2394</v>
      </c>
      <c r="N377" s="81" t="s">
        <v>2231</v>
      </c>
      <c r="O377" s="81" t="s">
        <v>2187</v>
      </c>
      <c r="P377" s="81" t="s">
        <v>2187</v>
      </c>
      <c r="Q377" s="81" t="s">
        <v>43</v>
      </c>
      <c r="R377" s="81" t="s">
        <v>46</v>
      </c>
      <c r="S377" s="81" t="s">
        <v>46</v>
      </c>
      <c r="T377" s="81" t="s">
        <v>48</v>
      </c>
      <c r="U377" s="81" t="s">
        <v>48</v>
      </c>
      <c r="V377" s="81" t="s">
        <v>48</v>
      </c>
      <c r="W377" s="81" t="s">
        <v>49</v>
      </c>
      <c r="X377" s="81" t="s">
        <v>48</v>
      </c>
      <c r="Y377" s="81" t="s">
        <v>48</v>
      </c>
    </row>
    <row r="378" spans="1:25" x14ac:dyDescent="0.3">
      <c r="A378" s="16">
        <v>7502216803817</v>
      </c>
      <c r="B378" s="81" t="s">
        <v>43</v>
      </c>
      <c r="C378" s="81" t="s">
        <v>490</v>
      </c>
      <c r="D378" s="81" t="s">
        <v>45</v>
      </c>
      <c r="E378" s="81" t="s">
        <v>2262</v>
      </c>
      <c r="F378" s="81" t="s">
        <v>2521</v>
      </c>
      <c r="G378" s="81" t="s">
        <v>5393</v>
      </c>
      <c r="H378" s="81" t="s">
        <v>2782</v>
      </c>
      <c r="I378" s="81" t="s">
        <v>5829</v>
      </c>
      <c r="J378" s="81" t="s">
        <v>2186</v>
      </c>
      <c r="K378" s="81" t="s">
        <v>5829</v>
      </c>
      <c r="L378" s="81" t="s">
        <v>2392</v>
      </c>
      <c r="M378" s="81" t="s">
        <v>5829</v>
      </c>
      <c r="N378" s="81" t="s">
        <v>2231</v>
      </c>
      <c r="O378" s="81" t="s">
        <v>2187</v>
      </c>
      <c r="P378" s="81" t="s">
        <v>2187</v>
      </c>
      <c r="Q378" s="81" t="s">
        <v>43</v>
      </c>
      <c r="R378" s="81" t="s">
        <v>46</v>
      </c>
      <c r="S378" s="81" t="s">
        <v>46</v>
      </c>
      <c r="T378" s="81" t="s">
        <v>48</v>
      </c>
      <c r="U378" s="81" t="s">
        <v>48</v>
      </c>
      <c r="V378" s="81" t="s">
        <v>48</v>
      </c>
      <c r="W378" s="81" t="s">
        <v>49</v>
      </c>
      <c r="X378" s="81" t="s">
        <v>48</v>
      </c>
      <c r="Y378" s="81" t="s">
        <v>48</v>
      </c>
    </row>
    <row r="379" spans="1:25" x14ac:dyDescent="0.3">
      <c r="A379" s="16">
        <v>7502009741487</v>
      </c>
      <c r="B379" s="81" t="s">
        <v>43</v>
      </c>
      <c r="C379" s="81" t="s">
        <v>1914</v>
      </c>
      <c r="D379" s="81" t="s">
        <v>45</v>
      </c>
      <c r="E379" s="81" t="s">
        <v>2295</v>
      </c>
      <c r="F379" s="81" t="s">
        <v>2486</v>
      </c>
      <c r="G379" s="81" t="s">
        <v>5017</v>
      </c>
      <c r="H379" s="81" t="s">
        <v>2503</v>
      </c>
      <c r="I379" s="81" t="s">
        <v>5830</v>
      </c>
      <c r="J379" s="81" t="s">
        <v>2186</v>
      </c>
      <c r="K379" s="81" t="s">
        <v>5830</v>
      </c>
      <c r="L379" s="81" t="s">
        <v>2392</v>
      </c>
      <c r="M379" s="81" t="s">
        <v>5830</v>
      </c>
      <c r="N379" s="81" t="s">
        <v>2231</v>
      </c>
      <c r="O379" s="81" t="s">
        <v>2187</v>
      </c>
      <c r="P379" s="81" t="s">
        <v>2187</v>
      </c>
      <c r="Q379" s="81" t="s">
        <v>43</v>
      </c>
      <c r="R379" s="81" t="s">
        <v>46</v>
      </c>
      <c r="S379" s="81" t="s">
        <v>47</v>
      </c>
      <c r="T379" s="81" t="s">
        <v>48</v>
      </c>
      <c r="U379" s="81" t="s">
        <v>48</v>
      </c>
      <c r="V379" s="81" t="s">
        <v>48</v>
      </c>
      <c r="W379" s="81" t="s">
        <v>49</v>
      </c>
      <c r="X379" s="81" t="s">
        <v>48</v>
      </c>
      <c r="Y379" s="81" t="s">
        <v>48</v>
      </c>
    </row>
    <row r="380" spans="1:25" x14ac:dyDescent="0.3">
      <c r="A380" s="16">
        <v>7501159580014</v>
      </c>
      <c r="B380" s="81" t="s">
        <v>43</v>
      </c>
      <c r="C380" s="81" t="s">
        <v>491</v>
      </c>
      <c r="D380" s="81" t="s">
        <v>45</v>
      </c>
      <c r="E380" s="81" t="s">
        <v>2298</v>
      </c>
      <c r="F380" s="81" t="s">
        <v>2545</v>
      </c>
      <c r="G380" s="81" t="s">
        <v>4661</v>
      </c>
      <c r="H380" s="81" t="s">
        <v>2850</v>
      </c>
      <c r="I380" s="81" t="s">
        <v>5831</v>
      </c>
      <c r="J380" s="81" t="s">
        <v>2186</v>
      </c>
      <c r="K380" s="81" t="s">
        <v>5831</v>
      </c>
      <c r="L380" s="81" t="s">
        <v>2392</v>
      </c>
      <c r="M380" s="81" t="s">
        <v>5831</v>
      </c>
      <c r="N380" s="81" t="s">
        <v>2231</v>
      </c>
      <c r="O380" s="81" t="s">
        <v>2187</v>
      </c>
      <c r="P380" s="81" t="s">
        <v>2187</v>
      </c>
      <c r="Q380" s="81" t="s">
        <v>43</v>
      </c>
      <c r="R380" s="81" t="s">
        <v>203</v>
      </c>
      <c r="S380" s="81" t="s">
        <v>203</v>
      </c>
      <c r="T380" s="81" t="s">
        <v>48</v>
      </c>
      <c r="U380" s="81" t="s">
        <v>48</v>
      </c>
      <c r="V380" s="81" t="s">
        <v>48</v>
      </c>
      <c r="W380" s="81" t="s">
        <v>49</v>
      </c>
      <c r="X380" s="81" t="s">
        <v>48</v>
      </c>
      <c r="Y380" s="81" t="s">
        <v>48</v>
      </c>
    </row>
    <row r="381" spans="1:25" x14ac:dyDescent="0.3">
      <c r="A381" s="16">
        <v>7501258204002</v>
      </c>
      <c r="B381" s="81" t="s">
        <v>43</v>
      </c>
      <c r="C381" s="81" t="s">
        <v>1915</v>
      </c>
      <c r="D381" s="81" t="s">
        <v>45</v>
      </c>
      <c r="E381" s="81" t="s">
        <v>2814</v>
      </c>
      <c r="F381" s="81" t="s">
        <v>2815</v>
      </c>
      <c r="G381" s="81" t="s">
        <v>4650</v>
      </c>
      <c r="H381" s="81" t="s">
        <v>2264</v>
      </c>
      <c r="I381" s="81" t="s">
        <v>5832</v>
      </c>
      <c r="J381" s="81" t="s">
        <v>2186</v>
      </c>
      <c r="K381" s="81" t="s">
        <v>5832</v>
      </c>
      <c r="L381" s="81" t="s">
        <v>2392</v>
      </c>
      <c r="M381" s="81" t="s">
        <v>5832</v>
      </c>
      <c r="N381" s="81" t="s">
        <v>2231</v>
      </c>
      <c r="O381" s="81" t="s">
        <v>2187</v>
      </c>
      <c r="P381" s="81" t="s">
        <v>2187</v>
      </c>
      <c r="Q381" s="81" t="s">
        <v>43</v>
      </c>
      <c r="R381" s="81" t="s">
        <v>46</v>
      </c>
      <c r="S381" s="81" t="s">
        <v>47</v>
      </c>
      <c r="T381" s="81" t="s">
        <v>48</v>
      </c>
      <c r="U381" s="81" t="s">
        <v>48</v>
      </c>
      <c r="V381" s="81" t="s">
        <v>48</v>
      </c>
      <c r="W381" s="81" t="s">
        <v>49</v>
      </c>
      <c r="X381" s="81" t="s">
        <v>48</v>
      </c>
      <c r="Y381" s="81" t="s">
        <v>48</v>
      </c>
    </row>
    <row r="382" spans="1:25" x14ac:dyDescent="0.3">
      <c r="A382" s="16">
        <v>7501326001137</v>
      </c>
      <c r="B382" s="81" t="s">
        <v>43</v>
      </c>
      <c r="C382" s="81" t="s">
        <v>492</v>
      </c>
      <c r="D382" s="81" t="s">
        <v>45</v>
      </c>
      <c r="E382" s="81" t="s">
        <v>2308</v>
      </c>
      <c r="F382" s="81" t="s">
        <v>2179</v>
      </c>
      <c r="G382" s="81" t="s">
        <v>2886</v>
      </c>
      <c r="H382" s="81" t="s">
        <v>2737</v>
      </c>
      <c r="I382" s="81" t="s">
        <v>5833</v>
      </c>
      <c r="J382" s="81" t="s">
        <v>2186</v>
      </c>
      <c r="K382" s="81" t="s">
        <v>5833</v>
      </c>
      <c r="L382" s="81" t="s">
        <v>2392</v>
      </c>
      <c r="M382" s="81" t="s">
        <v>5833</v>
      </c>
      <c r="N382" s="81" t="s">
        <v>2231</v>
      </c>
      <c r="O382" s="81" t="s">
        <v>2187</v>
      </c>
      <c r="P382" s="81" t="s">
        <v>2187</v>
      </c>
      <c r="Q382" s="81" t="s">
        <v>43</v>
      </c>
      <c r="R382" s="81" t="s">
        <v>374</v>
      </c>
      <c r="S382" s="81" t="s">
        <v>374</v>
      </c>
      <c r="T382" s="81" t="s">
        <v>48</v>
      </c>
      <c r="U382" s="81" t="s">
        <v>48</v>
      </c>
      <c r="V382" s="81" t="s">
        <v>48</v>
      </c>
      <c r="W382" s="81" t="s">
        <v>49</v>
      </c>
      <c r="X382" s="81" t="s">
        <v>48</v>
      </c>
      <c r="Y382" s="81" t="s">
        <v>48</v>
      </c>
    </row>
    <row r="383" spans="1:25" x14ac:dyDescent="0.3">
      <c r="A383" s="16">
        <v>7501825302889</v>
      </c>
      <c r="B383" s="81" t="s">
        <v>43</v>
      </c>
      <c r="C383" s="81" t="s">
        <v>2888</v>
      </c>
      <c r="D383" s="81" t="s">
        <v>45</v>
      </c>
      <c r="E383" s="81" t="s">
        <v>2227</v>
      </c>
      <c r="F383" s="81" t="s">
        <v>2227</v>
      </c>
      <c r="G383" s="81" t="s">
        <v>2889</v>
      </c>
      <c r="H383" s="81" t="s">
        <v>2190</v>
      </c>
      <c r="I383" s="81" t="s">
        <v>5834</v>
      </c>
      <c r="J383" s="81" t="s">
        <v>2186</v>
      </c>
      <c r="K383" s="81" t="s">
        <v>5834</v>
      </c>
      <c r="L383" s="81" t="s">
        <v>2392</v>
      </c>
      <c r="M383" s="81" t="s">
        <v>5834</v>
      </c>
      <c r="N383" s="81" t="s">
        <v>2231</v>
      </c>
      <c r="O383" s="81" t="s">
        <v>2187</v>
      </c>
      <c r="P383" s="81" t="s">
        <v>2187</v>
      </c>
      <c r="Q383" s="81" t="s">
        <v>43</v>
      </c>
      <c r="R383" s="81" t="s">
        <v>46</v>
      </c>
      <c r="S383" s="81" t="s">
        <v>47</v>
      </c>
      <c r="T383" s="81" t="s">
        <v>48</v>
      </c>
      <c r="U383" s="81" t="s">
        <v>48</v>
      </c>
      <c r="V383" s="81" t="s">
        <v>48</v>
      </c>
      <c r="W383" s="81" t="s">
        <v>49</v>
      </c>
      <c r="X383" s="81" t="s">
        <v>48</v>
      </c>
      <c r="Y383" s="81" t="s">
        <v>48</v>
      </c>
    </row>
    <row r="384" spans="1:25" x14ac:dyDescent="0.3">
      <c r="A384" s="16">
        <v>7502009746376</v>
      </c>
      <c r="B384" s="81" t="s">
        <v>43</v>
      </c>
      <c r="C384" s="81" t="s">
        <v>1810</v>
      </c>
      <c r="D384" s="81" t="s">
        <v>45</v>
      </c>
      <c r="E384" s="81" t="s">
        <v>2362</v>
      </c>
      <c r="F384" s="81" t="s">
        <v>2316</v>
      </c>
      <c r="G384" s="81" t="s">
        <v>4921</v>
      </c>
      <c r="H384" s="81" t="s">
        <v>2400</v>
      </c>
      <c r="I384" s="81" t="s">
        <v>5835</v>
      </c>
      <c r="J384" s="81" t="s">
        <v>2186</v>
      </c>
      <c r="K384" s="81" t="s">
        <v>5835</v>
      </c>
      <c r="L384" s="81" t="s">
        <v>2392</v>
      </c>
      <c r="M384" s="81" t="s">
        <v>5835</v>
      </c>
      <c r="N384" s="81" t="s">
        <v>2231</v>
      </c>
      <c r="O384" s="81" t="s">
        <v>2187</v>
      </c>
      <c r="P384" s="81" t="s">
        <v>2187</v>
      </c>
      <c r="Q384" s="81" t="s">
        <v>43</v>
      </c>
      <c r="R384" s="81" t="s">
        <v>46</v>
      </c>
      <c r="S384" s="81" t="s">
        <v>47</v>
      </c>
      <c r="T384" s="81" t="s">
        <v>48</v>
      </c>
      <c r="U384" s="81" t="s">
        <v>48</v>
      </c>
      <c r="V384" s="81" t="s">
        <v>48</v>
      </c>
      <c r="W384" s="81" t="s">
        <v>49</v>
      </c>
      <c r="X384" s="81" t="s">
        <v>48</v>
      </c>
      <c r="Y384" s="81" t="s">
        <v>48</v>
      </c>
    </row>
    <row r="385" spans="1:25" x14ac:dyDescent="0.3">
      <c r="A385" s="16">
        <v>7501349012172</v>
      </c>
      <c r="B385" s="81" t="s">
        <v>43</v>
      </c>
      <c r="C385" s="81" t="s">
        <v>1916</v>
      </c>
      <c r="D385" s="81" t="s">
        <v>45</v>
      </c>
      <c r="E385" s="81" t="s">
        <v>2288</v>
      </c>
      <c r="F385" s="81" t="s">
        <v>2890</v>
      </c>
      <c r="G385" s="81" t="s">
        <v>4510</v>
      </c>
      <c r="H385" s="81" t="s">
        <v>2325</v>
      </c>
      <c r="I385" s="81" t="s">
        <v>3627</v>
      </c>
      <c r="J385" s="81" t="s">
        <v>2186</v>
      </c>
      <c r="K385" s="81" t="s">
        <v>3627</v>
      </c>
      <c r="L385" s="81" t="s">
        <v>2392</v>
      </c>
      <c r="M385" s="81" t="s">
        <v>3627</v>
      </c>
      <c r="N385" s="81" t="s">
        <v>2231</v>
      </c>
      <c r="O385" s="81" t="s">
        <v>2187</v>
      </c>
      <c r="P385" s="81" t="s">
        <v>2187</v>
      </c>
      <c r="Q385" s="81" t="s">
        <v>43</v>
      </c>
      <c r="R385" s="81" t="s">
        <v>51</v>
      </c>
      <c r="S385" s="81" t="s">
        <v>73</v>
      </c>
      <c r="T385" s="81" t="s">
        <v>49</v>
      </c>
      <c r="U385" s="81" t="s">
        <v>48</v>
      </c>
      <c r="V385" s="81" t="s">
        <v>48</v>
      </c>
      <c r="W385" s="81" t="s">
        <v>49</v>
      </c>
      <c r="X385" s="81" t="s">
        <v>48</v>
      </c>
      <c r="Y385" s="81" t="s">
        <v>48</v>
      </c>
    </row>
    <row r="386" spans="1:25" x14ac:dyDescent="0.3">
      <c r="A386" s="16">
        <v>7502009740657</v>
      </c>
      <c r="B386" s="81" t="s">
        <v>43</v>
      </c>
      <c r="C386" s="81" t="s">
        <v>1917</v>
      </c>
      <c r="D386" s="81" t="s">
        <v>45</v>
      </c>
      <c r="E386" s="81" t="s">
        <v>2679</v>
      </c>
      <c r="F386" s="81" t="s">
        <v>2891</v>
      </c>
      <c r="G386" s="81" t="s">
        <v>5148</v>
      </c>
      <c r="H386" s="81" t="s">
        <v>2391</v>
      </c>
      <c r="I386" s="81" t="s">
        <v>5603</v>
      </c>
      <c r="J386" s="81" t="s">
        <v>2186</v>
      </c>
      <c r="K386" s="81" t="s">
        <v>5603</v>
      </c>
      <c r="L386" s="81" t="s">
        <v>2392</v>
      </c>
      <c r="M386" s="81" t="s">
        <v>5603</v>
      </c>
      <c r="N386" s="81" t="s">
        <v>2231</v>
      </c>
      <c r="O386" s="81" t="s">
        <v>2187</v>
      </c>
      <c r="P386" s="81" t="s">
        <v>2187</v>
      </c>
      <c r="Q386" s="81" t="s">
        <v>43</v>
      </c>
      <c r="R386" s="81" t="s">
        <v>46</v>
      </c>
      <c r="S386" s="81" t="s">
        <v>46</v>
      </c>
      <c r="T386" s="81" t="s">
        <v>48</v>
      </c>
      <c r="U386" s="81" t="s">
        <v>48</v>
      </c>
      <c r="V386" s="81" t="s">
        <v>48</v>
      </c>
      <c r="W386" s="81" t="s">
        <v>49</v>
      </c>
      <c r="X386" s="81" t="s">
        <v>48</v>
      </c>
      <c r="Y386" s="81" t="s">
        <v>48</v>
      </c>
    </row>
    <row r="387" spans="1:25" x14ac:dyDescent="0.3">
      <c r="A387" s="16">
        <v>7502227872697</v>
      </c>
      <c r="B387" s="81" t="s">
        <v>43</v>
      </c>
      <c r="C387" s="81" t="s">
        <v>494</v>
      </c>
      <c r="D387" s="81" t="s">
        <v>45</v>
      </c>
      <c r="E387" s="81" t="s">
        <v>2316</v>
      </c>
      <c r="F387" s="81" t="s">
        <v>2332</v>
      </c>
      <c r="G387" s="81" t="s">
        <v>4104</v>
      </c>
      <c r="H387" s="81" t="s">
        <v>2237</v>
      </c>
      <c r="I387" s="81" t="s">
        <v>5836</v>
      </c>
      <c r="J387" s="81" t="s">
        <v>2186</v>
      </c>
      <c r="K387" s="81" t="s">
        <v>5836</v>
      </c>
      <c r="L387" s="81" t="s">
        <v>2392</v>
      </c>
      <c r="M387" s="81" t="s">
        <v>5836</v>
      </c>
      <c r="N387" s="81" t="s">
        <v>2231</v>
      </c>
      <c r="O387" s="81" t="s">
        <v>2187</v>
      </c>
      <c r="P387" s="81" t="s">
        <v>2187</v>
      </c>
      <c r="Q387" s="81" t="s">
        <v>43</v>
      </c>
      <c r="R387" s="81" t="s">
        <v>46</v>
      </c>
      <c r="S387" s="81" t="s">
        <v>47</v>
      </c>
      <c r="T387" s="81" t="s">
        <v>48</v>
      </c>
      <c r="U387" s="81" t="s">
        <v>48</v>
      </c>
      <c r="V387" s="81" t="s">
        <v>48</v>
      </c>
      <c r="W387" s="81" t="s">
        <v>49</v>
      </c>
      <c r="X387" s="81" t="s">
        <v>48</v>
      </c>
      <c r="Y387" s="81" t="s">
        <v>48</v>
      </c>
    </row>
    <row r="388" spans="1:25" x14ac:dyDescent="0.3">
      <c r="A388" s="16">
        <v>7502247373228</v>
      </c>
      <c r="B388" s="81" t="s">
        <v>43</v>
      </c>
      <c r="C388" s="81" t="s">
        <v>495</v>
      </c>
      <c r="D388" s="81" t="s">
        <v>45</v>
      </c>
      <c r="E388" s="81" t="s">
        <v>2362</v>
      </c>
      <c r="F388" s="81" t="s">
        <v>2274</v>
      </c>
      <c r="G388" s="81" t="s">
        <v>5394</v>
      </c>
      <c r="H388" s="81" t="s">
        <v>2325</v>
      </c>
      <c r="I388" s="81" t="s">
        <v>5837</v>
      </c>
      <c r="J388" s="81" t="s">
        <v>2186</v>
      </c>
      <c r="K388" s="81" t="s">
        <v>5837</v>
      </c>
      <c r="L388" s="81" t="s">
        <v>2392</v>
      </c>
      <c r="M388" s="81" t="s">
        <v>5837</v>
      </c>
      <c r="N388" s="81" t="s">
        <v>2231</v>
      </c>
      <c r="O388" s="81" t="s">
        <v>2187</v>
      </c>
      <c r="P388" s="81" t="s">
        <v>2187</v>
      </c>
      <c r="Q388" s="81" t="s">
        <v>43</v>
      </c>
      <c r="R388" s="81" t="s">
        <v>46</v>
      </c>
      <c r="S388" s="81" t="s">
        <v>47</v>
      </c>
      <c r="T388" s="81" t="s">
        <v>48</v>
      </c>
      <c r="U388" s="81" t="s">
        <v>48</v>
      </c>
      <c r="V388" s="81" t="s">
        <v>48</v>
      </c>
      <c r="W388" s="81" t="s">
        <v>49</v>
      </c>
      <c r="X388" s="81" t="s">
        <v>48</v>
      </c>
      <c r="Y388" s="81" t="s">
        <v>48</v>
      </c>
    </row>
    <row r="389" spans="1:25" x14ac:dyDescent="0.3">
      <c r="A389" s="16">
        <v>7501075713107</v>
      </c>
      <c r="B389" s="81" t="s">
        <v>43</v>
      </c>
      <c r="C389" s="81" t="s">
        <v>496</v>
      </c>
      <c r="D389" s="81" t="s">
        <v>45</v>
      </c>
      <c r="E389" s="81" t="s">
        <v>2357</v>
      </c>
      <c r="F389" s="81" t="s">
        <v>2358</v>
      </c>
      <c r="G389" s="81" t="s">
        <v>2892</v>
      </c>
      <c r="H389" s="81" t="s">
        <v>2236</v>
      </c>
      <c r="I389" s="81" t="s">
        <v>5838</v>
      </c>
      <c r="J389" s="81" t="s">
        <v>2186</v>
      </c>
      <c r="K389" s="81" t="s">
        <v>5838</v>
      </c>
      <c r="L389" s="81" t="s">
        <v>2392</v>
      </c>
      <c r="M389" s="81" t="s">
        <v>5838</v>
      </c>
      <c r="N389" s="81" t="s">
        <v>2231</v>
      </c>
      <c r="O389" s="81" t="s">
        <v>2187</v>
      </c>
      <c r="P389" s="81" t="s">
        <v>2187</v>
      </c>
      <c r="Q389" s="81" t="s">
        <v>43</v>
      </c>
      <c r="R389" s="81" t="s">
        <v>46</v>
      </c>
      <c r="S389" s="81" t="s">
        <v>46</v>
      </c>
      <c r="T389" s="81" t="s">
        <v>48</v>
      </c>
      <c r="U389" s="81" t="s">
        <v>48</v>
      </c>
      <c r="V389" s="81" t="s">
        <v>48</v>
      </c>
      <c r="W389" s="81" t="s">
        <v>49</v>
      </c>
      <c r="X389" s="81" t="s">
        <v>48</v>
      </c>
      <c r="Y389" s="81" t="s">
        <v>48</v>
      </c>
    </row>
    <row r="390" spans="1:25" x14ac:dyDescent="0.3">
      <c r="A390" s="16">
        <v>7501537100452</v>
      </c>
      <c r="B390" s="81" t="s">
        <v>43</v>
      </c>
      <c r="C390" s="81" t="s">
        <v>497</v>
      </c>
      <c r="D390" s="81" t="s">
        <v>45</v>
      </c>
      <c r="E390" s="81" t="s">
        <v>2893</v>
      </c>
      <c r="F390" s="81" t="s">
        <v>2894</v>
      </c>
      <c r="G390" s="81" t="s">
        <v>2895</v>
      </c>
      <c r="H390" s="81" t="s">
        <v>2206</v>
      </c>
      <c r="I390" s="81" t="s">
        <v>5839</v>
      </c>
      <c r="J390" s="81" t="s">
        <v>2186</v>
      </c>
      <c r="K390" s="81" t="s">
        <v>5839</v>
      </c>
      <c r="L390" s="81" t="s">
        <v>2392</v>
      </c>
      <c r="M390" s="81" t="s">
        <v>5839</v>
      </c>
      <c r="N390" s="81" t="s">
        <v>2231</v>
      </c>
      <c r="O390" s="81" t="s">
        <v>2187</v>
      </c>
      <c r="P390" s="81" t="s">
        <v>2187</v>
      </c>
      <c r="Q390" s="81" t="s">
        <v>43</v>
      </c>
      <c r="R390" s="81" t="s">
        <v>46</v>
      </c>
      <c r="S390" s="81" t="s">
        <v>46</v>
      </c>
      <c r="T390" s="81" t="s">
        <v>48</v>
      </c>
      <c r="U390" s="81" t="s">
        <v>48</v>
      </c>
      <c r="V390" s="81" t="s">
        <v>48</v>
      </c>
      <c r="W390" s="81" t="s">
        <v>49</v>
      </c>
      <c r="X390" s="81" t="s">
        <v>48</v>
      </c>
      <c r="Y390" s="81" t="s">
        <v>48</v>
      </c>
    </row>
    <row r="391" spans="1:25" x14ac:dyDescent="0.3">
      <c r="A391" s="16">
        <v>7502211780045</v>
      </c>
      <c r="B391" s="81" t="s">
        <v>43</v>
      </c>
      <c r="C391" s="81" t="s">
        <v>498</v>
      </c>
      <c r="D391" s="81" t="s">
        <v>45</v>
      </c>
      <c r="E391" s="81" t="s">
        <v>2897</v>
      </c>
      <c r="F391" s="81" t="s">
        <v>2898</v>
      </c>
      <c r="G391" s="81" t="s">
        <v>5323</v>
      </c>
      <c r="H391" s="81" t="s">
        <v>2264</v>
      </c>
      <c r="I391" s="81" t="s">
        <v>5794</v>
      </c>
      <c r="J391" s="81" t="s">
        <v>2186</v>
      </c>
      <c r="K391" s="81" t="s">
        <v>5794</v>
      </c>
      <c r="L391" s="81" t="s">
        <v>2392</v>
      </c>
      <c r="M391" s="81" t="s">
        <v>5794</v>
      </c>
      <c r="N391" s="81" t="s">
        <v>2231</v>
      </c>
      <c r="O391" s="81" t="s">
        <v>2187</v>
      </c>
      <c r="P391" s="81" t="s">
        <v>2187</v>
      </c>
      <c r="Q391" s="81" t="s">
        <v>43</v>
      </c>
      <c r="R391" s="81" t="s">
        <v>46</v>
      </c>
      <c r="S391" s="81" t="s">
        <v>164</v>
      </c>
      <c r="T391" s="81" t="s">
        <v>48</v>
      </c>
      <c r="U391" s="81" t="s">
        <v>48</v>
      </c>
      <c r="V391" s="81" t="s">
        <v>48</v>
      </c>
      <c r="W391" s="81" t="s">
        <v>49</v>
      </c>
      <c r="X391" s="81" t="s">
        <v>48</v>
      </c>
      <c r="Y391" s="81" t="s">
        <v>48</v>
      </c>
    </row>
    <row r="392" spans="1:25" x14ac:dyDescent="0.3">
      <c r="A392" s="16">
        <v>7502247374218</v>
      </c>
      <c r="B392" s="81" t="s">
        <v>43</v>
      </c>
      <c r="C392" s="81" t="s">
        <v>499</v>
      </c>
      <c r="D392" s="81" t="s">
        <v>45</v>
      </c>
      <c r="E392" s="81" t="s">
        <v>2274</v>
      </c>
      <c r="F392" s="81" t="s">
        <v>2292</v>
      </c>
      <c r="G392" s="81" t="s">
        <v>5018</v>
      </c>
      <c r="H392" s="81" t="s">
        <v>2218</v>
      </c>
      <c r="I392" s="81" t="s">
        <v>5840</v>
      </c>
      <c r="J392" s="81" t="s">
        <v>2186</v>
      </c>
      <c r="K392" s="81" t="s">
        <v>5840</v>
      </c>
      <c r="L392" s="81" t="s">
        <v>2392</v>
      </c>
      <c r="M392" s="81" t="s">
        <v>5840</v>
      </c>
      <c r="N392" s="81" t="s">
        <v>2231</v>
      </c>
      <c r="O392" s="81" t="s">
        <v>2187</v>
      </c>
      <c r="P392" s="81" t="s">
        <v>2187</v>
      </c>
      <c r="Q392" s="81" t="s">
        <v>43</v>
      </c>
      <c r="R392" s="81" t="s">
        <v>46</v>
      </c>
      <c r="S392" s="81" t="s">
        <v>47</v>
      </c>
      <c r="T392" s="81" t="s">
        <v>48</v>
      </c>
      <c r="U392" s="81" t="s">
        <v>48</v>
      </c>
      <c r="V392" s="81" t="s">
        <v>48</v>
      </c>
      <c r="W392" s="81" t="s">
        <v>49</v>
      </c>
      <c r="X392" s="81" t="s">
        <v>48</v>
      </c>
      <c r="Y392" s="81" t="s">
        <v>48</v>
      </c>
    </row>
    <row r="393" spans="1:25" x14ac:dyDescent="0.3">
      <c r="A393" s="16">
        <v>785118752347</v>
      </c>
      <c r="B393" s="81" t="s">
        <v>43</v>
      </c>
      <c r="C393" s="81" t="s">
        <v>500</v>
      </c>
      <c r="D393" s="81" t="s">
        <v>45</v>
      </c>
      <c r="E393" s="81" t="s">
        <v>2899</v>
      </c>
      <c r="F393" s="81" t="s">
        <v>2900</v>
      </c>
      <c r="G393" s="81" t="s">
        <v>5324</v>
      </c>
      <c r="H393" s="81" t="s">
        <v>2385</v>
      </c>
      <c r="I393" s="81" t="s">
        <v>3040</v>
      </c>
      <c r="J393" s="81" t="s">
        <v>2186</v>
      </c>
      <c r="K393" s="81" t="s">
        <v>3040</v>
      </c>
      <c r="L393" s="81" t="s">
        <v>2392</v>
      </c>
      <c r="M393" s="81" t="s">
        <v>3040</v>
      </c>
      <c r="N393" s="81" t="s">
        <v>2231</v>
      </c>
      <c r="O393" s="81" t="s">
        <v>2187</v>
      </c>
      <c r="P393" s="81" t="s">
        <v>2187</v>
      </c>
      <c r="Q393" s="81" t="s">
        <v>43</v>
      </c>
      <c r="R393" s="81" t="s">
        <v>51</v>
      </c>
      <c r="S393" s="81" t="s">
        <v>81</v>
      </c>
      <c r="T393" s="81" t="s">
        <v>49</v>
      </c>
      <c r="U393" s="81" t="s">
        <v>48</v>
      </c>
      <c r="V393" s="81" t="s">
        <v>48</v>
      </c>
      <c r="W393" s="81" t="s">
        <v>49</v>
      </c>
      <c r="X393" s="81" t="s">
        <v>48</v>
      </c>
      <c r="Y393" s="81" t="s">
        <v>48</v>
      </c>
    </row>
    <row r="394" spans="1:25" x14ac:dyDescent="0.3">
      <c r="A394" s="16">
        <v>650240031502</v>
      </c>
      <c r="B394" s="81" t="s">
        <v>43</v>
      </c>
      <c r="C394" s="81" t="s">
        <v>1918</v>
      </c>
      <c r="D394" s="81" t="s">
        <v>45</v>
      </c>
      <c r="E394" s="81" t="s">
        <v>2528</v>
      </c>
      <c r="F394" s="81" t="s">
        <v>2529</v>
      </c>
      <c r="G394" s="81" t="s">
        <v>4792</v>
      </c>
      <c r="H394" s="81" t="s">
        <v>2743</v>
      </c>
      <c r="I394" s="81" t="s">
        <v>5841</v>
      </c>
      <c r="J394" s="81" t="s">
        <v>2186</v>
      </c>
      <c r="K394" s="81" t="s">
        <v>5841</v>
      </c>
      <c r="L394" s="81" t="s">
        <v>2392</v>
      </c>
      <c r="M394" s="81" t="s">
        <v>5841</v>
      </c>
      <c r="N394" s="81" t="s">
        <v>2231</v>
      </c>
      <c r="O394" s="81" t="s">
        <v>2187</v>
      </c>
      <c r="P394" s="81" t="s">
        <v>2187</v>
      </c>
      <c r="Q394" s="81" t="s">
        <v>43</v>
      </c>
      <c r="R394" s="81" t="s">
        <v>203</v>
      </c>
      <c r="S394" s="81" t="s">
        <v>164</v>
      </c>
      <c r="T394" s="81" t="s">
        <v>48</v>
      </c>
      <c r="U394" s="81" t="s">
        <v>48</v>
      </c>
      <c r="V394" s="81" t="s">
        <v>48</v>
      </c>
      <c r="W394" s="81" t="s">
        <v>49</v>
      </c>
      <c r="X394" s="81" t="s">
        <v>48</v>
      </c>
      <c r="Y394" s="81" t="s">
        <v>48</v>
      </c>
    </row>
    <row r="395" spans="1:25" x14ac:dyDescent="0.3">
      <c r="A395" s="16">
        <v>650240031519</v>
      </c>
      <c r="B395" s="81" t="s">
        <v>43</v>
      </c>
      <c r="C395" s="81" t="s">
        <v>501</v>
      </c>
      <c r="D395" s="81" t="s">
        <v>45</v>
      </c>
      <c r="E395" s="81" t="s">
        <v>2227</v>
      </c>
      <c r="F395" s="81" t="s">
        <v>2227</v>
      </c>
      <c r="G395" s="81" t="s">
        <v>2902</v>
      </c>
      <c r="H395" s="81" t="s">
        <v>2396</v>
      </c>
      <c r="I395" s="81" t="s">
        <v>5842</v>
      </c>
      <c r="J395" s="81" t="s">
        <v>2186</v>
      </c>
      <c r="K395" s="81" t="s">
        <v>5842</v>
      </c>
      <c r="L395" s="81" t="s">
        <v>2392</v>
      </c>
      <c r="M395" s="81" t="s">
        <v>5842</v>
      </c>
      <c r="N395" s="81" t="s">
        <v>2231</v>
      </c>
      <c r="O395" s="81" t="s">
        <v>2187</v>
      </c>
      <c r="P395" s="81" t="s">
        <v>2187</v>
      </c>
      <c r="Q395" s="81" t="s">
        <v>43</v>
      </c>
      <c r="R395" s="81" t="s">
        <v>203</v>
      </c>
      <c r="S395" s="81" t="s">
        <v>203</v>
      </c>
      <c r="T395" s="81" t="s">
        <v>48</v>
      </c>
      <c r="U395" s="81" t="s">
        <v>48</v>
      </c>
      <c r="V395" s="81" t="s">
        <v>48</v>
      </c>
      <c r="W395" s="81" t="s">
        <v>49</v>
      </c>
      <c r="X395" s="81" t="s">
        <v>48</v>
      </c>
      <c r="Y395" s="81" t="s">
        <v>48</v>
      </c>
    </row>
    <row r="396" spans="1:25" x14ac:dyDescent="0.3">
      <c r="A396" s="16">
        <v>7502216805361</v>
      </c>
      <c r="B396" s="81" t="s">
        <v>43</v>
      </c>
      <c r="C396" s="81" t="s">
        <v>502</v>
      </c>
      <c r="D396" s="81" t="s">
        <v>45</v>
      </c>
      <c r="E396" s="81" t="s">
        <v>2304</v>
      </c>
      <c r="F396" s="81" t="s">
        <v>2435</v>
      </c>
      <c r="G396" s="81" t="s">
        <v>5843</v>
      </c>
      <c r="H396" s="81" t="s">
        <v>2193</v>
      </c>
      <c r="I396" s="81" t="s">
        <v>5844</v>
      </c>
      <c r="J396" s="81" t="s">
        <v>2186</v>
      </c>
      <c r="K396" s="81" t="s">
        <v>5844</v>
      </c>
      <c r="L396" s="81" t="s">
        <v>2392</v>
      </c>
      <c r="M396" s="81" t="s">
        <v>5844</v>
      </c>
      <c r="N396" s="81" t="s">
        <v>2231</v>
      </c>
      <c r="O396" s="81" t="s">
        <v>2187</v>
      </c>
      <c r="P396" s="81" t="s">
        <v>2187</v>
      </c>
      <c r="Q396" s="81" t="s">
        <v>43</v>
      </c>
      <c r="R396" s="81" t="s">
        <v>46</v>
      </c>
      <c r="S396" s="81" t="s">
        <v>46</v>
      </c>
      <c r="T396" s="81" t="s">
        <v>48</v>
      </c>
      <c r="U396" s="81" t="s">
        <v>48</v>
      </c>
      <c r="V396" s="81" t="s">
        <v>48</v>
      </c>
      <c r="W396" s="81" t="s">
        <v>49</v>
      </c>
      <c r="X396" s="81" t="s">
        <v>48</v>
      </c>
      <c r="Y396" s="81" t="s">
        <v>48</v>
      </c>
    </row>
    <row r="397" spans="1:25" x14ac:dyDescent="0.3">
      <c r="A397" s="16">
        <v>7501008496725</v>
      </c>
      <c r="B397" s="81" t="s">
        <v>43</v>
      </c>
      <c r="C397" s="81" t="s">
        <v>503</v>
      </c>
      <c r="D397" s="81" t="s">
        <v>45</v>
      </c>
      <c r="E397" s="81" t="s">
        <v>2191</v>
      </c>
      <c r="F397" s="81" t="s">
        <v>2192</v>
      </c>
      <c r="G397" s="81" t="s">
        <v>4463</v>
      </c>
      <c r="H397" s="81" t="s">
        <v>2903</v>
      </c>
      <c r="I397" s="81" t="s">
        <v>4833</v>
      </c>
      <c r="J397" s="81" t="s">
        <v>2186</v>
      </c>
      <c r="K397" s="81" t="s">
        <v>4833</v>
      </c>
      <c r="L397" s="81" t="s">
        <v>2392</v>
      </c>
      <c r="M397" s="81" t="s">
        <v>4833</v>
      </c>
      <c r="N397" s="81" t="s">
        <v>2231</v>
      </c>
      <c r="O397" s="81" t="s">
        <v>2187</v>
      </c>
      <c r="P397" s="81" t="s">
        <v>2187</v>
      </c>
      <c r="Q397" s="81" t="s">
        <v>43</v>
      </c>
      <c r="R397" s="81" t="s">
        <v>203</v>
      </c>
      <c r="S397" s="81" t="s">
        <v>47</v>
      </c>
      <c r="T397" s="81" t="s">
        <v>48</v>
      </c>
      <c r="U397" s="81" t="s">
        <v>48</v>
      </c>
      <c r="V397" s="81" t="s">
        <v>48</v>
      </c>
      <c r="W397" s="81" t="s">
        <v>49</v>
      </c>
      <c r="X397" s="81" t="s">
        <v>48</v>
      </c>
      <c r="Y397" s="81" t="s">
        <v>48</v>
      </c>
    </row>
    <row r="398" spans="1:25" x14ac:dyDescent="0.3">
      <c r="A398" s="16">
        <v>7502276040405</v>
      </c>
      <c r="B398" s="81" t="s">
        <v>43</v>
      </c>
      <c r="C398" s="81" t="s">
        <v>504</v>
      </c>
      <c r="D398" s="81" t="s">
        <v>45</v>
      </c>
      <c r="E398" s="81" t="s">
        <v>2289</v>
      </c>
      <c r="F398" s="81" t="s">
        <v>2906</v>
      </c>
      <c r="G398" s="81" t="s">
        <v>5325</v>
      </c>
      <c r="H398" s="81" t="s">
        <v>2463</v>
      </c>
      <c r="I398" s="81" t="s">
        <v>5480</v>
      </c>
      <c r="J398" s="81" t="s">
        <v>2186</v>
      </c>
      <c r="K398" s="81" t="s">
        <v>5480</v>
      </c>
      <c r="L398" s="81" t="s">
        <v>2392</v>
      </c>
      <c r="M398" s="81" t="s">
        <v>5480</v>
      </c>
      <c r="N398" s="81" t="s">
        <v>2231</v>
      </c>
      <c r="O398" s="81" t="s">
        <v>2187</v>
      </c>
      <c r="P398" s="81" t="s">
        <v>2187</v>
      </c>
      <c r="Q398" s="81" t="s">
        <v>43</v>
      </c>
      <c r="R398" s="81" t="s">
        <v>203</v>
      </c>
      <c r="S398" s="81" t="s">
        <v>47</v>
      </c>
      <c r="T398" s="81" t="s">
        <v>48</v>
      </c>
      <c r="U398" s="81" t="s">
        <v>48</v>
      </c>
      <c r="V398" s="81" t="s">
        <v>48</v>
      </c>
      <c r="W398" s="81" t="s">
        <v>49</v>
      </c>
      <c r="X398" s="81" t="s">
        <v>48</v>
      </c>
      <c r="Y398" s="81" t="s">
        <v>48</v>
      </c>
    </row>
    <row r="399" spans="1:25" x14ac:dyDescent="0.3">
      <c r="A399" s="16">
        <v>7501058623188</v>
      </c>
      <c r="B399" s="81" t="s">
        <v>43</v>
      </c>
      <c r="C399" s="81" t="s">
        <v>505</v>
      </c>
      <c r="D399" s="81" t="s">
        <v>45</v>
      </c>
      <c r="E399" s="81" t="s">
        <v>2907</v>
      </c>
      <c r="F399" s="81" t="s">
        <v>2908</v>
      </c>
      <c r="G399" s="81" t="s">
        <v>2909</v>
      </c>
      <c r="H399" s="81" t="s">
        <v>2724</v>
      </c>
      <c r="I399" s="81" t="s">
        <v>2910</v>
      </c>
      <c r="J399" s="81" t="s">
        <v>2186</v>
      </c>
      <c r="K399" s="81" t="s">
        <v>2560</v>
      </c>
      <c r="L399" s="81" t="s">
        <v>2392</v>
      </c>
      <c r="M399" s="81" t="s">
        <v>2677</v>
      </c>
      <c r="N399" s="81" t="s">
        <v>2231</v>
      </c>
      <c r="O399" s="81" t="s">
        <v>2187</v>
      </c>
      <c r="P399" s="81" t="s">
        <v>2187</v>
      </c>
      <c r="Q399" s="81" t="s">
        <v>43</v>
      </c>
      <c r="R399" s="81" t="s">
        <v>506</v>
      </c>
      <c r="S399" s="81" t="s">
        <v>506</v>
      </c>
      <c r="T399" s="81" t="s">
        <v>48</v>
      </c>
      <c r="U399" s="81" t="s">
        <v>48</v>
      </c>
      <c r="V399" s="81" t="s">
        <v>48</v>
      </c>
      <c r="W399" s="81" t="s">
        <v>49</v>
      </c>
      <c r="X399" s="81" t="s">
        <v>48</v>
      </c>
      <c r="Y399" s="81" t="s">
        <v>48</v>
      </c>
    </row>
    <row r="400" spans="1:25" x14ac:dyDescent="0.3">
      <c r="A400" s="16">
        <v>7501058623317</v>
      </c>
      <c r="B400" s="81" t="s">
        <v>43</v>
      </c>
      <c r="C400" s="81" t="s">
        <v>507</v>
      </c>
      <c r="D400" s="81" t="s">
        <v>45</v>
      </c>
      <c r="E400" s="81" t="s">
        <v>2204</v>
      </c>
      <c r="F400" s="81" t="s">
        <v>2205</v>
      </c>
      <c r="G400" s="81" t="s">
        <v>4713</v>
      </c>
      <c r="H400" s="81" t="s">
        <v>2911</v>
      </c>
      <c r="I400" s="81" t="s">
        <v>2850</v>
      </c>
      <c r="J400" s="81" t="s">
        <v>2186</v>
      </c>
      <c r="K400" s="81" t="s">
        <v>2912</v>
      </c>
      <c r="L400" s="81" t="s">
        <v>2392</v>
      </c>
      <c r="M400" s="81" t="s">
        <v>2913</v>
      </c>
      <c r="N400" s="81" t="s">
        <v>2231</v>
      </c>
      <c r="O400" s="81" t="s">
        <v>2187</v>
      </c>
      <c r="P400" s="81" t="s">
        <v>2187</v>
      </c>
      <c r="Q400" s="81" t="s">
        <v>43</v>
      </c>
      <c r="R400" s="81" t="s">
        <v>506</v>
      </c>
      <c r="S400" s="81" t="s">
        <v>506</v>
      </c>
      <c r="T400" s="81" t="s">
        <v>48</v>
      </c>
      <c r="U400" s="81" t="s">
        <v>48</v>
      </c>
      <c r="V400" s="81" t="s">
        <v>48</v>
      </c>
      <c r="W400" s="81" t="s">
        <v>49</v>
      </c>
      <c r="X400" s="81" t="s">
        <v>48</v>
      </c>
      <c r="Y400" s="81" t="s">
        <v>48</v>
      </c>
    </row>
    <row r="401" spans="1:25" x14ac:dyDescent="0.3">
      <c r="A401" s="16">
        <v>7501058623195</v>
      </c>
      <c r="B401" s="81" t="s">
        <v>43</v>
      </c>
      <c r="C401" s="81" t="s">
        <v>508</v>
      </c>
      <c r="D401" s="81" t="s">
        <v>45</v>
      </c>
      <c r="E401" s="81" t="s">
        <v>2914</v>
      </c>
      <c r="F401" s="81" t="s">
        <v>2915</v>
      </c>
      <c r="G401" s="81" t="s">
        <v>2916</v>
      </c>
      <c r="H401" s="81" t="s">
        <v>2743</v>
      </c>
      <c r="I401" s="81" t="s">
        <v>2667</v>
      </c>
      <c r="J401" s="81" t="s">
        <v>2186</v>
      </c>
      <c r="K401" s="81" t="s">
        <v>2917</v>
      </c>
      <c r="L401" s="81" t="s">
        <v>2392</v>
      </c>
      <c r="M401" s="81" t="s">
        <v>2789</v>
      </c>
      <c r="N401" s="81" t="s">
        <v>2231</v>
      </c>
      <c r="O401" s="81" t="s">
        <v>2187</v>
      </c>
      <c r="P401" s="81" t="s">
        <v>2187</v>
      </c>
      <c r="Q401" s="81" t="s">
        <v>43</v>
      </c>
      <c r="R401" s="81" t="s">
        <v>506</v>
      </c>
      <c r="S401" s="81" t="s">
        <v>506</v>
      </c>
      <c r="T401" s="81" t="s">
        <v>48</v>
      </c>
      <c r="U401" s="81" t="s">
        <v>48</v>
      </c>
      <c r="V401" s="81" t="s">
        <v>48</v>
      </c>
      <c r="W401" s="81" t="s">
        <v>49</v>
      </c>
      <c r="X401" s="81" t="s">
        <v>48</v>
      </c>
      <c r="Y401" s="81" t="s">
        <v>48</v>
      </c>
    </row>
    <row r="402" spans="1:25" x14ac:dyDescent="0.3">
      <c r="A402" s="16">
        <v>7501058623300</v>
      </c>
      <c r="B402" s="81" t="s">
        <v>43</v>
      </c>
      <c r="C402" s="81" t="s">
        <v>509</v>
      </c>
      <c r="D402" s="81" t="s">
        <v>45</v>
      </c>
      <c r="E402" s="81" t="s">
        <v>2798</v>
      </c>
      <c r="F402" s="81" t="s">
        <v>2918</v>
      </c>
      <c r="G402" s="81" t="s">
        <v>4346</v>
      </c>
      <c r="H402" s="81" t="s">
        <v>2807</v>
      </c>
      <c r="I402" s="81" t="s">
        <v>2670</v>
      </c>
      <c r="J402" s="81" t="s">
        <v>2186</v>
      </c>
      <c r="K402" s="81" t="s">
        <v>2919</v>
      </c>
      <c r="L402" s="81" t="s">
        <v>2392</v>
      </c>
      <c r="M402" s="81" t="s">
        <v>2920</v>
      </c>
      <c r="N402" s="81" t="s">
        <v>2231</v>
      </c>
      <c r="O402" s="81" t="s">
        <v>2187</v>
      </c>
      <c r="P402" s="81" t="s">
        <v>2187</v>
      </c>
      <c r="Q402" s="81" t="s">
        <v>43</v>
      </c>
      <c r="R402" s="81" t="s">
        <v>506</v>
      </c>
      <c r="S402" s="81" t="s">
        <v>506</v>
      </c>
      <c r="T402" s="81" t="s">
        <v>48</v>
      </c>
      <c r="U402" s="81" t="s">
        <v>48</v>
      </c>
      <c r="V402" s="81" t="s">
        <v>48</v>
      </c>
      <c r="W402" s="81" t="s">
        <v>49</v>
      </c>
      <c r="X402" s="81" t="s">
        <v>48</v>
      </c>
      <c r="Y402" s="81" t="s">
        <v>48</v>
      </c>
    </row>
    <row r="403" spans="1:25" x14ac:dyDescent="0.3">
      <c r="A403" s="16">
        <v>7501058623294</v>
      </c>
      <c r="B403" s="81" t="s">
        <v>43</v>
      </c>
      <c r="C403" s="81" t="s">
        <v>510</v>
      </c>
      <c r="D403" s="81" t="s">
        <v>45</v>
      </c>
      <c r="E403" s="81" t="s">
        <v>2227</v>
      </c>
      <c r="F403" s="81" t="s">
        <v>2227</v>
      </c>
      <c r="G403" s="81" t="s">
        <v>5845</v>
      </c>
      <c r="H403" s="81" t="s">
        <v>2922</v>
      </c>
      <c r="I403" s="81" t="s">
        <v>2923</v>
      </c>
      <c r="J403" s="81" t="s">
        <v>2186</v>
      </c>
      <c r="K403" s="81" t="s">
        <v>2924</v>
      </c>
      <c r="L403" s="81" t="s">
        <v>2392</v>
      </c>
      <c r="M403" s="81" t="s">
        <v>2925</v>
      </c>
      <c r="N403" s="81" t="s">
        <v>2231</v>
      </c>
      <c r="O403" s="81" t="s">
        <v>2187</v>
      </c>
      <c r="P403" s="81" t="s">
        <v>2187</v>
      </c>
      <c r="Q403" s="81" t="s">
        <v>43</v>
      </c>
      <c r="R403" s="81" t="s">
        <v>506</v>
      </c>
      <c r="S403" s="81" t="s">
        <v>506</v>
      </c>
      <c r="T403" s="81" t="s">
        <v>48</v>
      </c>
      <c r="U403" s="81" t="s">
        <v>48</v>
      </c>
      <c r="V403" s="81" t="s">
        <v>48</v>
      </c>
      <c r="W403" s="81" t="s">
        <v>49</v>
      </c>
      <c r="X403" s="81" t="s">
        <v>48</v>
      </c>
      <c r="Y403" s="81" t="s">
        <v>48</v>
      </c>
    </row>
    <row r="404" spans="1:25" x14ac:dyDescent="0.3">
      <c r="A404" s="16">
        <v>7501065064134</v>
      </c>
      <c r="B404" s="81" t="s">
        <v>43</v>
      </c>
      <c r="C404" s="81" t="s">
        <v>511</v>
      </c>
      <c r="D404" s="81" t="s">
        <v>45</v>
      </c>
      <c r="E404" s="81" t="s">
        <v>2227</v>
      </c>
      <c r="F404" s="81" t="s">
        <v>2357</v>
      </c>
      <c r="G404" s="81" t="s">
        <v>2926</v>
      </c>
      <c r="H404" s="81" t="s">
        <v>2927</v>
      </c>
      <c r="I404" s="81" t="s">
        <v>5846</v>
      </c>
      <c r="J404" s="81" t="s">
        <v>2186</v>
      </c>
      <c r="K404" s="81" t="s">
        <v>5846</v>
      </c>
      <c r="L404" s="81" t="s">
        <v>2392</v>
      </c>
      <c r="M404" s="81" t="s">
        <v>5846</v>
      </c>
      <c r="N404" s="81" t="s">
        <v>2231</v>
      </c>
      <c r="O404" s="81" t="s">
        <v>2187</v>
      </c>
      <c r="P404" s="81" t="s">
        <v>2187</v>
      </c>
      <c r="Q404" s="81" t="s">
        <v>43</v>
      </c>
      <c r="R404" s="81" t="s">
        <v>203</v>
      </c>
      <c r="S404" s="81" t="s">
        <v>203</v>
      </c>
      <c r="T404" s="81" t="s">
        <v>48</v>
      </c>
      <c r="U404" s="81" t="s">
        <v>48</v>
      </c>
      <c r="V404" s="81" t="s">
        <v>49</v>
      </c>
      <c r="W404" s="81" t="s">
        <v>48</v>
      </c>
      <c r="X404" s="81" t="s">
        <v>48</v>
      </c>
      <c r="Y404" s="81" t="s">
        <v>48</v>
      </c>
    </row>
    <row r="405" spans="1:25" x14ac:dyDescent="0.3">
      <c r="A405" s="16">
        <v>650240024931</v>
      </c>
      <c r="B405" s="81" t="s">
        <v>43</v>
      </c>
      <c r="C405" s="81" t="s">
        <v>1919</v>
      </c>
      <c r="D405" s="81" t="s">
        <v>45</v>
      </c>
      <c r="E405" s="81" t="s">
        <v>2412</v>
      </c>
      <c r="F405" s="81" t="s">
        <v>2412</v>
      </c>
      <c r="G405" s="81" t="s">
        <v>5204</v>
      </c>
      <c r="H405" s="81" t="s">
        <v>2726</v>
      </c>
      <c r="I405" s="81" t="s">
        <v>5847</v>
      </c>
      <c r="J405" s="81" t="s">
        <v>2186</v>
      </c>
      <c r="K405" s="81" t="s">
        <v>5847</v>
      </c>
      <c r="L405" s="81" t="s">
        <v>2392</v>
      </c>
      <c r="M405" s="81" t="s">
        <v>5847</v>
      </c>
      <c r="N405" s="81" t="s">
        <v>2231</v>
      </c>
      <c r="O405" s="81" t="s">
        <v>2187</v>
      </c>
      <c r="P405" s="81" t="s">
        <v>2187</v>
      </c>
      <c r="Q405" s="81" t="s">
        <v>43</v>
      </c>
      <c r="R405" s="81" t="s">
        <v>203</v>
      </c>
      <c r="S405" s="81" t="s">
        <v>47</v>
      </c>
      <c r="T405" s="81" t="s">
        <v>48</v>
      </c>
      <c r="U405" s="81" t="s">
        <v>48</v>
      </c>
      <c r="V405" s="81" t="s">
        <v>48</v>
      </c>
      <c r="W405" s="81" t="s">
        <v>49</v>
      </c>
      <c r="X405" s="81" t="s">
        <v>48</v>
      </c>
      <c r="Y405" s="81" t="s">
        <v>48</v>
      </c>
    </row>
    <row r="406" spans="1:25" x14ac:dyDescent="0.3">
      <c r="A406" s="16">
        <v>7501123013340</v>
      </c>
      <c r="B406" s="81" t="s">
        <v>43</v>
      </c>
      <c r="C406" s="81" t="s">
        <v>1920</v>
      </c>
      <c r="D406" s="81" t="s">
        <v>45</v>
      </c>
      <c r="E406" s="81" t="s">
        <v>2227</v>
      </c>
      <c r="F406" s="81" t="s">
        <v>2227</v>
      </c>
      <c r="G406" s="81" t="s">
        <v>5019</v>
      </c>
      <c r="H406" s="81" t="s">
        <v>4153</v>
      </c>
      <c r="I406" s="81" t="s">
        <v>5848</v>
      </c>
      <c r="J406" s="81" t="s">
        <v>2186</v>
      </c>
      <c r="K406" s="81" t="s">
        <v>5848</v>
      </c>
      <c r="L406" s="81" t="s">
        <v>2392</v>
      </c>
      <c r="M406" s="81" t="s">
        <v>5848</v>
      </c>
      <c r="N406" s="81" t="s">
        <v>2231</v>
      </c>
      <c r="O406" s="81" t="s">
        <v>2187</v>
      </c>
      <c r="P406" s="81" t="s">
        <v>2187</v>
      </c>
      <c r="Q406" s="81" t="s">
        <v>43</v>
      </c>
      <c r="R406" s="81" t="s">
        <v>374</v>
      </c>
      <c r="S406" s="81" t="s">
        <v>47</v>
      </c>
      <c r="T406" s="81" t="s">
        <v>48</v>
      </c>
      <c r="U406" s="81" t="s">
        <v>48</v>
      </c>
      <c r="V406" s="81" t="s">
        <v>48</v>
      </c>
      <c r="W406" s="81" t="s">
        <v>49</v>
      </c>
      <c r="X406" s="81" t="s">
        <v>48</v>
      </c>
      <c r="Y406" s="81" t="s">
        <v>48</v>
      </c>
    </row>
    <row r="407" spans="1:25" x14ac:dyDescent="0.3">
      <c r="A407" s="16" t="s">
        <v>512</v>
      </c>
      <c r="B407" s="81" t="s">
        <v>43</v>
      </c>
      <c r="C407" s="81" t="s">
        <v>513</v>
      </c>
      <c r="D407" s="81" t="s">
        <v>45</v>
      </c>
      <c r="E407" s="81" t="s">
        <v>2878</v>
      </c>
      <c r="F407" s="81" t="s">
        <v>2929</v>
      </c>
      <c r="G407" s="81" t="s">
        <v>2930</v>
      </c>
      <c r="H407" s="81" t="s">
        <v>2325</v>
      </c>
      <c r="I407" s="81" t="s">
        <v>2331</v>
      </c>
      <c r="J407" s="81" t="s">
        <v>2186</v>
      </c>
      <c r="K407" s="81" t="s">
        <v>2331</v>
      </c>
      <c r="L407" s="81" t="s">
        <v>2392</v>
      </c>
      <c r="M407" s="81" t="s">
        <v>2331</v>
      </c>
      <c r="N407" s="81" t="s">
        <v>2231</v>
      </c>
      <c r="O407" s="81" t="s">
        <v>2187</v>
      </c>
      <c r="P407" s="81" t="s">
        <v>2187</v>
      </c>
      <c r="Q407" s="81" t="s">
        <v>43</v>
      </c>
      <c r="R407" s="81" t="s">
        <v>122</v>
      </c>
      <c r="S407" s="81" t="s">
        <v>123</v>
      </c>
      <c r="T407" s="81" t="s">
        <v>48</v>
      </c>
      <c r="U407" s="81" t="s">
        <v>48</v>
      </c>
      <c r="V407" s="81" t="s">
        <v>48</v>
      </c>
      <c r="W407" s="81" t="s">
        <v>49</v>
      </c>
      <c r="X407" s="81" t="s">
        <v>48</v>
      </c>
      <c r="Y407" s="81" t="s">
        <v>48</v>
      </c>
    </row>
    <row r="408" spans="1:25" x14ac:dyDescent="0.3">
      <c r="A408" s="16">
        <v>7501417007666</v>
      </c>
      <c r="B408" s="81" t="s">
        <v>43</v>
      </c>
      <c r="C408" s="81" t="s">
        <v>514</v>
      </c>
      <c r="D408" s="81" t="s">
        <v>45</v>
      </c>
      <c r="E408" s="81" t="s">
        <v>2227</v>
      </c>
      <c r="F408" s="81" t="s">
        <v>2227</v>
      </c>
      <c r="G408" s="81" t="s">
        <v>2931</v>
      </c>
      <c r="H408" s="81" t="s">
        <v>5849</v>
      </c>
      <c r="I408" s="81" t="s">
        <v>5850</v>
      </c>
      <c r="J408" s="81" t="s">
        <v>2186</v>
      </c>
      <c r="K408" s="81" t="s">
        <v>5850</v>
      </c>
      <c r="L408" s="81" t="s">
        <v>2392</v>
      </c>
      <c r="M408" s="81" t="s">
        <v>5850</v>
      </c>
      <c r="N408" s="81" t="s">
        <v>2231</v>
      </c>
      <c r="O408" s="81" t="s">
        <v>2187</v>
      </c>
      <c r="P408" s="81" t="s">
        <v>2187</v>
      </c>
      <c r="Q408" s="81" t="s">
        <v>43</v>
      </c>
      <c r="R408" s="81" t="s">
        <v>122</v>
      </c>
      <c r="S408" s="81" t="s">
        <v>123</v>
      </c>
      <c r="T408" s="81" t="s">
        <v>48</v>
      </c>
      <c r="U408" s="81" t="s">
        <v>48</v>
      </c>
      <c r="V408" s="81" t="s">
        <v>49</v>
      </c>
      <c r="W408" s="81" t="s">
        <v>48</v>
      </c>
      <c r="X408" s="81" t="s">
        <v>48</v>
      </c>
      <c r="Y408" s="81" t="s">
        <v>48</v>
      </c>
    </row>
    <row r="409" spans="1:25" x14ac:dyDescent="0.3">
      <c r="A409" s="16">
        <v>7501300407061</v>
      </c>
      <c r="B409" s="81" t="s">
        <v>43</v>
      </c>
      <c r="C409" s="81" t="s">
        <v>2122</v>
      </c>
      <c r="D409" s="81" t="s">
        <v>45</v>
      </c>
      <c r="E409" s="81" t="s">
        <v>2263</v>
      </c>
      <c r="F409" s="81" t="s">
        <v>2475</v>
      </c>
      <c r="G409" s="81" t="s">
        <v>2934</v>
      </c>
      <c r="H409" s="81" t="s">
        <v>2935</v>
      </c>
      <c r="I409" s="81" t="s">
        <v>5851</v>
      </c>
      <c r="J409" s="81" t="s">
        <v>2186</v>
      </c>
      <c r="K409" s="81" t="s">
        <v>5851</v>
      </c>
      <c r="L409" s="81" t="s">
        <v>2392</v>
      </c>
      <c r="M409" s="81" t="s">
        <v>5851</v>
      </c>
      <c r="N409" s="81" t="s">
        <v>2231</v>
      </c>
      <c r="O409" s="81" t="s">
        <v>2187</v>
      </c>
      <c r="P409" s="81" t="s">
        <v>2187</v>
      </c>
      <c r="Q409" s="81" t="s">
        <v>43</v>
      </c>
      <c r="R409" s="81" t="s">
        <v>374</v>
      </c>
      <c r="S409" s="81" t="s">
        <v>374</v>
      </c>
      <c r="T409" s="81" t="s">
        <v>48</v>
      </c>
      <c r="U409" s="81" t="s">
        <v>48</v>
      </c>
      <c r="V409" s="81" t="s">
        <v>48</v>
      </c>
      <c r="W409" s="81" t="s">
        <v>49</v>
      </c>
      <c r="X409" s="81" t="s">
        <v>48</v>
      </c>
      <c r="Y409" s="81" t="s">
        <v>48</v>
      </c>
    </row>
    <row r="410" spans="1:25" x14ac:dyDescent="0.3">
      <c r="A410" s="16">
        <v>7506022326058</v>
      </c>
      <c r="B410" s="81" t="s">
        <v>43</v>
      </c>
      <c r="C410" s="81" t="s">
        <v>515</v>
      </c>
      <c r="D410" s="81" t="s">
        <v>45</v>
      </c>
      <c r="E410" s="81" t="s">
        <v>2316</v>
      </c>
      <c r="F410" s="81" t="s">
        <v>2332</v>
      </c>
      <c r="G410" s="81" t="s">
        <v>5852</v>
      </c>
      <c r="H410" s="81" t="s">
        <v>5853</v>
      </c>
      <c r="I410" s="81" t="s">
        <v>5854</v>
      </c>
      <c r="J410" s="81" t="s">
        <v>2186</v>
      </c>
      <c r="K410" s="81" t="s">
        <v>5854</v>
      </c>
      <c r="L410" s="81" t="s">
        <v>2392</v>
      </c>
      <c r="M410" s="81" t="s">
        <v>5854</v>
      </c>
      <c r="N410" s="81" t="s">
        <v>2231</v>
      </c>
      <c r="O410" s="81" t="s">
        <v>2187</v>
      </c>
      <c r="P410" s="81" t="s">
        <v>2187</v>
      </c>
      <c r="Q410" s="81" t="s">
        <v>43</v>
      </c>
      <c r="R410" s="81" t="s">
        <v>203</v>
      </c>
      <c r="S410" s="81" t="s">
        <v>203</v>
      </c>
      <c r="T410" s="81" t="s">
        <v>48</v>
      </c>
      <c r="U410" s="81" t="s">
        <v>48</v>
      </c>
      <c r="V410" s="81" t="s">
        <v>49</v>
      </c>
      <c r="W410" s="81" t="s">
        <v>48</v>
      </c>
      <c r="X410" s="81" t="s">
        <v>48</v>
      </c>
      <c r="Y410" s="81" t="s">
        <v>48</v>
      </c>
    </row>
    <row r="411" spans="1:25" x14ac:dyDescent="0.3">
      <c r="A411" s="16">
        <v>650240006647</v>
      </c>
      <c r="B411" s="81" t="s">
        <v>43</v>
      </c>
      <c r="C411" s="81" t="s">
        <v>2123</v>
      </c>
      <c r="D411" s="81" t="s">
        <v>45</v>
      </c>
      <c r="E411" s="81" t="s">
        <v>2312</v>
      </c>
      <c r="F411" s="81" t="s">
        <v>2419</v>
      </c>
      <c r="G411" s="81" t="s">
        <v>5205</v>
      </c>
      <c r="H411" s="81" t="s">
        <v>2559</v>
      </c>
      <c r="I411" s="81" t="s">
        <v>5855</v>
      </c>
      <c r="J411" s="81" t="s">
        <v>2186</v>
      </c>
      <c r="K411" s="81" t="s">
        <v>5855</v>
      </c>
      <c r="L411" s="81" t="s">
        <v>2392</v>
      </c>
      <c r="M411" s="81" t="s">
        <v>5855</v>
      </c>
      <c r="N411" s="81" t="s">
        <v>2231</v>
      </c>
      <c r="O411" s="81" t="s">
        <v>2187</v>
      </c>
      <c r="P411" s="81" t="s">
        <v>2187</v>
      </c>
      <c r="Q411" s="81" t="s">
        <v>43</v>
      </c>
      <c r="R411" s="81" t="s">
        <v>203</v>
      </c>
      <c r="S411" s="81" t="s">
        <v>203</v>
      </c>
      <c r="T411" s="81" t="s">
        <v>48</v>
      </c>
      <c r="U411" s="81" t="s">
        <v>48</v>
      </c>
      <c r="V411" s="81" t="s">
        <v>48</v>
      </c>
      <c r="W411" s="81" t="s">
        <v>49</v>
      </c>
      <c r="X411" s="81" t="s">
        <v>48</v>
      </c>
      <c r="Y411" s="81" t="s">
        <v>48</v>
      </c>
    </row>
    <row r="412" spans="1:25" x14ac:dyDescent="0.3">
      <c r="A412" s="16">
        <v>650240010507</v>
      </c>
      <c r="B412" s="81" t="s">
        <v>43</v>
      </c>
      <c r="C412" s="81" t="s">
        <v>516</v>
      </c>
      <c r="D412" s="81" t="s">
        <v>45</v>
      </c>
      <c r="E412" s="81" t="s">
        <v>2180</v>
      </c>
      <c r="F412" s="81" t="s">
        <v>2298</v>
      </c>
      <c r="G412" s="81" t="s">
        <v>5192</v>
      </c>
      <c r="H412" s="81" t="s">
        <v>2743</v>
      </c>
      <c r="I412" s="81" t="s">
        <v>2459</v>
      </c>
      <c r="J412" s="81" t="s">
        <v>2186</v>
      </c>
      <c r="K412" s="81" t="s">
        <v>2459</v>
      </c>
      <c r="L412" s="81" t="s">
        <v>2392</v>
      </c>
      <c r="M412" s="81" t="s">
        <v>2459</v>
      </c>
      <c r="N412" s="81" t="s">
        <v>2231</v>
      </c>
      <c r="O412" s="81" t="s">
        <v>2187</v>
      </c>
      <c r="P412" s="81" t="s">
        <v>2187</v>
      </c>
      <c r="Q412" s="81" t="s">
        <v>43</v>
      </c>
      <c r="R412" s="81" t="s">
        <v>203</v>
      </c>
      <c r="S412" s="81" t="s">
        <v>203</v>
      </c>
      <c r="T412" s="81" t="s">
        <v>48</v>
      </c>
      <c r="U412" s="81" t="s">
        <v>48</v>
      </c>
      <c r="V412" s="81" t="s">
        <v>48</v>
      </c>
      <c r="W412" s="81" t="s">
        <v>49</v>
      </c>
      <c r="X412" s="81" t="s">
        <v>48</v>
      </c>
      <c r="Y412" s="81" t="s">
        <v>48</v>
      </c>
    </row>
    <row r="413" spans="1:25" x14ac:dyDescent="0.3">
      <c r="A413" s="16">
        <v>650240015571</v>
      </c>
      <c r="B413" s="81" t="s">
        <v>43</v>
      </c>
      <c r="C413" s="81" t="s">
        <v>517</v>
      </c>
      <c r="D413" s="81" t="s">
        <v>45</v>
      </c>
      <c r="E413" s="81" t="s">
        <v>2620</v>
      </c>
      <c r="F413" s="81" t="s">
        <v>2780</v>
      </c>
      <c r="G413" s="81" t="s">
        <v>4662</v>
      </c>
      <c r="H413" s="81" t="s">
        <v>2315</v>
      </c>
      <c r="I413" s="81" t="s">
        <v>5856</v>
      </c>
      <c r="J413" s="81" t="s">
        <v>2186</v>
      </c>
      <c r="K413" s="81" t="s">
        <v>5856</v>
      </c>
      <c r="L413" s="81" t="s">
        <v>2392</v>
      </c>
      <c r="M413" s="81" t="s">
        <v>5856</v>
      </c>
      <c r="N413" s="81" t="s">
        <v>2231</v>
      </c>
      <c r="O413" s="81" t="s">
        <v>2187</v>
      </c>
      <c r="P413" s="81" t="s">
        <v>2187</v>
      </c>
      <c r="Q413" s="81" t="s">
        <v>43</v>
      </c>
      <c r="R413" s="81" t="s">
        <v>203</v>
      </c>
      <c r="S413" s="81" t="s">
        <v>203</v>
      </c>
      <c r="T413" s="81" t="s">
        <v>48</v>
      </c>
      <c r="U413" s="81" t="s">
        <v>48</v>
      </c>
      <c r="V413" s="81" t="s">
        <v>48</v>
      </c>
      <c r="W413" s="81" t="s">
        <v>49</v>
      </c>
      <c r="X413" s="81" t="s">
        <v>48</v>
      </c>
      <c r="Y413" s="81" t="s">
        <v>48</v>
      </c>
    </row>
    <row r="414" spans="1:25" x14ac:dyDescent="0.3">
      <c r="A414" s="16">
        <v>650240015366</v>
      </c>
      <c r="B414" s="81" t="s">
        <v>43</v>
      </c>
      <c r="C414" s="81" t="s">
        <v>518</v>
      </c>
      <c r="D414" s="81" t="s">
        <v>45</v>
      </c>
      <c r="E414" s="81" t="s">
        <v>2780</v>
      </c>
      <c r="F414" s="81" t="s">
        <v>2939</v>
      </c>
      <c r="G414" s="81" t="s">
        <v>2940</v>
      </c>
      <c r="H414" s="81" t="s">
        <v>2871</v>
      </c>
      <c r="I414" s="81" t="s">
        <v>5857</v>
      </c>
      <c r="J414" s="81" t="s">
        <v>2186</v>
      </c>
      <c r="K414" s="81" t="s">
        <v>5857</v>
      </c>
      <c r="L414" s="81" t="s">
        <v>2392</v>
      </c>
      <c r="M414" s="81" t="s">
        <v>5857</v>
      </c>
      <c r="N414" s="81" t="s">
        <v>2231</v>
      </c>
      <c r="O414" s="81" t="s">
        <v>2187</v>
      </c>
      <c r="P414" s="81" t="s">
        <v>2187</v>
      </c>
      <c r="Q414" s="81" t="s">
        <v>43</v>
      </c>
      <c r="R414" s="81" t="s">
        <v>203</v>
      </c>
      <c r="S414" s="81" t="s">
        <v>203</v>
      </c>
      <c r="T414" s="81" t="s">
        <v>48</v>
      </c>
      <c r="U414" s="81" t="s">
        <v>48</v>
      </c>
      <c r="V414" s="81" t="s">
        <v>48</v>
      </c>
      <c r="W414" s="81" t="s">
        <v>49</v>
      </c>
      <c r="X414" s="81" t="s">
        <v>48</v>
      </c>
      <c r="Y414" s="81" t="s">
        <v>48</v>
      </c>
    </row>
    <row r="415" spans="1:25" x14ac:dyDescent="0.3">
      <c r="A415" s="16">
        <v>7501123013302</v>
      </c>
      <c r="B415" s="81" t="s">
        <v>43</v>
      </c>
      <c r="C415" s="81" t="s">
        <v>519</v>
      </c>
      <c r="D415" s="81" t="s">
        <v>45</v>
      </c>
      <c r="E415" s="81" t="s">
        <v>2195</v>
      </c>
      <c r="F415" s="81" t="s">
        <v>2196</v>
      </c>
      <c r="G415" s="81" t="s">
        <v>4834</v>
      </c>
      <c r="H415" s="81" t="s">
        <v>2567</v>
      </c>
      <c r="I415" s="81" t="s">
        <v>5858</v>
      </c>
      <c r="J415" s="81" t="s">
        <v>2186</v>
      </c>
      <c r="K415" s="81" t="s">
        <v>5858</v>
      </c>
      <c r="L415" s="81" t="s">
        <v>2392</v>
      </c>
      <c r="M415" s="81" t="s">
        <v>5858</v>
      </c>
      <c r="N415" s="81" t="s">
        <v>2231</v>
      </c>
      <c r="O415" s="81" t="s">
        <v>2187</v>
      </c>
      <c r="P415" s="81" t="s">
        <v>2187</v>
      </c>
      <c r="Q415" s="81" t="s">
        <v>43</v>
      </c>
      <c r="R415" s="81" t="s">
        <v>203</v>
      </c>
      <c r="S415" s="81" t="s">
        <v>73</v>
      </c>
      <c r="T415" s="81" t="s">
        <v>48</v>
      </c>
      <c r="U415" s="81" t="s">
        <v>48</v>
      </c>
      <c r="V415" s="81" t="s">
        <v>48</v>
      </c>
      <c r="W415" s="81" t="s">
        <v>49</v>
      </c>
      <c r="X415" s="81" t="s">
        <v>48</v>
      </c>
      <c r="Y415" s="81" t="s">
        <v>48</v>
      </c>
    </row>
    <row r="416" spans="1:25" x14ac:dyDescent="0.3">
      <c r="A416" s="16">
        <v>35324</v>
      </c>
      <c r="B416" s="81" t="s">
        <v>43</v>
      </c>
      <c r="C416" s="81" t="s">
        <v>520</v>
      </c>
      <c r="D416" s="81" t="s">
        <v>45</v>
      </c>
      <c r="E416" s="81" t="s">
        <v>2192</v>
      </c>
      <c r="F416" s="81" t="s">
        <v>2294</v>
      </c>
      <c r="G416" s="81" t="s">
        <v>2942</v>
      </c>
      <c r="H416" s="81" t="s">
        <v>5859</v>
      </c>
      <c r="I416" s="81" t="s">
        <v>5860</v>
      </c>
      <c r="J416" s="81" t="s">
        <v>2186</v>
      </c>
      <c r="K416" s="81" t="s">
        <v>5860</v>
      </c>
      <c r="L416" s="81" t="s">
        <v>2392</v>
      </c>
      <c r="M416" s="81" t="s">
        <v>5860</v>
      </c>
      <c r="N416" s="81" t="s">
        <v>2231</v>
      </c>
      <c r="O416" s="81" t="s">
        <v>2187</v>
      </c>
      <c r="P416" s="81" t="s">
        <v>2187</v>
      </c>
      <c r="Q416" s="81" t="s">
        <v>43</v>
      </c>
      <c r="R416" s="81" t="s">
        <v>122</v>
      </c>
      <c r="S416" s="81" t="s">
        <v>123</v>
      </c>
      <c r="T416" s="81" t="s">
        <v>48</v>
      </c>
      <c r="U416" s="81" t="s">
        <v>48</v>
      </c>
      <c r="V416" s="81" t="s">
        <v>49</v>
      </c>
      <c r="W416" s="81" t="s">
        <v>48</v>
      </c>
      <c r="X416" s="81" t="s">
        <v>48</v>
      </c>
      <c r="Y416" s="81" t="s">
        <v>48</v>
      </c>
    </row>
    <row r="417" spans="1:25" x14ac:dyDescent="0.3">
      <c r="A417" s="16">
        <v>7502214980015</v>
      </c>
      <c r="B417" s="81" t="s">
        <v>43</v>
      </c>
      <c r="C417" s="81" t="s">
        <v>521</v>
      </c>
      <c r="D417" s="81" t="s">
        <v>45</v>
      </c>
      <c r="E417" s="81" t="s">
        <v>2262</v>
      </c>
      <c r="F417" s="81" t="s">
        <v>2521</v>
      </c>
      <c r="G417" s="81" t="s">
        <v>5481</v>
      </c>
      <c r="H417" s="81" t="s">
        <v>2944</v>
      </c>
      <c r="I417" s="81" t="s">
        <v>5861</v>
      </c>
      <c r="J417" s="81" t="s">
        <v>2186</v>
      </c>
      <c r="K417" s="81" t="s">
        <v>5861</v>
      </c>
      <c r="L417" s="81" t="s">
        <v>2392</v>
      </c>
      <c r="M417" s="81" t="s">
        <v>5861</v>
      </c>
      <c r="N417" s="81" t="s">
        <v>2231</v>
      </c>
      <c r="O417" s="81" t="s">
        <v>2187</v>
      </c>
      <c r="P417" s="81" t="s">
        <v>2187</v>
      </c>
      <c r="Q417" s="81" t="s">
        <v>43</v>
      </c>
      <c r="R417" s="81" t="s">
        <v>122</v>
      </c>
      <c r="S417" s="81" t="s">
        <v>123</v>
      </c>
      <c r="T417" s="81" t="s">
        <v>48</v>
      </c>
      <c r="U417" s="81" t="s">
        <v>48</v>
      </c>
      <c r="V417" s="81" t="s">
        <v>49</v>
      </c>
      <c r="W417" s="81" t="s">
        <v>48</v>
      </c>
      <c r="X417" s="81" t="s">
        <v>48</v>
      </c>
      <c r="Y417" s="81" t="s">
        <v>48</v>
      </c>
    </row>
    <row r="418" spans="1:25" x14ac:dyDescent="0.3">
      <c r="A418" s="16">
        <v>7502214982477</v>
      </c>
      <c r="B418" s="81" t="s">
        <v>43</v>
      </c>
      <c r="C418" s="81" t="s">
        <v>522</v>
      </c>
      <c r="D418" s="81" t="s">
        <v>45</v>
      </c>
      <c r="E418" s="81" t="s">
        <v>2442</v>
      </c>
      <c r="F418" s="81" t="s">
        <v>2620</v>
      </c>
      <c r="G418" s="81" t="s">
        <v>5482</v>
      </c>
      <c r="H418" s="81" t="s">
        <v>2945</v>
      </c>
      <c r="I418" s="81" t="s">
        <v>5862</v>
      </c>
      <c r="J418" s="81" t="s">
        <v>2186</v>
      </c>
      <c r="K418" s="81" t="s">
        <v>5862</v>
      </c>
      <c r="L418" s="81" t="s">
        <v>2392</v>
      </c>
      <c r="M418" s="81" t="s">
        <v>5862</v>
      </c>
      <c r="N418" s="81" t="s">
        <v>2231</v>
      </c>
      <c r="O418" s="81" t="s">
        <v>2187</v>
      </c>
      <c r="P418" s="81" t="s">
        <v>2187</v>
      </c>
      <c r="Q418" s="81" t="s">
        <v>43</v>
      </c>
      <c r="R418" s="81" t="s">
        <v>122</v>
      </c>
      <c r="S418" s="81" t="s">
        <v>123</v>
      </c>
      <c r="T418" s="81" t="s">
        <v>48</v>
      </c>
      <c r="U418" s="81" t="s">
        <v>48</v>
      </c>
      <c r="V418" s="81" t="s">
        <v>49</v>
      </c>
      <c r="W418" s="81" t="s">
        <v>48</v>
      </c>
      <c r="X418" s="81" t="s">
        <v>48</v>
      </c>
      <c r="Y418" s="81" t="s">
        <v>48</v>
      </c>
    </row>
    <row r="419" spans="1:25" x14ac:dyDescent="0.3">
      <c r="A419" s="16">
        <v>7502214982491</v>
      </c>
      <c r="B419" s="81" t="s">
        <v>43</v>
      </c>
      <c r="C419" s="81" t="s">
        <v>523</v>
      </c>
      <c r="D419" s="81" t="s">
        <v>45</v>
      </c>
      <c r="E419" s="81" t="s">
        <v>2227</v>
      </c>
      <c r="F419" s="81" t="s">
        <v>2227</v>
      </c>
      <c r="G419" s="81" t="s">
        <v>5181</v>
      </c>
      <c r="H419" s="81" t="s">
        <v>2947</v>
      </c>
      <c r="I419" s="81" t="s">
        <v>5863</v>
      </c>
      <c r="J419" s="81" t="s">
        <v>2186</v>
      </c>
      <c r="K419" s="81" t="s">
        <v>5863</v>
      </c>
      <c r="L419" s="81" t="s">
        <v>2392</v>
      </c>
      <c r="M419" s="81" t="s">
        <v>5863</v>
      </c>
      <c r="N419" s="81" t="s">
        <v>2231</v>
      </c>
      <c r="O419" s="81" t="s">
        <v>2187</v>
      </c>
      <c r="P419" s="81" t="s">
        <v>2187</v>
      </c>
      <c r="Q419" s="81" t="s">
        <v>43</v>
      </c>
      <c r="R419" s="81" t="s">
        <v>524</v>
      </c>
      <c r="S419" s="81" t="s">
        <v>525</v>
      </c>
      <c r="T419" s="81" t="s">
        <v>48</v>
      </c>
      <c r="U419" s="81" t="s">
        <v>48</v>
      </c>
      <c r="V419" s="81" t="s">
        <v>49</v>
      </c>
      <c r="W419" s="81" t="s">
        <v>48</v>
      </c>
      <c r="X419" s="81" t="s">
        <v>48</v>
      </c>
      <c r="Y419" s="81" t="s">
        <v>48</v>
      </c>
    </row>
    <row r="420" spans="1:25" x14ac:dyDescent="0.3">
      <c r="A420" s="16">
        <v>7502214982514</v>
      </c>
      <c r="B420" s="81" t="s">
        <v>43</v>
      </c>
      <c r="C420" s="81" t="s">
        <v>526</v>
      </c>
      <c r="D420" s="81" t="s">
        <v>45</v>
      </c>
      <c r="E420" s="81" t="s">
        <v>2442</v>
      </c>
      <c r="F420" s="81" t="s">
        <v>2620</v>
      </c>
      <c r="G420" s="81" t="s">
        <v>5483</v>
      </c>
      <c r="H420" s="81" t="s">
        <v>2948</v>
      </c>
      <c r="I420" s="81" t="s">
        <v>5864</v>
      </c>
      <c r="J420" s="81" t="s">
        <v>2186</v>
      </c>
      <c r="K420" s="81" t="s">
        <v>5864</v>
      </c>
      <c r="L420" s="81" t="s">
        <v>2392</v>
      </c>
      <c r="M420" s="81" t="s">
        <v>5864</v>
      </c>
      <c r="N420" s="81" t="s">
        <v>2231</v>
      </c>
      <c r="O420" s="81" t="s">
        <v>2187</v>
      </c>
      <c r="P420" s="81" t="s">
        <v>2187</v>
      </c>
      <c r="Q420" s="81" t="s">
        <v>43</v>
      </c>
      <c r="R420" s="81" t="s">
        <v>122</v>
      </c>
      <c r="S420" s="81" t="s">
        <v>123</v>
      </c>
      <c r="T420" s="81" t="s">
        <v>48</v>
      </c>
      <c r="U420" s="81" t="s">
        <v>48</v>
      </c>
      <c r="V420" s="81" t="s">
        <v>49</v>
      </c>
      <c r="W420" s="81" t="s">
        <v>48</v>
      </c>
      <c r="X420" s="81" t="s">
        <v>48</v>
      </c>
      <c r="Y420" s="81" t="s">
        <v>48</v>
      </c>
    </row>
    <row r="421" spans="1:25" x14ac:dyDescent="0.3">
      <c r="A421" s="16">
        <v>7501825300373</v>
      </c>
      <c r="B421" s="81" t="s">
        <v>43</v>
      </c>
      <c r="C421" s="81" t="s">
        <v>527</v>
      </c>
      <c r="D421" s="81" t="s">
        <v>45</v>
      </c>
      <c r="E421" s="81" t="s">
        <v>2253</v>
      </c>
      <c r="F421" s="81" t="s">
        <v>2372</v>
      </c>
      <c r="G421" s="81" t="s">
        <v>4298</v>
      </c>
      <c r="H421" s="81" t="s">
        <v>2229</v>
      </c>
      <c r="I421" s="81" t="s">
        <v>2209</v>
      </c>
      <c r="J421" s="81" t="s">
        <v>2186</v>
      </c>
      <c r="K421" s="81" t="s">
        <v>2209</v>
      </c>
      <c r="L421" s="81" t="s">
        <v>2392</v>
      </c>
      <c r="M421" s="81" t="s">
        <v>2209</v>
      </c>
      <c r="N421" s="81" t="s">
        <v>2231</v>
      </c>
      <c r="O421" s="81" t="s">
        <v>2187</v>
      </c>
      <c r="P421" s="81" t="s">
        <v>2187</v>
      </c>
      <c r="Q421" s="81" t="s">
        <v>43</v>
      </c>
      <c r="R421" s="81" t="s">
        <v>46</v>
      </c>
      <c r="S421" s="81" t="s">
        <v>46</v>
      </c>
      <c r="T421" s="81" t="s">
        <v>48</v>
      </c>
      <c r="U421" s="81" t="s">
        <v>48</v>
      </c>
      <c r="V421" s="81" t="s">
        <v>48</v>
      </c>
      <c r="W421" s="81" t="s">
        <v>49</v>
      </c>
      <c r="X421" s="81" t="s">
        <v>48</v>
      </c>
      <c r="Y421" s="81" t="s">
        <v>48</v>
      </c>
    </row>
    <row r="422" spans="1:25" x14ac:dyDescent="0.3">
      <c r="A422" s="16">
        <v>7501825300533</v>
      </c>
      <c r="B422" s="81" t="s">
        <v>43</v>
      </c>
      <c r="C422" s="81" t="s">
        <v>1921</v>
      </c>
      <c r="D422" s="81" t="s">
        <v>45</v>
      </c>
      <c r="E422" s="81" t="s">
        <v>2191</v>
      </c>
      <c r="F422" s="81" t="s">
        <v>2192</v>
      </c>
      <c r="G422" s="81" t="s">
        <v>2413</v>
      </c>
      <c r="H422" s="81" t="s">
        <v>2429</v>
      </c>
      <c r="I422" s="81" t="s">
        <v>2353</v>
      </c>
      <c r="J422" s="81" t="s">
        <v>2186</v>
      </c>
      <c r="K422" s="81" t="s">
        <v>2243</v>
      </c>
      <c r="L422" s="81" t="s">
        <v>2392</v>
      </c>
      <c r="M422" s="81" t="s">
        <v>2224</v>
      </c>
      <c r="N422" s="81" t="s">
        <v>2231</v>
      </c>
      <c r="O422" s="81" t="s">
        <v>2187</v>
      </c>
      <c r="P422" s="81" t="s">
        <v>2187</v>
      </c>
      <c r="Q422" s="81" t="s">
        <v>43</v>
      </c>
      <c r="R422" s="81" t="s">
        <v>46</v>
      </c>
      <c r="S422" s="81" t="s">
        <v>47</v>
      </c>
      <c r="T422" s="81" t="s">
        <v>48</v>
      </c>
      <c r="U422" s="81" t="s">
        <v>48</v>
      </c>
      <c r="V422" s="81" t="s">
        <v>48</v>
      </c>
      <c r="W422" s="81" t="s">
        <v>49</v>
      </c>
      <c r="X422" s="81" t="s">
        <v>48</v>
      </c>
      <c r="Y422" s="81" t="s">
        <v>48</v>
      </c>
    </row>
    <row r="423" spans="1:25" x14ac:dyDescent="0.3">
      <c r="A423" s="16">
        <v>7501075720969</v>
      </c>
      <c r="B423" s="81" t="s">
        <v>43</v>
      </c>
      <c r="C423" s="81" t="s">
        <v>528</v>
      </c>
      <c r="D423" s="81" t="s">
        <v>45</v>
      </c>
      <c r="E423" s="81" t="s">
        <v>2295</v>
      </c>
      <c r="F423" s="81" t="s">
        <v>2486</v>
      </c>
      <c r="G423" s="81" t="s">
        <v>4854</v>
      </c>
      <c r="H423" s="81" t="s">
        <v>2400</v>
      </c>
      <c r="I423" s="81" t="s">
        <v>5865</v>
      </c>
      <c r="J423" s="81" t="s">
        <v>2186</v>
      </c>
      <c r="K423" s="81" t="s">
        <v>5865</v>
      </c>
      <c r="L423" s="81" t="s">
        <v>2392</v>
      </c>
      <c r="M423" s="81" t="s">
        <v>5865</v>
      </c>
      <c r="N423" s="81" t="s">
        <v>2231</v>
      </c>
      <c r="O423" s="81" t="s">
        <v>2187</v>
      </c>
      <c r="P423" s="81" t="s">
        <v>2187</v>
      </c>
      <c r="Q423" s="81" t="s">
        <v>43</v>
      </c>
      <c r="R423" s="81" t="s">
        <v>46</v>
      </c>
      <c r="S423" s="81" t="s">
        <v>47</v>
      </c>
      <c r="T423" s="81" t="s">
        <v>48</v>
      </c>
      <c r="U423" s="81" t="s">
        <v>48</v>
      </c>
      <c r="V423" s="81" t="s">
        <v>48</v>
      </c>
      <c r="W423" s="81" t="s">
        <v>49</v>
      </c>
      <c r="X423" s="81" t="s">
        <v>48</v>
      </c>
      <c r="Y423" s="81" t="s">
        <v>48</v>
      </c>
    </row>
    <row r="424" spans="1:25" x14ac:dyDescent="0.3">
      <c r="A424" s="16">
        <v>7502208894397</v>
      </c>
      <c r="B424" s="81" t="s">
        <v>43</v>
      </c>
      <c r="C424" s="81" t="s">
        <v>1728</v>
      </c>
      <c r="D424" s="81" t="s">
        <v>45</v>
      </c>
      <c r="E424" s="81" t="s">
        <v>2227</v>
      </c>
      <c r="F424" s="81" t="s">
        <v>2227</v>
      </c>
      <c r="G424" s="81" t="s">
        <v>2952</v>
      </c>
      <c r="H424" s="81" t="s">
        <v>2251</v>
      </c>
      <c r="I424" s="81" t="s">
        <v>5866</v>
      </c>
      <c r="J424" s="81" t="s">
        <v>2186</v>
      </c>
      <c r="K424" s="81" t="s">
        <v>5866</v>
      </c>
      <c r="L424" s="81" t="s">
        <v>2392</v>
      </c>
      <c r="M424" s="81" t="s">
        <v>5866</v>
      </c>
      <c r="N424" s="81" t="s">
        <v>2231</v>
      </c>
      <c r="O424" s="81" t="s">
        <v>2187</v>
      </c>
      <c r="P424" s="81" t="s">
        <v>2187</v>
      </c>
      <c r="Q424" s="81" t="s">
        <v>43</v>
      </c>
      <c r="R424" s="81" t="s">
        <v>106</v>
      </c>
      <c r="S424" s="81" t="s">
        <v>106</v>
      </c>
      <c r="T424" s="81" t="s">
        <v>48</v>
      </c>
      <c r="U424" s="81" t="s">
        <v>48</v>
      </c>
      <c r="V424" s="81" t="s">
        <v>48</v>
      </c>
      <c r="W424" s="81" t="s">
        <v>49</v>
      </c>
      <c r="X424" s="81" t="s">
        <v>48</v>
      </c>
      <c r="Y424" s="81" t="s">
        <v>48</v>
      </c>
    </row>
    <row r="425" spans="1:25" x14ac:dyDescent="0.3">
      <c r="A425" s="16">
        <v>7501537102579</v>
      </c>
      <c r="B425" s="81" t="s">
        <v>43</v>
      </c>
      <c r="C425" s="81" t="s">
        <v>1922</v>
      </c>
      <c r="D425" s="81" t="s">
        <v>45</v>
      </c>
      <c r="E425" s="81" t="s">
        <v>2410</v>
      </c>
      <c r="F425" s="81" t="s">
        <v>2861</v>
      </c>
      <c r="G425" s="81" t="s">
        <v>4422</v>
      </c>
      <c r="H425" s="81" t="s">
        <v>2237</v>
      </c>
      <c r="I425" s="81" t="s">
        <v>5867</v>
      </c>
      <c r="J425" s="81" t="s">
        <v>2186</v>
      </c>
      <c r="K425" s="81" t="s">
        <v>5867</v>
      </c>
      <c r="L425" s="81" t="s">
        <v>2392</v>
      </c>
      <c r="M425" s="81" t="s">
        <v>5867</v>
      </c>
      <c r="N425" s="81" t="s">
        <v>2231</v>
      </c>
      <c r="O425" s="81" t="s">
        <v>2187</v>
      </c>
      <c r="P425" s="81" t="s">
        <v>2187</v>
      </c>
      <c r="Q425" s="81" t="s">
        <v>43</v>
      </c>
      <c r="R425" s="81" t="s">
        <v>46</v>
      </c>
      <c r="S425" s="81" t="s">
        <v>46</v>
      </c>
      <c r="T425" s="81" t="s">
        <v>48</v>
      </c>
      <c r="U425" s="81" t="s">
        <v>48</v>
      </c>
      <c r="V425" s="81" t="s">
        <v>48</v>
      </c>
      <c r="W425" s="81" t="s">
        <v>49</v>
      </c>
      <c r="X425" s="81" t="s">
        <v>48</v>
      </c>
      <c r="Y425" s="81" t="s">
        <v>48</v>
      </c>
    </row>
    <row r="426" spans="1:25" x14ac:dyDescent="0.3">
      <c r="A426" s="16">
        <v>7501075717013</v>
      </c>
      <c r="B426" s="81" t="s">
        <v>43</v>
      </c>
      <c r="C426" s="81" t="s">
        <v>2124</v>
      </c>
      <c r="D426" s="81" t="s">
        <v>45</v>
      </c>
      <c r="E426" s="81" t="s">
        <v>2227</v>
      </c>
      <c r="F426" s="81" t="s">
        <v>2227</v>
      </c>
      <c r="G426" s="81" t="s">
        <v>2556</v>
      </c>
      <c r="H426" s="81" t="s">
        <v>2325</v>
      </c>
      <c r="I426" s="81" t="s">
        <v>5602</v>
      </c>
      <c r="J426" s="81" t="s">
        <v>2186</v>
      </c>
      <c r="K426" s="81" t="s">
        <v>5602</v>
      </c>
      <c r="L426" s="81" t="s">
        <v>2392</v>
      </c>
      <c r="M426" s="81" t="s">
        <v>5602</v>
      </c>
      <c r="N426" s="81" t="s">
        <v>2231</v>
      </c>
      <c r="O426" s="81" t="s">
        <v>2187</v>
      </c>
      <c r="P426" s="81" t="s">
        <v>2187</v>
      </c>
      <c r="Q426" s="81" t="s">
        <v>43</v>
      </c>
      <c r="R426" s="81" t="s">
        <v>46</v>
      </c>
      <c r="S426" s="81" t="s">
        <v>46</v>
      </c>
      <c r="T426" s="81" t="s">
        <v>48</v>
      </c>
      <c r="U426" s="81" t="s">
        <v>48</v>
      </c>
      <c r="V426" s="81" t="s">
        <v>48</v>
      </c>
      <c r="W426" s="81" t="s">
        <v>49</v>
      </c>
      <c r="X426" s="81" t="s">
        <v>48</v>
      </c>
      <c r="Y426" s="81" t="s">
        <v>48</v>
      </c>
    </row>
    <row r="427" spans="1:25" x14ac:dyDescent="0.3">
      <c r="A427" s="16">
        <v>785118753955</v>
      </c>
      <c r="B427" s="81" t="s">
        <v>43</v>
      </c>
      <c r="C427" s="81" t="s">
        <v>529</v>
      </c>
      <c r="D427" s="81" t="s">
        <v>45</v>
      </c>
      <c r="E427" s="81" t="s">
        <v>2303</v>
      </c>
      <c r="F427" s="81" t="s">
        <v>2233</v>
      </c>
      <c r="G427" s="81" t="s">
        <v>5868</v>
      </c>
      <c r="H427" s="81" t="s">
        <v>2535</v>
      </c>
      <c r="I427" s="81" t="s">
        <v>5682</v>
      </c>
      <c r="J427" s="81" t="s">
        <v>2186</v>
      </c>
      <c r="K427" s="81" t="s">
        <v>5682</v>
      </c>
      <c r="L427" s="81" t="s">
        <v>2392</v>
      </c>
      <c r="M427" s="81" t="s">
        <v>5682</v>
      </c>
      <c r="N427" s="81" t="s">
        <v>2231</v>
      </c>
      <c r="O427" s="81" t="s">
        <v>2187</v>
      </c>
      <c r="P427" s="81" t="s">
        <v>2187</v>
      </c>
      <c r="Q427" s="81" t="s">
        <v>43</v>
      </c>
      <c r="R427" s="81" t="s">
        <v>46</v>
      </c>
      <c r="S427" s="81" t="s">
        <v>47</v>
      </c>
      <c r="T427" s="81" t="s">
        <v>48</v>
      </c>
      <c r="U427" s="81" t="s">
        <v>48</v>
      </c>
      <c r="V427" s="81" t="s">
        <v>48</v>
      </c>
      <c r="W427" s="81" t="s">
        <v>49</v>
      </c>
      <c r="X427" s="81" t="s">
        <v>48</v>
      </c>
      <c r="Y427" s="81" t="s">
        <v>48</v>
      </c>
    </row>
    <row r="428" spans="1:25" x14ac:dyDescent="0.3">
      <c r="A428" s="16">
        <v>7501125187131</v>
      </c>
      <c r="B428" s="81" t="s">
        <v>43</v>
      </c>
      <c r="C428" s="81" t="s">
        <v>2953</v>
      </c>
      <c r="D428" s="81" t="s">
        <v>45</v>
      </c>
      <c r="E428" s="81" t="s">
        <v>2227</v>
      </c>
      <c r="F428" s="81" t="s">
        <v>2227</v>
      </c>
      <c r="G428" s="81" t="s">
        <v>4768</v>
      </c>
      <c r="H428" s="81" t="s">
        <v>2325</v>
      </c>
      <c r="I428" s="81" t="s">
        <v>2331</v>
      </c>
      <c r="J428" s="81" t="s">
        <v>2186</v>
      </c>
      <c r="K428" s="81" t="s">
        <v>2331</v>
      </c>
      <c r="L428" s="81" t="s">
        <v>2392</v>
      </c>
      <c r="M428" s="81" t="s">
        <v>2331</v>
      </c>
      <c r="N428" s="81" t="s">
        <v>2231</v>
      </c>
      <c r="O428" s="81" t="s">
        <v>2187</v>
      </c>
      <c r="P428" s="81" t="s">
        <v>2187</v>
      </c>
      <c r="Q428" s="81" t="s">
        <v>43</v>
      </c>
      <c r="R428" s="81" t="s">
        <v>462</v>
      </c>
      <c r="S428" s="81" t="s">
        <v>462</v>
      </c>
      <c r="T428" s="81" t="s">
        <v>48</v>
      </c>
      <c r="U428" s="81" t="s">
        <v>48</v>
      </c>
      <c r="V428" s="81" t="s">
        <v>48</v>
      </c>
      <c r="W428" s="81" t="s">
        <v>49</v>
      </c>
      <c r="X428" s="81" t="s">
        <v>48</v>
      </c>
      <c r="Y428" s="81" t="s">
        <v>48</v>
      </c>
    </row>
    <row r="429" spans="1:25" x14ac:dyDescent="0.3">
      <c r="A429" s="16">
        <v>7501125104343</v>
      </c>
      <c r="B429" s="81" t="s">
        <v>43</v>
      </c>
      <c r="C429" s="81" t="s">
        <v>1923</v>
      </c>
      <c r="D429" s="81" t="s">
        <v>45</v>
      </c>
      <c r="E429" s="81" t="s">
        <v>2227</v>
      </c>
      <c r="F429" s="81" t="s">
        <v>2227</v>
      </c>
      <c r="G429" s="81" t="s">
        <v>4768</v>
      </c>
      <c r="H429" s="81" t="s">
        <v>2325</v>
      </c>
      <c r="I429" s="81" t="s">
        <v>2331</v>
      </c>
      <c r="J429" s="81" t="s">
        <v>2186</v>
      </c>
      <c r="K429" s="81" t="s">
        <v>2331</v>
      </c>
      <c r="L429" s="81" t="s">
        <v>2392</v>
      </c>
      <c r="M429" s="81" t="s">
        <v>2331</v>
      </c>
      <c r="N429" s="81" t="s">
        <v>2231</v>
      </c>
      <c r="O429" s="81" t="s">
        <v>2187</v>
      </c>
      <c r="P429" s="81" t="s">
        <v>2187</v>
      </c>
      <c r="Q429" s="81" t="s">
        <v>43</v>
      </c>
      <c r="R429" s="81" t="s">
        <v>122</v>
      </c>
      <c r="S429" s="81" t="s">
        <v>123</v>
      </c>
      <c r="T429" s="81" t="s">
        <v>48</v>
      </c>
      <c r="U429" s="81" t="s">
        <v>48</v>
      </c>
      <c r="V429" s="81" t="s">
        <v>48</v>
      </c>
      <c r="W429" s="81" t="s">
        <v>49</v>
      </c>
      <c r="X429" s="81" t="s">
        <v>48</v>
      </c>
      <c r="Y429" s="81" t="s">
        <v>48</v>
      </c>
    </row>
    <row r="430" spans="1:25" x14ac:dyDescent="0.3">
      <c r="A430" s="16">
        <v>7501125144851</v>
      </c>
      <c r="B430" s="81" t="s">
        <v>43</v>
      </c>
      <c r="C430" s="81" t="s">
        <v>1924</v>
      </c>
      <c r="D430" s="81" t="s">
        <v>45</v>
      </c>
      <c r="E430" s="81" t="s">
        <v>2389</v>
      </c>
      <c r="F430" s="81" t="s">
        <v>2954</v>
      </c>
      <c r="G430" s="81" t="s">
        <v>4768</v>
      </c>
      <c r="H430" s="81" t="s">
        <v>2325</v>
      </c>
      <c r="I430" s="81" t="s">
        <v>2331</v>
      </c>
      <c r="J430" s="81" t="s">
        <v>2186</v>
      </c>
      <c r="K430" s="81" t="s">
        <v>2331</v>
      </c>
      <c r="L430" s="81" t="s">
        <v>2392</v>
      </c>
      <c r="M430" s="81" t="s">
        <v>2331</v>
      </c>
      <c r="N430" s="81" t="s">
        <v>2231</v>
      </c>
      <c r="O430" s="81" t="s">
        <v>2187</v>
      </c>
      <c r="P430" s="81" t="s">
        <v>2187</v>
      </c>
      <c r="Q430" s="81" t="s">
        <v>43</v>
      </c>
      <c r="R430" s="81" t="s">
        <v>122</v>
      </c>
      <c r="S430" s="81" t="s">
        <v>122</v>
      </c>
      <c r="T430" s="81" t="s">
        <v>48</v>
      </c>
      <c r="U430" s="81" t="s">
        <v>48</v>
      </c>
      <c r="V430" s="81" t="s">
        <v>48</v>
      </c>
      <c r="W430" s="81" t="s">
        <v>49</v>
      </c>
      <c r="X430" s="81" t="s">
        <v>48</v>
      </c>
      <c r="Y430" s="81" t="s">
        <v>48</v>
      </c>
    </row>
    <row r="431" spans="1:25" x14ac:dyDescent="0.3">
      <c r="A431" s="16">
        <v>7501125103582</v>
      </c>
      <c r="B431" s="81" t="s">
        <v>43</v>
      </c>
      <c r="C431" s="81" t="s">
        <v>530</v>
      </c>
      <c r="D431" s="81" t="s">
        <v>45</v>
      </c>
      <c r="E431" s="81" t="s">
        <v>2227</v>
      </c>
      <c r="F431" s="81" t="s">
        <v>2227</v>
      </c>
      <c r="G431" s="81" t="s">
        <v>4768</v>
      </c>
      <c r="H431" s="81" t="s">
        <v>2325</v>
      </c>
      <c r="I431" s="81" t="s">
        <v>2331</v>
      </c>
      <c r="J431" s="81" t="s">
        <v>2186</v>
      </c>
      <c r="K431" s="81" t="s">
        <v>2331</v>
      </c>
      <c r="L431" s="81" t="s">
        <v>2392</v>
      </c>
      <c r="M431" s="81" t="s">
        <v>2331</v>
      </c>
      <c r="N431" s="81" t="s">
        <v>2231</v>
      </c>
      <c r="O431" s="81" t="s">
        <v>2187</v>
      </c>
      <c r="P431" s="81" t="s">
        <v>2187</v>
      </c>
      <c r="Q431" s="81" t="s">
        <v>43</v>
      </c>
      <c r="R431" s="81" t="s">
        <v>203</v>
      </c>
      <c r="S431" s="81" t="s">
        <v>203</v>
      </c>
      <c r="T431" s="81" t="s">
        <v>48</v>
      </c>
      <c r="U431" s="81" t="s">
        <v>48</v>
      </c>
      <c r="V431" s="81" t="s">
        <v>48</v>
      </c>
      <c r="W431" s="81" t="s">
        <v>49</v>
      </c>
      <c r="X431" s="81" t="s">
        <v>48</v>
      </c>
      <c r="Y431" s="81" t="s">
        <v>48</v>
      </c>
    </row>
    <row r="432" spans="1:25" x14ac:dyDescent="0.3">
      <c r="A432" s="16">
        <v>7501125104688</v>
      </c>
      <c r="B432" s="81" t="s">
        <v>43</v>
      </c>
      <c r="C432" s="81" t="s">
        <v>2955</v>
      </c>
      <c r="D432" s="81" t="s">
        <v>45</v>
      </c>
      <c r="E432" s="81" t="s">
        <v>2227</v>
      </c>
      <c r="F432" s="81" t="s">
        <v>2227</v>
      </c>
      <c r="G432" s="81" t="s">
        <v>4768</v>
      </c>
      <c r="H432" s="81" t="s">
        <v>2325</v>
      </c>
      <c r="I432" s="81" t="s">
        <v>2331</v>
      </c>
      <c r="J432" s="81" t="s">
        <v>2186</v>
      </c>
      <c r="K432" s="81" t="s">
        <v>2331</v>
      </c>
      <c r="L432" s="81" t="s">
        <v>2392</v>
      </c>
      <c r="M432" s="81" t="s">
        <v>2331</v>
      </c>
      <c r="N432" s="81" t="s">
        <v>2231</v>
      </c>
      <c r="O432" s="81" t="s">
        <v>2187</v>
      </c>
      <c r="P432" s="81" t="s">
        <v>2187</v>
      </c>
      <c r="Q432" s="81" t="s">
        <v>43</v>
      </c>
      <c r="R432" s="81" t="s">
        <v>122</v>
      </c>
      <c r="S432" s="81" t="s">
        <v>123</v>
      </c>
      <c r="T432" s="81" t="s">
        <v>48</v>
      </c>
      <c r="U432" s="81" t="s">
        <v>48</v>
      </c>
      <c r="V432" s="81" t="s">
        <v>48</v>
      </c>
      <c r="W432" s="81" t="s">
        <v>49</v>
      </c>
      <c r="X432" s="81" t="s">
        <v>48</v>
      </c>
      <c r="Y432" s="81" t="s">
        <v>48</v>
      </c>
    </row>
    <row r="433" spans="1:25" x14ac:dyDescent="0.3">
      <c r="A433" s="16">
        <v>7501125118562</v>
      </c>
      <c r="B433" s="81" t="s">
        <v>43</v>
      </c>
      <c r="C433" s="81" t="s">
        <v>2956</v>
      </c>
      <c r="D433" s="81" t="s">
        <v>45</v>
      </c>
      <c r="E433" s="81" t="s">
        <v>2227</v>
      </c>
      <c r="F433" s="81" t="s">
        <v>2227</v>
      </c>
      <c r="G433" s="81" t="s">
        <v>4768</v>
      </c>
      <c r="H433" s="81" t="s">
        <v>2325</v>
      </c>
      <c r="I433" s="81" t="s">
        <v>2331</v>
      </c>
      <c r="J433" s="81" t="s">
        <v>2186</v>
      </c>
      <c r="K433" s="81" t="s">
        <v>2331</v>
      </c>
      <c r="L433" s="81" t="s">
        <v>2392</v>
      </c>
      <c r="M433" s="81" t="s">
        <v>2331</v>
      </c>
      <c r="N433" s="81" t="s">
        <v>2231</v>
      </c>
      <c r="O433" s="81" t="s">
        <v>2187</v>
      </c>
      <c r="P433" s="81" t="s">
        <v>2187</v>
      </c>
      <c r="Q433" s="81" t="s">
        <v>43</v>
      </c>
      <c r="R433" s="81" t="s">
        <v>122</v>
      </c>
      <c r="S433" s="81" t="s">
        <v>123</v>
      </c>
      <c r="T433" s="81" t="s">
        <v>48</v>
      </c>
      <c r="U433" s="81" t="s">
        <v>48</v>
      </c>
      <c r="V433" s="81" t="s">
        <v>48</v>
      </c>
      <c r="W433" s="81" t="s">
        <v>49</v>
      </c>
      <c r="X433" s="81" t="s">
        <v>48</v>
      </c>
      <c r="Y433" s="81" t="s">
        <v>48</v>
      </c>
    </row>
    <row r="434" spans="1:25" x14ac:dyDescent="0.3">
      <c r="A434" s="16">
        <v>7501125104268</v>
      </c>
      <c r="B434" s="81" t="s">
        <v>43</v>
      </c>
      <c r="C434" s="81" t="s">
        <v>1925</v>
      </c>
      <c r="D434" s="81" t="s">
        <v>45</v>
      </c>
      <c r="E434" s="81" t="s">
        <v>2227</v>
      </c>
      <c r="F434" s="81" t="s">
        <v>2227</v>
      </c>
      <c r="G434" s="81" t="s">
        <v>4768</v>
      </c>
      <c r="H434" s="81" t="s">
        <v>2325</v>
      </c>
      <c r="I434" s="81" t="s">
        <v>2331</v>
      </c>
      <c r="J434" s="81" t="s">
        <v>2186</v>
      </c>
      <c r="K434" s="81" t="s">
        <v>2331</v>
      </c>
      <c r="L434" s="81" t="s">
        <v>2392</v>
      </c>
      <c r="M434" s="81" t="s">
        <v>2331</v>
      </c>
      <c r="N434" s="81" t="s">
        <v>2231</v>
      </c>
      <c r="O434" s="81" t="s">
        <v>2187</v>
      </c>
      <c r="P434" s="81" t="s">
        <v>2187</v>
      </c>
      <c r="Q434" s="81" t="s">
        <v>43</v>
      </c>
      <c r="R434" s="81" t="s">
        <v>122</v>
      </c>
      <c r="S434" s="81" t="s">
        <v>123</v>
      </c>
      <c r="T434" s="81" t="s">
        <v>48</v>
      </c>
      <c r="U434" s="81" t="s">
        <v>48</v>
      </c>
      <c r="V434" s="81" t="s">
        <v>48</v>
      </c>
      <c r="W434" s="81" t="s">
        <v>49</v>
      </c>
      <c r="X434" s="81" t="s">
        <v>48</v>
      </c>
      <c r="Y434" s="81" t="s">
        <v>48</v>
      </c>
    </row>
    <row r="435" spans="1:25" x14ac:dyDescent="0.3">
      <c r="A435" s="16">
        <v>7501125174797</v>
      </c>
      <c r="B435" s="81" t="s">
        <v>43</v>
      </c>
      <c r="C435" s="81" t="s">
        <v>2957</v>
      </c>
      <c r="D435" s="81" t="s">
        <v>45</v>
      </c>
      <c r="E435" s="81" t="s">
        <v>2192</v>
      </c>
      <c r="F435" s="81" t="s">
        <v>2629</v>
      </c>
      <c r="G435" s="81" t="s">
        <v>4768</v>
      </c>
      <c r="H435" s="81" t="s">
        <v>2325</v>
      </c>
      <c r="I435" s="81" t="s">
        <v>2331</v>
      </c>
      <c r="J435" s="81" t="s">
        <v>2186</v>
      </c>
      <c r="K435" s="81" t="s">
        <v>2331</v>
      </c>
      <c r="L435" s="81" t="s">
        <v>2392</v>
      </c>
      <c r="M435" s="81" t="s">
        <v>2331</v>
      </c>
      <c r="N435" s="81" t="s">
        <v>2231</v>
      </c>
      <c r="O435" s="81" t="s">
        <v>2187</v>
      </c>
      <c r="P435" s="81" t="s">
        <v>2187</v>
      </c>
      <c r="Q435" s="81" t="s">
        <v>43</v>
      </c>
      <c r="R435" s="81" t="s">
        <v>462</v>
      </c>
      <c r="S435" s="81" t="s">
        <v>462</v>
      </c>
      <c r="T435" s="81" t="s">
        <v>48</v>
      </c>
      <c r="U435" s="81" t="s">
        <v>48</v>
      </c>
      <c r="V435" s="81" t="s">
        <v>48</v>
      </c>
      <c r="W435" s="81" t="s">
        <v>49</v>
      </c>
      <c r="X435" s="81" t="s">
        <v>48</v>
      </c>
      <c r="Y435" s="81" t="s">
        <v>48</v>
      </c>
    </row>
    <row r="436" spans="1:25" x14ac:dyDescent="0.3">
      <c r="A436" s="16">
        <v>7501125104411</v>
      </c>
      <c r="B436" s="81" t="s">
        <v>43</v>
      </c>
      <c r="C436" s="81" t="s">
        <v>2958</v>
      </c>
      <c r="D436" s="81" t="s">
        <v>45</v>
      </c>
      <c r="E436" s="81" t="s">
        <v>2227</v>
      </c>
      <c r="F436" s="81" t="s">
        <v>2227</v>
      </c>
      <c r="G436" s="81" t="s">
        <v>4768</v>
      </c>
      <c r="H436" s="81" t="s">
        <v>2325</v>
      </c>
      <c r="I436" s="81" t="s">
        <v>2331</v>
      </c>
      <c r="J436" s="81" t="s">
        <v>2186</v>
      </c>
      <c r="K436" s="81" t="s">
        <v>2331</v>
      </c>
      <c r="L436" s="81" t="s">
        <v>2392</v>
      </c>
      <c r="M436" s="81" t="s">
        <v>2331</v>
      </c>
      <c r="N436" s="81" t="s">
        <v>2231</v>
      </c>
      <c r="O436" s="81" t="s">
        <v>2187</v>
      </c>
      <c r="P436" s="81" t="s">
        <v>2187</v>
      </c>
      <c r="Q436" s="81" t="s">
        <v>43</v>
      </c>
      <c r="R436" s="81" t="s">
        <v>122</v>
      </c>
      <c r="S436" s="81" t="s">
        <v>123</v>
      </c>
      <c r="T436" s="81" t="s">
        <v>48</v>
      </c>
      <c r="U436" s="81" t="s">
        <v>48</v>
      </c>
      <c r="V436" s="81" t="s">
        <v>48</v>
      </c>
      <c r="W436" s="81" t="s">
        <v>49</v>
      </c>
      <c r="X436" s="81" t="s">
        <v>48</v>
      </c>
      <c r="Y436" s="81" t="s">
        <v>48</v>
      </c>
    </row>
    <row r="437" spans="1:25" x14ac:dyDescent="0.3">
      <c r="A437" s="16">
        <v>7501125187179</v>
      </c>
      <c r="B437" s="81" t="s">
        <v>43</v>
      </c>
      <c r="C437" s="81" t="s">
        <v>531</v>
      </c>
      <c r="D437" s="81" t="s">
        <v>45</v>
      </c>
      <c r="E437" s="81" t="s">
        <v>2227</v>
      </c>
      <c r="F437" s="81" t="s">
        <v>2227</v>
      </c>
      <c r="G437" s="81" t="s">
        <v>4768</v>
      </c>
      <c r="H437" s="81" t="s">
        <v>2325</v>
      </c>
      <c r="I437" s="81" t="s">
        <v>2331</v>
      </c>
      <c r="J437" s="81" t="s">
        <v>2186</v>
      </c>
      <c r="K437" s="81" t="s">
        <v>2331</v>
      </c>
      <c r="L437" s="81" t="s">
        <v>2392</v>
      </c>
      <c r="M437" s="81" t="s">
        <v>2331</v>
      </c>
      <c r="N437" s="81" t="s">
        <v>2231</v>
      </c>
      <c r="O437" s="81" t="s">
        <v>2187</v>
      </c>
      <c r="P437" s="81" t="s">
        <v>2187</v>
      </c>
      <c r="Q437" s="81" t="s">
        <v>43</v>
      </c>
      <c r="R437" s="81" t="s">
        <v>462</v>
      </c>
      <c r="S437" s="81" t="s">
        <v>462</v>
      </c>
      <c r="T437" s="81" t="s">
        <v>48</v>
      </c>
      <c r="U437" s="81" t="s">
        <v>48</v>
      </c>
      <c r="V437" s="81" t="s">
        <v>48</v>
      </c>
      <c r="W437" s="81" t="s">
        <v>49</v>
      </c>
      <c r="X437" s="81" t="s">
        <v>48</v>
      </c>
      <c r="Y437" s="81" t="s">
        <v>48</v>
      </c>
    </row>
    <row r="438" spans="1:25" x14ac:dyDescent="0.3">
      <c r="A438" s="16">
        <v>7501125149221</v>
      </c>
      <c r="B438" s="81" t="s">
        <v>43</v>
      </c>
      <c r="C438" s="81" t="s">
        <v>2959</v>
      </c>
      <c r="D438" s="81" t="s">
        <v>45</v>
      </c>
      <c r="E438" s="81" t="s">
        <v>2227</v>
      </c>
      <c r="F438" s="81" t="s">
        <v>2227</v>
      </c>
      <c r="G438" s="81" t="s">
        <v>4768</v>
      </c>
      <c r="H438" s="81" t="s">
        <v>2325</v>
      </c>
      <c r="I438" s="81" t="s">
        <v>2331</v>
      </c>
      <c r="J438" s="81" t="s">
        <v>2186</v>
      </c>
      <c r="K438" s="81" t="s">
        <v>2331</v>
      </c>
      <c r="L438" s="81" t="s">
        <v>2392</v>
      </c>
      <c r="M438" s="81" t="s">
        <v>2331</v>
      </c>
      <c r="N438" s="81" t="s">
        <v>2231</v>
      </c>
      <c r="O438" s="81" t="s">
        <v>2187</v>
      </c>
      <c r="P438" s="81" t="s">
        <v>2187</v>
      </c>
      <c r="Q438" s="81" t="s">
        <v>43</v>
      </c>
      <c r="R438" s="81" t="s">
        <v>122</v>
      </c>
      <c r="S438" s="81" t="s">
        <v>123</v>
      </c>
      <c r="T438" s="81" t="s">
        <v>48</v>
      </c>
      <c r="U438" s="81" t="s">
        <v>48</v>
      </c>
      <c r="V438" s="81" t="s">
        <v>48</v>
      </c>
      <c r="W438" s="81" t="s">
        <v>49</v>
      </c>
      <c r="X438" s="81" t="s">
        <v>48</v>
      </c>
      <c r="Y438" s="81" t="s">
        <v>48</v>
      </c>
    </row>
    <row r="439" spans="1:25" x14ac:dyDescent="0.3">
      <c r="A439" s="16">
        <v>7501122963028</v>
      </c>
      <c r="B439" s="81" t="s">
        <v>43</v>
      </c>
      <c r="C439" s="81" t="s">
        <v>1811</v>
      </c>
      <c r="D439" s="81" t="s">
        <v>45</v>
      </c>
      <c r="E439" s="81" t="s">
        <v>2442</v>
      </c>
      <c r="F439" s="81" t="s">
        <v>2620</v>
      </c>
      <c r="G439" s="81" t="s">
        <v>4900</v>
      </c>
      <c r="H439" s="81" t="s">
        <v>2726</v>
      </c>
      <c r="I439" s="81" t="s">
        <v>5869</v>
      </c>
      <c r="J439" s="81" t="s">
        <v>2186</v>
      </c>
      <c r="K439" s="81" t="s">
        <v>5869</v>
      </c>
      <c r="L439" s="81" t="s">
        <v>2392</v>
      </c>
      <c r="M439" s="81" t="s">
        <v>5869</v>
      </c>
      <c r="N439" s="81" t="s">
        <v>2231</v>
      </c>
      <c r="O439" s="81" t="s">
        <v>2187</v>
      </c>
      <c r="P439" s="81" t="s">
        <v>2187</v>
      </c>
      <c r="Q439" s="81" t="s">
        <v>43</v>
      </c>
      <c r="R439" s="81" t="s">
        <v>203</v>
      </c>
      <c r="S439" s="81" t="s">
        <v>47</v>
      </c>
      <c r="T439" s="81" t="s">
        <v>48</v>
      </c>
      <c r="U439" s="81" t="s">
        <v>48</v>
      </c>
      <c r="V439" s="81" t="s">
        <v>48</v>
      </c>
      <c r="W439" s="81" t="s">
        <v>49</v>
      </c>
      <c r="X439" s="81" t="s">
        <v>48</v>
      </c>
      <c r="Y439" s="81" t="s">
        <v>48</v>
      </c>
    </row>
    <row r="440" spans="1:25" x14ac:dyDescent="0.3">
      <c r="A440" s="16">
        <v>7501349012004</v>
      </c>
      <c r="B440" s="81" t="s">
        <v>43</v>
      </c>
      <c r="C440" s="81" t="s">
        <v>1812</v>
      </c>
      <c r="D440" s="81" t="s">
        <v>45</v>
      </c>
      <c r="E440" s="81" t="s">
        <v>2618</v>
      </c>
      <c r="F440" s="81" t="s">
        <v>2962</v>
      </c>
      <c r="G440" s="81" t="s">
        <v>5484</v>
      </c>
      <c r="H440" s="81" t="s">
        <v>2264</v>
      </c>
      <c r="I440" s="81" t="s">
        <v>5870</v>
      </c>
      <c r="J440" s="81" t="s">
        <v>2186</v>
      </c>
      <c r="K440" s="81" t="s">
        <v>5870</v>
      </c>
      <c r="L440" s="81" t="s">
        <v>2392</v>
      </c>
      <c r="M440" s="81" t="s">
        <v>5870</v>
      </c>
      <c r="N440" s="81" t="s">
        <v>2231</v>
      </c>
      <c r="O440" s="81" t="s">
        <v>2187</v>
      </c>
      <c r="P440" s="81" t="s">
        <v>2187</v>
      </c>
      <c r="Q440" s="81" t="s">
        <v>43</v>
      </c>
      <c r="R440" s="81" t="s">
        <v>51</v>
      </c>
      <c r="S440" s="81" t="s">
        <v>81</v>
      </c>
      <c r="T440" s="81" t="s">
        <v>49</v>
      </c>
      <c r="U440" s="81" t="s">
        <v>48</v>
      </c>
      <c r="V440" s="81" t="s">
        <v>48</v>
      </c>
      <c r="W440" s="81" t="s">
        <v>49</v>
      </c>
      <c r="X440" s="81" t="s">
        <v>48</v>
      </c>
      <c r="Y440" s="81" t="s">
        <v>48</v>
      </c>
    </row>
    <row r="441" spans="1:25" x14ac:dyDescent="0.3">
      <c r="A441" s="16">
        <v>7502253602312</v>
      </c>
      <c r="B441" s="81" t="s">
        <v>43</v>
      </c>
      <c r="C441" s="81" t="s">
        <v>532</v>
      </c>
      <c r="D441" s="81" t="s">
        <v>45</v>
      </c>
      <c r="E441" s="81" t="s">
        <v>2369</v>
      </c>
      <c r="F441" s="81" t="s">
        <v>2180</v>
      </c>
      <c r="G441" s="81" t="s">
        <v>2963</v>
      </c>
      <c r="H441" s="81" t="s">
        <v>5871</v>
      </c>
      <c r="I441" s="81" t="s">
        <v>5872</v>
      </c>
      <c r="J441" s="81" t="s">
        <v>2186</v>
      </c>
      <c r="K441" s="81" t="s">
        <v>5872</v>
      </c>
      <c r="L441" s="81" t="s">
        <v>2392</v>
      </c>
      <c r="M441" s="81" t="s">
        <v>5872</v>
      </c>
      <c r="N441" s="81" t="s">
        <v>2231</v>
      </c>
      <c r="O441" s="81" t="s">
        <v>2187</v>
      </c>
      <c r="P441" s="81" t="s">
        <v>2187</v>
      </c>
      <c r="Q441" s="81" t="s">
        <v>43</v>
      </c>
      <c r="R441" s="81" t="s">
        <v>203</v>
      </c>
      <c r="S441" s="81" t="s">
        <v>203</v>
      </c>
      <c r="T441" s="81" t="s">
        <v>48</v>
      </c>
      <c r="U441" s="81" t="s">
        <v>48</v>
      </c>
      <c r="V441" s="81" t="s">
        <v>49</v>
      </c>
      <c r="W441" s="81" t="s">
        <v>48</v>
      </c>
      <c r="X441" s="81" t="s">
        <v>48</v>
      </c>
      <c r="Y441" s="81" t="s">
        <v>48</v>
      </c>
    </row>
    <row r="442" spans="1:25" x14ac:dyDescent="0.3">
      <c r="A442" s="16">
        <v>7501059225411</v>
      </c>
      <c r="B442" s="81" t="s">
        <v>43</v>
      </c>
      <c r="C442" s="81" t="s">
        <v>533</v>
      </c>
      <c r="D442" s="81" t="s">
        <v>45</v>
      </c>
      <c r="E442" s="81" t="s">
        <v>2427</v>
      </c>
      <c r="F442" s="81" t="s">
        <v>2965</v>
      </c>
      <c r="G442" s="81" t="s">
        <v>4855</v>
      </c>
      <c r="H442" s="81" t="s">
        <v>2279</v>
      </c>
      <c r="I442" s="81" t="s">
        <v>2966</v>
      </c>
      <c r="J442" s="81" t="s">
        <v>2186</v>
      </c>
      <c r="K442" s="81" t="s">
        <v>2967</v>
      </c>
      <c r="L442" s="81" t="s">
        <v>2392</v>
      </c>
      <c r="M442" s="81" t="s">
        <v>2968</v>
      </c>
      <c r="N442" s="81" t="s">
        <v>2231</v>
      </c>
      <c r="O442" s="81" t="s">
        <v>2187</v>
      </c>
      <c r="P442" s="81" t="s">
        <v>2187</v>
      </c>
      <c r="Q442" s="81" t="s">
        <v>43</v>
      </c>
      <c r="R442" s="81" t="s">
        <v>506</v>
      </c>
      <c r="S442" s="81" t="s">
        <v>506</v>
      </c>
      <c r="T442" s="81" t="s">
        <v>48</v>
      </c>
      <c r="U442" s="81" t="s">
        <v>48</v>
      </c>
      <c r="V442" s="81" t="s">
        <v>48</v>
      </c>
      <c r="W442" s="81" t="s">
        <v>49</v>
      </c>
      <c r="X442" s="81" t="s">
        <v>48</v>
      </c>
      <c r="Y442" s="81" t="s">
        <v>48</v>
      </c>
    </row>
    <row r="443" spans="1:25" x14ac:dyDescent="0.3">
      <c r="A443" s="16">
        <v>7503008821101</v>
      </c>
      <c r="B443" s="81" t="s">
        <v>43</v>
      </c>
      <c r="C443" s="81" t="s">
        <v>2125</v>
      </c>
      <c r="D443" s="81" t="s">
        <v>45</v>
      </c>
      <c r="E443" s="81" t="s">
        <v>2227</v>
      </c>
      <c r="F443" s="81" t="s">
        <v>2227</v>
      </c>
      <c r="G443" s="81" t="s">
        <v>5873</v>
      </c>
      <c r="H443" s="81" t="s">
        <v>4779</v>
      </c>
      <c r="I443" s="81" t="s">
        <v>5874</v>
      </c>
      <c r="J443" s="81" t="s">
        <v>2186</v>
      </c>
      <c r="K443" s="81" t="s">
        <v>5874</v>
      </c>
      <c r="L443" s="81" t="s">
        <v>2392</v>
      </c>
      <c r="M443" s="81" t="s">
        <v>5874</v>
      </c>
      <c r="N443" s="81" t="s">
        <v>2231</v>
      </c>
      <c r="O443" s="81" t="s">
        <v>2187</v>
      </c>
      <c r="P443" s="81" t="s">
        <v>2187</v>
      </c>
      <c r="Q443" s="81" t="s">
        <v>43</v>
      </c>
      <c r="R443" s="81" t="s">
        <v>203</v>
      </c>
      <c r="S443" s="81" t="s">
        <v>203</v>
      </c>
      <c r="T443" s="81" t="s">
        <v>48</v>
      </c>
      <c r="U443" s="81" t="s">
        <v>48</v>
      </c>
      <c r="V443" s="81" t="s">
        <v>49</v>
      </c>
      <c r="W443" s="81" t="s">
        <v>48</v>
      </c>
      <c r="X443" s="81" t="s">
        <v>48</v>
      </c>
      <c r="Y443" s="81" t="s">
        <v>48</v>
      </c>
    </row>
    <row r="444" spans="1:25" x14ac:dyDescent="0.3">
      <c r="A444" s="16">
        <v>7501349025387</v>
      </c>
      <c r="B444" s="81" t="s">
        <v>43</v>
      </c>
      <c r="C444" s="81" t="s">
        <v>534</v>
      </c>
      <c r="D444" s="81" t="s">
        <v>45</v>
      </c>
      <c r="E444" s="81" t="s">
        <v>2465</v>
      </c>
      <c r="F444" s="81" t="s">
        <v>2257</v>
      </c>
      <c r="G444" s="81" t="s">
        <v>2970</v>
      </c>
      <c r="H444" s="81" t="s">
        <v>2238</v>
      </c>
      <c r="I444" s="81" t="s">
        <v>5875</v>
      </c>
      <c r="J444" s="81" t="s">
        <v>2186</v>
      </c>
      <c r="K444" s="81" t="s">
        <v>5875</v>
      </c>
      <c r="L444" s="81" t="s">
        <v>2392</v>
      </c>
      <c r="M444" s="81" t="s">
        <v>5875</v>
      </c>
      <c r="N444" s="81" t="s">
        <v>2231</v>
      </c>
      <c r="O444" s="81" t="s">
        <v>2187</v>
      </c>
      <c r="P444" s="81" t="s">
        <v>2187</v>
      </c>
      <c r="Q444" s="81" t="s">
        <v>43</v>
      </c>
      <c r="R444" s="81" t="s">
        <v>51</v>
      </c>
      <c r="S444" s="81" t="s">
        <v>73</v>
      </c>
      <c r="T444" s="81" t="s">
        <v>49</v>
      </c>
      <c r="U444" s="81" t="s">
        <v>48</v>
      </c>
      <c r="V444" s="81" t="s">
        <v>48</v>
      </c>
      <c r="W444" s="81" t="s">
        <v>49</v>
      </c>
      <c r="X444" s="81" t="s">
        <v>48</v>
      </c>
      <c r="Y444" s="81" t="s">
        <v>48</v>
      </c>
    </row>
    <row r="445" spans="1:25" x14ac:dyDescent="0.3">
      <c r="A445" s="16">
        <v>7501277093908</v>
      </c>
      <c r="B445" s="81" t="s">
        <v>43</v>
      </c>
      <c r="C445" s="81" t="s">
        <v>535</v>
      </c>
      <c r="D445" s="81" t="s">
        <v>45</v>
      </c>
      <c r="E445" s="81" t="s">
        <v>2179</v>
      </c>
      <c r="F445" s="81" t="s">
        <v>2704</v>
      </c>
      <c r="G445" s="81" t="s">
        <v>5149</v>
      </c>
      <c r="H445" s="81" t="s">
        <v>2850</v>
      </c>
      <c r="I445" s="81" t="s">
        <v>5876</v>
      </c>
      <c r="J445" s="81" t="s">
        <v>2186</v>
      </c>
      <c r="K445" s="81" t="s">
        <v>5876</v>
      </c>
      <c r="L445" s="81" t="s">
        <v>2392</v>
      </c>
      <c r="M445" s="81" t="s">
        <v>5876</v>
      </c>
      <c r="N445" s="81" t="s">
        <v>2231</v>
      </c>
      <c r="O445" s="81" t="s">
        <v>2187</v>
      </c>
      <c r="P445" s="81" t="s">
        <v>2187</v>
      </c>
      <c r="Q445" s="81" t="s">
        <v>43</v>
      </c>
      <c r="R445" s="81" t="s">
        <v>46</v>
      </c>
      <c r="S445" s="81" t="s">
        <v>47</v>
      </c>
      <c r="T445" s="81" t="s">
        <v>48</v>
      </c>
      <c r="U445" s="81" t="s">
        <v>48</v>
      </c>
      <c r="V445" s="81" t="s">
        <v>48</v>
      </c>
      <c r="W445" s="81" t="s">
        <v>49</v>
      </c>
      <c r="X445" s="81" t="s">
        <v>48</v>
      </c>
      <c r="Y445" s="81" t="s">
        <v>48</v>
      </c>
    </row>
    <row r="446" spans="1:25" x14ac:dyDescent="0.3">
      <c r="A446" s="16">
        <v>7501095451096</v>
      </c>
      <c r="B446" s="81" t="s">
        <v>43</v>
      </c>
      <c r="C446" s="81" t="s">
        <v>536</v>
      </c>
      <c r="D446" s="81" t="s">
        <v>45</v>
      </c>
      <c r="E446" s="81" t="s">
        <v>2379</v>
      </c>
      <c r="F446" s="81" t="s">
        <v>2974</v>
      </c>
      <c r="G446" s="81" t="s">
        <v>4856</v>
      </c>
      <c r="H446" s="81" t="s">
        <v>5877</v>
      </c>
      <c r="I446" s="81" t="s">
        <v>5878</v>
      </c>
      <c r="J446" s="81" t="s">
        <v>2186</v>
      </c>
      <c r="K446" s="81" t="s">
        <v>5878</v>
      </c>
      <c r="L446" s="81" t="s">
        <v>2392</v>
      </c>
      <c r="M446" s="81" t="s">
        <v>5878</v>
      </c>
      <c r="N446" s="81" t="s">
        <v>2231</v>
      </c>
      <c r="O446" s="81" t="s">
        <v>2187</v>
      </c>
      <c r="P446" s="81" t="s">
        <v>2187</v>
      </c>
      <c r="Q446" s="81" t="s">
        <v>43</v>
      </c>
      <c r="R446" s="81" t="s">
        <v>203</v>
      </c>
      <c r="S446" s="81" t="s">
        <v>203</v>
      </c>
      <c r="T446" s="81" t="s">
        <v>48</v>
      </c>
      <c r="U446" s="81" t="s">
        <v>48</v>
      </c>
      <c r="V446" s="81" t="s">
        <v>48</v>
      </c>
      <c r="W446" s="81" t="s">
        <v>49</v>
      </c>
      <c r="X446" s="81" t="s">
        <v>48</v>
      </c>
      <c r="Y446" s="81" t="s">
        <v>48</v>
      </c>
    </row>
    <row r="447" spans="1:25" x14ac:dyDescent="0.3">
      <c r="A447" s="16">
        <v>7502276040368</v>
      </c>
      <c r="B447" s="81" t="s">
        <v>43</v>
      </c>
      <c r="C447" s="81" t="s">
        <v>2126</v>
      </c>
      <c r="D447" s="81" t="s">
        <v>45</v>
      </c>
      <c r="E447" s="81" t="s">
        <v>2976</v>
      </c>
      <c r="F447" s="81" t="s">
        <v>2977</v>
      </c>
      <c r="G447" s="81" t="s">
        <v>5252</v>
      </c>
      <c r="H447" s="81" t="s">
        <v>2600</v>
      </c>
      <c r="I447" s="81" t="s">
        <v>5879</v>
      </c>
      <c r="J447" s="81" t="s">
        <v>2186</v>
      </c>
      <c r="K447" s="81" t="s">
        <v>5879</v>
      </c>
      <c r="L447" s="81" t="s">
        <v>2392</v>
      </c>
      <c r="M447" s="81" t="s">
        <v>5879</v>
      </c>
      <c r="N447" s="81" t="s">
        <v>2231</v>
      </c>
      <c r="O447" s="81" t="s">
        <v>2187</v>
      </c>
      <c r="P447" s="81" t="s">
        <v>2187</v>
      </c>
      <c r="Q447" s="81" t="s">
        <v>43</v>
      </c>
      <c r="R447" s="81" t="s">
        <v>203</v>
      </c>
      <c r="S447" s="81" t="s">
        <v>47</v>
      </c>
      <c r="T447" s="81" t="s">
        <v>48</v>
      </c>
      <c r="U447" s="81" t="s">
        <v>48</v>
      </c>
      <c r="V447" s="81" t="s">
        <v>48</v>
      </c>
      <c r="W447" s="81" t="s">
        <v>49</v>
      </c>
      <c r="X447" s="81" t="s">
        <v>48</v>
      </c>
      <c r="Y447" s="81" t="s">
        <v>48</v>
      </c>
    </row>
    <row r="448" spans="1:25" x14ac:dyDescent="0.3">
      <c r="A448" s="16">
        <v>7502009747366</v>
      </c>
      <c r="B448" s="81" t="s">
        <v>43</v>
      </c>
      <c r="C448" s="81" t="s">
        <v>537</v>
      </c>
      <c r="D448" s="81" t="s">
        <v>45</v>
      </c>
      <c r="E448" s="81" t="s">
        <v>2419</v>
      </c>
      <c r="F448" s="81" t="s">
        <v>2703</v>
      </c>
      <c r="G448" s="81" t="s">
        <v>5150</v>
      </c>
      <c r="H448" s="81" t="s">
        <v>2279</v>
      </c>
      <c r="I448" s="81" t="s">
        <v>5880</v>
      </c>
      <c r="J448" s="81" t="s">
        <v>2186</v>
      </c>
      <c r="K448" s="81" t="s">
        <v>5880</v>
      </c>
      <c r="L448" s="81" t="s">
        <v>2392</v>
      </c>
      <c r="M448" s="81" t="s">
        <v>5880</v>
      </c>
      <c r="N448" s="81" t="s">
        <v>2231</v>
      </c>
      <c r="O448" s="81" t="s">
        <v>2187</v>
      </c>
      <c r="P448" s="81" t="s">
        <v>2187</v>
      </c>
      <c r="Q448" s="81" t="s">
        <v>43</v>
      </c>
      <c r="R448" s="81" t="s">
        <v>46</v>
      </c>
      <c r="S448" s="81" t="s">
        <v>47</v>
      </c>
      <c r="T448" s="81" t="s">
        <v>48</v>
      </c>
      <c r="U448" s="81" t="s">
        <v>48</v>
      </c>
      <c r="V448" s="81" t="s">
        <v>48</v>
      </c>
      <c r="W448" s="81" t="s">
        <v>49</v>
      </c>
      <c r="X448" s="81" t="s">
        <v>48</v>
      </c>
      <c r="Y448" s="81" t="s">
        <v>48</v>
      </c>
    </row>
    <row r="449" spans="1:25" x14ac:dyDescent="0.3">
      <c r="A449" s="16">
        <v>7501108767527</v>
      </c>
      <c r="B449" s="81" t="s">
        <v>43</v>
      </c>
      <c r="C449" s="81" t="s">
        <v>1926</v>
      </c>
      <c r="D449" s="81" t="s">
        <v>45</v>
      </c>
      <c r="E449" s="81" t="s">
        <v>2357</v>
      </c>
      <c r="F449" s="81" t="s">
        <v>2191</v>
      </c>
      <c r="G449" s="81" t="s">
        <v>5104</v>
      </c>
      <c r="H449" s="81" t="s">
        <v>2315</v>
      </c>
      <c r="I449" s="81" t="s">
        <v>5881</v>
      </c>
      <c r="J449" s="81" t="s">
        <v>2186</v>
      </c>
      <c r="K449" s="81" t="s">
        <v>5881</v>
      </c>
      <c r="L449" s="81" t="s">
        <v>2392</v>
      </c>
      <c r="M449" s="81" t="s">
        <v>5881</v>
      </c>
      <c r="N449" s="81" t="s">
        <v>2231</v>
      </c>
      <c r="O449" s="81" t="s">
        <v>2187</v>
      </c>
      <c r="P449" s="81" t="s">
        <v>2187</v>
      </c>
      <c r="Q449" s="81" t="s">
        <v>43</v>
      </c>
      <c r="R449" s="81" t="s">
        <v>46</v>
      </c>
      <c r="S449" s="81" t="s">
        <v>46</v>
      </c>
      <c r="T449" s="81" t="s">
        <v>48</v>
      </c>
      <c r="U449" s="81" t="s">
        <v>48</v>
      </c>
      <c r="V449" s="81" t="s">
        <v>48</v>
      </c>
      <c r="W449" s="81" t="s">
        <v>49</v>
      </c>
      <c r="X449" s="81" t="s">
        <v>48</v>
      </c>
      <c r="Y449" s="81" t="s">
        <v>48</v>
      </c>
    </row>
    <row r="450" spans="1:25" x14ac:dyDescent="0.3">
      <c r="A450" s="16">
        <v>4015630981977</v>
      </c>
      <c r="B450" s="81" t="s">
        <v>43</v>
      </c>
      <c r="C450" s="81" t="s">
        <v>2127</v>
      </c>
      <c r="D450" s="81" t="s">
        <v>45</v>
      </c>
      <c r="E450" s="81" t="s">
        <v>2191</v>
      </c>
      <c r="F450" s="81" t="s">
        <v>2303</v>
      </c>
      <c r="G450" s="81" t="s">
        <v>2979</v>
      </c>
      <c r="H450" s="81" t="s">
        <v>4477</v>
      </c>
      <c r="I450" s="81" t="s">
        <v>5882</v>
      </c>
      <c r="J450" s="81" t="s">
        <v>2186</v>
      </c>
      <c r="K450" s="81" t="s">
        <v>5882</v>
      </c>
      <c r="L450" s="81" t="s">
        <v>2392</v>
      </c>
      <c r="M450" s="81" t="s">
        <v>5882</v>
      </c>
      <c r="N450" s="81" t="s">
        <v>2231</v>
      </c>
      <c r="O450" s="81" t="s">
        <v>2187</v>
      </c>
      <c r="P450" s="81" t="s">
        <v>2187</v>
      </c>
      <c r="Q450" s="81" t="s">
        <v>43</v>
      </c>
      <c r="R450" s="81" t="s">
        <v>122</v>
      </c>
      <c r="S450" s="81" t="s">
        <v>122</v>
      </c>
      <c r="T450" s="81" t="s">
        <v>48</v>
      </c>
      <c r="U450" s="81" t="s">
        <v>48</v>
      </c>
      <c r="V450" s="81" t="s">
        <v>49</v>
      </c>
      <c r="W450" s="81" t="s">
        <v>48</v>
      </c>
      <c r="X450" s="81" t="s">
        <v>48</v>
      </c>
      <c r="Y450" s="81" t="s">
        <v>48</v>
      </c>
    </row>
    <row r="451" spans="1:25" x14ac:dyDescent="0.3">
      <c r="A451" s="16">
        <v>7501092793052</v>
      </c>
      <c r="B451" s="81" t="s">
        <v>43</v>
      </c>
      <c r="C451" s="81" t="s">
        <v>2980</v>
      </c>
      <c r="D451" s="81" t="s">
        <v>45</v>
      </c>
      <c r="E451" s="81" t="s">
        <v>2227</v>
      </c>
      <c r="F451" s="81" t="s">
        <v>2227</v>
      </c>
      <c r="G451" s="81" t="s">
        <v>5485</v>
      </c>
      <c r="H451" s="81" t="s">
        <v>2981</v>
      </c>
      <c r="I451" s="81" t="s">
        <v>5151</v>
      </c>
      <c r="J451" s="81" t="s">
        <v>2186</v>
      </c>
      <c r="K451" s="81" t="s">
        <v>5151</v>
      </c>
      <c r="L451" s="81" t="s">
        <v>2392</v>
      </c>
      <c r="M451" s="81" t="s">
        <v>5151</v>
      </c>
      <c r="N451" s="81" t="s">
        <v>2231</v>
      </c>
      <c r="O451" s="81" t="s">
        <v>2187</v>
      </c>
      <c r="P451" s="81" t="s">
        <v>2187</v>
      </c>
      <c r="Q451" s="81" t="s">
        <v>43</v>
      </c>
      <c r="R451" s="81" t="s">
        <v>203</v>
      </c>
      <c r="S451" s="81" t="s">
        <v>203</v>
      </c>
      <c r="T451" s="81" t="s">
        <v>48</v>
      </c>
      <c r="U451" s="81" t="s">
        <v>48</v>
      </c>
      <c r="V451" s="81" t="s">
        <v>48</v>
      </c>
      <c r="W451" s="81" t="s">
        <v>49</v>
      </c>
      <c r="X451" s="81" t="s">
        <v>48</v>
      </c>
      <c r="Y451" s="81" t="s">
        <v>48</v>
      </c>
    </row>
    <row r="452" spans="1:25" x14ac:dyDescent="0.3">
      <c r="A452" s="16" t="s">
        <v>538</v>
      </c>
      <c r="B452" s="81" t="s">
        <v>43</v>
      </c>
      <c r="C452" s="81" t="s">
        <v>539</v>
      </c>
      <c r="D452" s="81" t="s">
        <v>45</v>
      </c>
      <c r="E452" s="81" t="s">
        <v>2830</v>
      </c>
      <c r="F452" s="81" t="s">
        <v>2982</v>
      </c>
      <c r="G452" s="81" t="s">
        <v>2930</v>
      </c>
      <c r="H452" s="81" t="s">
        <v>2268</v>
      </c>
      <c r="I452" s="81" t="s">
        <v>2331</v>
      </c>
      <c r="J452" s="81" t="s">
        <v>2186</v>
      </c>
      <c r="K452" s="81" t="s">
        <v>2331</v>
      </c>
      <c r="L452" s="81" t="s">
        <v>2392</v>
      </c>
      <c r="M452" s="81" t="s">
        <v>2331</v>
      </c>
      <c r="N452" s="81" t="s">
        <v>2231</v>
      </c>
      <c r="O452" s="81" t="s">
        <v>2187</v>
      </c>
      <c r="P452" s="81" t="s">
        <v>2187</v>
      </c>
      <c r="Q452" s="81" t="s">
        <v>43</v>
      </c>
      <c r="R452" s="81" t="s">
        <v>122</v>
      </c>
      <c r="S452" s="81" t="s">
        <v>123</v>
      </c>
      <c r="T452" s="81" t="s">
        <v>48</v>
      </c>
      <c r="U452" s="81" t="s">
        <v>48</v>
      </c>
      <c r="V452" s="81" t="s">
        <v>48</v>
      </c>
      <c r="W452" s="81" t="s">
        <v>49</v>
      </c>
      <c r="X452" s="81" t="s">
        <v>48</v>
      </c>
      <c r="Y452" s="81" t="s">
        <v>48</v>
      </c>
    </row>
    <row r="453" spans="1:25" x14ac:dyDescent="0.3">
      <c r="A453" s="16">
        <v>4015630067084</v>
      </c>
      <c r="B453" s="81" t="s">
        <v>43</v>
      </c>
      <c r="C453" s="81" t="s">
        <v>2128</v>
      </c>
      <c r="D453" s="81" t="s">
        <v>45</v>
      </c>
      <c r="E453" s="81" t="s">
        <v>2465</v>
      </c>
      <c r="F453" s="81" t="s">
        <v>2257</v>
      </c>
      <c r="G453" s="81" t="s">
        <v>2983</v>
      </c>
      <c r="H453" s="81" t="s">
        <v>2984</v>
      </c>
      <c r="I453" s="81" t="s">
        <v>5883</v>
      </c>
      <c r="J453" s="81" t="s">
        <v>2186</v>
      </c>
      <c r="K453" s="81" t="s">
        <v>5883</v>
      </c>
      <c r="L453" s="81" t="s">
        <v>2392</v>
      </c>
      <c r="M453" s="81" t="s">
        <v>5883</v>
      </c>
      <c r="N453" s="81" t="s">
        <v>2231</v>
      </c>
      <c r="O453" s="81" t="s">
        <v>2187</v>
      </c>
      <c r="P453" s="81" t="s">
        <v>2187</v>
      </c>
      <c r="Q453" s="81" t="s">
        <v>43</v>
      </c>
      <c r="R453" s="81" t="s">
        <v>122</v>
      </c>
      <c r="S453" s="81" t="s">
        <v>123</v>
      </c>
      <c r="T453" s="81" t="s">
        <v>48</v>
      </c>
      <c r="U453" s="81" t="s">
        <v>48</v>
      </c>
      <c r="V453" s="81" t="s">
        <v>49</v>
      </c>
      <c r="W453" s="81" t="s">
        <v>48</v>
      </c>
      <c r="X453" s="81" t="s">
        <v>48</v>
      </c>
      <c r="Y453" s="81" t="s">
        <v>48</v>
      </c>
    </row>
    <row r="454" spans="1:25" x14ac:dyDescent="0.3">
      <c r="A454" s="16">
        <v>7501033954078</v>
      </c>
      <c r="B454" s="81" t="s">
        <v>43</v>
      </c>
      <c r="C454" s="81" t="s">
        <v>2129</v>
      </c>
      <c r="D454" s="81" t="s">
        <v>45</v>
      </c>
      <c r="E454" s="81" t="s">
        <v>2690</v>
      </c>
      <c r="F454" s="81" t="s">
        <v>2985</v>
      </c>
      <c r="G454" s="81" t="s">
        <v>5105</v>
      </c>
      <c r="H454" s="81" t="s">
        <v>3015</v>
      </c>
      <c r="I454" s="81" t="s">
        <v>5884</v>
      </c>
      <c r="J454" s="81" t="s">
        <v>2186</v>
      </c>
      <c r="K454" s="81" t="s">
        <v>5884</v>
      </c>
      <c r="L454" s="81" t="s">
        <v>2392</v>
      </c>
      <c r="M454" s="81" t="s">
        <v>5884</v>
      </c>
      <c r="N454" s="81" t="s">
        <v>2231</v>
      </c>
      <c r="O454" s="81" t="s">
        <v>2187</v>
      </c>
      <c r="P454" s="81" t="s">
        <v>2187</v>
      </c>
      <c r="Q454" s="81" t="s">
        <v>43</v>
      </c>
      <c r="R454" s="81" t="s">
        <v>506</v>
      </c>
      <c r="S454" s="81" t="s">
        <v>506</v>
      </c>
      <c r="T454" s="81" t="s">
        <v>48</v>
      </c>
      <c r="U454" s="81" t="s">
        <v>48</v>
      </c>
      <c r="V454" s="81" t="s">
        <v>49</v>
      </c>
      <c r="W454" s="81" t="s">
        <v>48</v>
      </c>
      <c r="X454" s="81" t="s">
        <v>48</v>
      </c>
      <c r="Y454" s="81" t="s">
        <v>48</v>
      </c>
    </row>
    <row r="455" spans="1:25" x14ac:dyDescent="0.3">
      <c r="A455" s="16">
        <v>780083143275</v>
      </c>
      <c r="B455" s="81" t="s">
        <v>43</v>
      </c>
      <c r="C455" s="81" t="s">
        <v>1927</v>
      </c>
      <c r="D455" s="81" t="s">
        <v>45</v>
      </c>
      <c r="E455" s="81" t="s">
        <v>2227</v>
      </c>
      <c r="F455" s="81" t="s">
        <v>2227</v>
      </c>
      <c r="G455" s="81" t="s">
        <v>2987</v>
      </c>
      <c r="H455" s="81" t="s">
        <v>2287</v>
      </c>
      <c r="I455" s="81" t="s">
        <v>2328</v>
      </c>
      <c r="J455" s="81" t="s">
        <v>2186</v>
      </c>
      <c r="K455" s="81" t="s">
        <v>2328</v>
      </c>
      <c r="L455" s="81" t="s">
        <v>2392</v>
      </c>
      <c r="M455" s="81" t="s">
        <v>2328</v>
      </c>
      <c r="N455" s="81" t="s">
        <v>2231</v>
      </c>
      <c r="O455" s="81" t="s">
        <v>2187</v>
      </c>
      <c r="P455" s="81" t="s">
        <v>2187</v>
      </c>
      <c r="Q455" s="81" t="s">
        <v>43</v>
      </c>
      <c r="R455" s="81" t="s">
        <v>51</v>
      </c>
      <c r="S455" s="81" t="s">
        <v>81</v>
      </c>
      <c r="T455" s="81" t="s">
        <v>49</v>
      </c>
      <c r="U455" s="81" t="s">
        <v>48</v>
      </c>
      <c r="V455" s="81" t="s">
        <v>48</v>
      </c>
      <c r="W455" s="81" t="s">
        <v>49</v>
      </c>
      <c r="X455" s="81" t="s">
        <v>48</v>
      </c>
      <c r="Y455" s="81" t="s">
        <v>48</v>
      </c>
    </row>
    <row r="456" spans="1:25" x14ac:dyDescent="0.3">
      <c r="A456" s="16">
        <v>780083149857</v>
      </c>
      <c r="B456" s="81" t="s">
        <v>43</v>
      </c>
      <c r="C456" s="81" t="s">
        <v>540</v>
      </c>
      <c r="D456" s="81" t="s">
        <v>45</v>
      </c>
      <c r="E456" s="81" t="s">
        <v>2234</v>
      </c>
      <c r="F456" s="81" t="s">
        <v>2583</v>
      </c>
      <c r="G456" s="81" t="s">
        <v>2988</v>
      </c>
      <c r="H456" s="81" t="s">
        <v>2611</v>
      </c>
      <c r="I456" s="81" t="s">
        <v>4325</v>
      </c>
      <c r="J456" s="81" t="s">
        <v>2186</v>
      </c>
      <c r="K456" s="81" t="s">
        <v>4325</v>
      </c>
      <c r="L456" s="81" t="s">
        <v>2392</v>
      </c>
      <c r="M456" s="81" t="s">
        <v>4325</v>
      </c>
      <c r="N456" s="81" t="s">
        <v>2231</v>
      </c>
      <c r="O456" s="81" t="s">
        <v>2187</v>
      </c>
      <c r="P456" s="81" t="s">
        <v>2187</v>
      </c>
      <c r="Q456" s="81" t="s">
        <v>43</v>
      </c>
      <c r="R456" s="81" t="s">
        <v>46</v>
      </c>
      <c r="S456" s="81" t="s">
        <v>46</v>
      </c>
      <c r="T456" s="81" t="s">
        <v>48</v>
      </c>
      <c r="U456" s="81" t="s">
        <v>48</v>
      </c>
      <c r="V456" s="81" t="s">
        <v>48</v>
      </c>
      <c r="W456" s="81" t="s">
        <v>49</v>
      </c>
      <c r="X456" s="81" t="s">
        <v>48</v>
      </c>
      <c r="Y456" s="81" t="s">
        <v>48</v>
      </c>
    </row>
    <row r="457" spans="1:25" x14ac:dyDescent="0.3">
      <c r="A457" s="16">
        <v>7501868900134</v>
      </c>
      <c r="B457" s="81" t="s">
        <v>43</v>
      </c>
      <c r="C457" s="81" t="s">
        <v>541</v>
      </c>
      <c r="D457" s="81" t="s">
        <v>45</v>
      </c>
      <c r="E457" s="81" t="s">
        <v>2312</v>
      </c>
      <c r="F457" s="81" t="s">
        <v>2313</v>
      </c>
      <c r="G457" s="81" t="s">
        <v>4722</v>
      </c>
      <c r="H457" s="81" t="s">
        <v>2711</v>
      </c>
      <c r="I457" s="81" t="s">
        <v>5885</v>
      </c>
      <c r="J457" s="81" t="s">
        <v>2186</v>
      </c>
      <c r="K457" s="81" t="s">
        <v>5885</v>
      </c>
      <c r="L457" s="81" t="s">
        <v>2392</v>
      </c>
      <c r="M457" s="81" t="s">
        <v>5885</v>
      </c>
      <c r="N457" s="81" t="s">
        <v>2231</v>
      </c>
      <c r="O457" s="81" t="s">
        <v>2187</v>
      </c>
      <c r="P457" s="81" t="s">
        <v>2187</v>
      </c>
      <c r="Q457" s="81" t="s">
        <v>43</v>
      </c>
      <c r="R457" s="81" t="s">
        <v>122</v>
      </c>
      <c r="S457" s="81" t="s">
        <v>123</v>
      </c>
      <c r="T457" s="81" t="s">
        <v>48</v>
      </c>
      <c r="U457" s="81" t="s">
        <v>48</v>
      </c>
      <c r="V457" s="81" t="s">
        <v>49</v>
      </c>
      <c r="W457" s="81" t="s">
        <v>48</v>
      </c>
      <c r="X457" s="81" t="s">
        <v>48</v>
      </c>
      <c r="Y457" s="81" t="s">
        <v>48</v>
      </c>
    </row>
    <row r="458" spans="1:25" x14ac:dyDescent="0.3">
      <c r="A458" s="16">
        <v>7501868900127</v>
      </c>
      <c r="B458" s="81" t="s">
        <v>43</v>
      </c>
      <c r="C458" s="81" t="s">
        <v>542</v>
      </c>
      <c r="D458" s="81" t="s">
        <v>45</v>
      </c>
      <c r="E458" s="81" t="s">
        <v>2354</v>
      </c>
      <c r="F458" s="81" t="s">
        <v>2355</v>
      </c>
      <c r="G458" s="81" t="s">
        <v>4723</v>
      </c>
      <c r="H458" s="81" t="s">
        <v>2990</v>
      </c>
      <c r="I458" s="81" t="s">
        <v>5886</v>
      </c>
      <c r="J458" s="81" t="s">
        <v>2186</v>
      </c>
      <c r="K458" s="81" t="s">
        <v>5886</v>
      </c>
      <c r="L458" s="81" t="s">
        <v>2392</v>
      </c>
      <c r="M458" s="81" t="s">
        <v>5886</v>
      </c>
      <c r="N458" s="81" t="s">
        <v>2231</v>
      </c>
      <c r="O458" s="81" t="s">
        <v>2187</v>
      </c>
      <c r="P458" s="81" t="s">
        <v>2187</v>
      </c>
      <c r="Q458" s="81" t="s">
        <v>43</v>
      </c>
      <c r="R458" s="81" t="s">
        <v>122</v>
      </c>
      <c r="S458" s="81" t="s">
        <v>123</v>
      </c>
      <c r="T458" s="81" t="s">
        <v>48</v>
      </c>
      <c r="U458" s="81" t="s">
        <v>48</v>
      </c>
      <c r="V458" s="81" t="s">
        <v>49</v>
      </c>
      <c r="W458" s="81" t="s">
        <v>48</v>
      </c>
      <c r="X458" s="81" t="s">
        <v>48</v>
      </c>
      <c r="Y458" s="81" t="s">
        <v>48</v>
      </c>
    </row>
    <row r="459" spans="1:25" x14ac:dyDescent="0.3">
      <c r="A459" s="16">
        <v>7501058623201</v>
      </c>
      <c r="B459" s="81" t="s">
        <v>43</v>
      </c>
      <c r="C459" s="81" t="s">
        <v>543</v>
      </c>
      <c r="D459" s="81" t="s">
        <v>45</v>
      </c>
      <c r="E459" s="81" t="s">
        <v>2529</v>
      </c>
      <c r="F459" s="81" t="s">
        <v>2991</v>
      </c>
      <c r="G459" s="81" t="s">
        <v>2992</v>
      </c>
      <c r="H459" s="81" t="s">
        <v>2464</v>
      </c>
      <c r="I459" s="81" t="s">
        <v>2462</v>
      </c>
      <c r="J459" s="81" t="s">
        <v>2186</v>
      </c>
      <c r="K459" s="81" t="s">
        <v>2864</v>
      </c>
      <c r="L459" s="81" t="s">
        <v>2392</v>
      </c>
      <c r="M459" s="81" t="s">
        <v>2978</v>
      </c>
      <c r="N459" s="81" t="s">
        <v>2231</v>
      </c>
      <c r="O459" s="81" t="s">
        <v>2187</v>
      </c>
      <c r="P459" s="81" t="s">
        <v>2187</v>
      </c>
      <c r="Q459" s="81" t="s">
        <v>43</v>
      </c>
      <c r="R459" s="81" t="s">
        <v>122</v>
      </c>
      <c r="S459" s="81" t="s">
        <v>123</v>
      </c>
      <c r="T459" s="81" t="s">
        <v>48</v>
      </c>
      <c r="U459" s="81" t="s">
        <v>48</v>
      </c>
      <c r="V459" s="81" t="s">
        <v>48</v>
      </c>
      <c r="W459" s="81" t="s">
        <v>49</v>
      </c>
      <c r="X459" s="81" t="s">
        <v>48</v>
      </c>
      <c r="Y459" s="81" t="s">
        <v>48</v>
      </c>
    </row>
    <row r="460" spans="1:25" x14ac:dyDescent="0.3">
      <c r="A460" s="16">
        <v>7501008409527</v>
      </c>
      <c r="B460" s="81" t="s">
        <v>43</v>
      </c>
      <c r="C460" s="81" t="s">
        <v>544</v>
      </c>
      <c r="D460" s="81" t="s">
        <v>45</v>
      </c>
      <c r="E460" s="81" t="s">
        <v>2316</v>
      </c>
      <c r="F460" s="81" t="s">
        <v>2332</v>
      </c>
      <c r="G460" s="81" t="s">
        <v>4748</v>
      </c>
      <c r="H460" s="81" t="s">
        <v>2397</v>
      </c>
      <c r="I460" s="81" t="s">
        <v>5887</v>
      </c>
      <c r="J460" s="81" t="s">
        <v>2186</v>
      </c>
      <c r="K460" s="81" t="s">
        <v>5887</v>
      </c>
      <c r="L460" s="81" t="s">
        <v>2392</v>
      </c>
      <c r="M460" s="81" t="s">
        <v>5887</v>
      </c>
      <c r="N460" s="81" t="s">
        <v>2231</v>
      </c>
      <c r="O460" s="81" t="s">
        <v>2187</v>
      </c>
      <c r="P460" s="81" t="s">
        <v>2187</v>
      </c>
      <c r="Q460" s="81" t="s">
        <v>43</v>
      </c>
      <c r="R460" s="81" t="s">
        <v>203</v>
      </c>
      <c r="S460" s="81" t="s">
        <v>203</v>
      </c>
      <c r="T460" s="81" t="s">
        <v>48</v>
      </c>
      <c r="U460" s="81" t="s">
        <v>48</v>
      </c>
      <c r="V460" s="81" t="s">
        <v>48</v>
      </c>
      <c r="W460" s="81" t="s">
        <v>49</v>
      </c>
      <c r="X460" s="81" t="s">
        <v>48</v>
      </c>
      <c r="Y460" s="81" t="s">
        <v>48</v>
      </c>
    </row>
    <row r="461" spans="1:25" x14ac:dyDescent="0.3">
      <c r="A461" s="16">
        <v>300090275051</v>
      </c>
      <c r="B461" s="81" t="s">
        <v>43</v>
      </c>
      <c r="C461" s="81" t="s">
        <v>545</v>
      </c>
      <c r="D461" s="81" t="s">
        <v>45</v>
      </c>
      <c r="E461" s="81" t="s">
        <v>2358</v>
      </c>
      <c r="F461" s="81" t="s">
        <v>2354</v>
      </c>
      <c r="G461" s="81" t="s">
        <v>2996</v>
      </c>
      <c r="H461" s="81" t="s">
        <v>2997</v>
      </c>
      <c r="I461" s="81" t="s">
        <v>5888</v>
      </c>
      <c r="J461" s="81" t="s">
        <v>2186</v>
      </c>
      <c r="K461" s="81" t="s">
        <v>5888</v>
      </c>
      <c r="L461" s="81" t="s">
        <v>2392</v>
      </c>
      <c r="M461" s="81" t="s">
        <v>5888</v>
      </c>
      <c r="N461" s="81" t="s">
        <v>2231</v>
      </c>
      <c r="O461" s="81" t="s">
        <v>2187</v>
      </c>
      <c r="P461" s="81" t="s">
        <v>2187</v>
      </c>
      <c r="Q461" s="81" t="s">
        <v>43</v>
      </c>
      <c r="R461" s="81" t="s">
        <v>374</v>
      </c>
      <c r="S461" s="81" t="s">
        <v>73</v>
      </c>
      <c r="T461" s="81" t="s">
        <v>48</v>
      </c>
      <c r="U461" s="81" t="s">
        <v>48</v>
      </c>
      <c r="V461" s="81" t="s">
        <v>48</v>
      </c>
      <c r="W461" s="81" t="s">
        <v>49</v>
      </c>
      <c r="X461" s="81" t="s">
        <v>48</v>
      </c>
      <c r="Y461" s="81" t="s">
        <v>48</v>
      </c>
    </row>
    <row r="462" spans="1:25" x14ac:dyDescent="0.3">
      <c r="A462" s="16">
        <v>7501008433676</v>
      </c>
      <c r="B462" s="81" t="s">
        <v>43</v>
      </c>
      <c r="C462" s="81" t="s">
        <v>546</v>
      </c>
      <c r="D462" s="81" t="s">
        <v>45</v>
      </c>
      <c r="E462" s="81" t="s">
        <v>2656</v>
      </c>
      <c r="F462" s="81" t="s">
        <v>2271</v>
      </c>
      <c r="G462" s="81" t="s">
        <v>2896</v>
      </c>
      <c r="H462" s="81" t="s">
        <v>2365</v>
      </c>
      <c r="I462" s="81" t="s">
        <v>5486</v>
      </c>
      <c r="J462" s="81" t="s">
        <v>2186</v>
      </c>
      <c r="K462" s="81" t="s">
        <v>5486</v>
      </c>
      <c r="L462" s="81" t="s">
        <v>2392</v>
      </c>
      <c r="M462" s="81" t="s">
        <v>5486</v>
      </c>
      <c r="N462" s="81" t="s">
        <v>2231</v>
      </c>
      <c r="O462" s="81" t="s">
        <v>2187</v>
      </c>
      <c r="P462" s="81" t="s">
        <v>2187</v>
      </c>
      <c r="Q462" s="81" t="s">
        <v>43</v>
      </c>
      <c r="R462" s="81" t="s">
        <v>203</v>
      </c>
      <c r="S462" s="81" t="s">
        <v>47</v>
      </c>
      <c r="T462" s="81" t="s">
        <v>48</v>
      </c>
      <c r="U462" s="81" t="s">
        <v>48</v>
      </c>
      <c r="V462" s="81" t="s">
        <v>48</v>
      </c>
      <c r="W462" s="81" t="s">
        <v>49</v>
      </c>
      <c r="X462" s="81" t="s">
        <v>48</v>
      </c>
      <c r="Y462" s="81" t="s">
        <v>48</v>
      </c>
    </row>
    <row r="463" spans="1:25" x14ac:dyDescent="0.3">
      <c r="A463" s="16">
        <v>7501075715927</v>
      </c>
      <c r="B463" s="81" t="s">
        <v>43</v>
      </c>
      <c r="C463" s="81" t="s">
        <v>547</v>
      </c>
      <c r="D463" s="81" t="s">
        <v>45</v>
      </c>
      <c r="E463" s="81" t="s">
        <v>2192</v>
      </c>
      <c r="F463" s="81" t="s">
        <v>2629</v>
      </c>
      <c r="G463" s="81" t="s">
        <v>4901</v>
      </c>
      <c r="H463" s="81" t="s">
        <v>2236</v>
      </c>
      <c r="I463" s="81" t="s">
        <v>5889</v>
      </c>
      <c r="J463" s="81" t="s">
        <v>2186</v>
      </c>
      <c r="K463" s="81" t="s">
        <v>5889</v>
      </c>
      <c r="L463" s="81" t="s">
        <v>2392</v>
      </c>
      <c r="M463" s="81" t="s">
        <v>5889</v>
      </c>
      <c r="N463" s="81" t="s">
        <v>2231</v>
      </c>
      <c r="O463" s="81" t="s">
        <v>2187</v>
      </c>
      <c r="P463" s="81" t="s">
        <v>2187</v>
      </c>
      <c r="Q463" s="81" t="s">
        <v>43</v>
      </c>
      <c r="R463" s="81" t="s">
        <v>46</v>
      </c>
      <c r="S463" s="81" t="s">
        <v>47</v>
      </c>
      <c r="T463" s="81" t="s">
        <v>48</v>
      </c>
      <c r="U463" s="81" t="s">
        <v>48</v>
      </c>
      <c r="V463" s="81" t="s">
        <v>48</v>
      </c>
      <c r="W463" s="81" t="s">
        <v>49</v>
      </c>
      <c r="X463" s="81" t="s">
        <v>48</v>
      </c>
      <c r="Y463" s="81" t="s">
        <v>48</v>
      </c>
    </row>
    <row r="464" spans="1:25" x14ac:dyDescent="0.3">
      <c r="A464" s="16">
        <v>7501825301653</v>
      </c>
      <c r="B464" s="81" t="s">
        <v>43</v>
      </c>
      <c r="C464" s="81" t="s">
        <v>548</v>
      </c>
      <c r="D464" s="81" t="s">
        <v>45</v>
      </c>
      <c r="E464" s="81" t="s">
        <v>2227</v>
      </c>
      <c r="F464" s="81" t="s">
        <v>2227</v>
      </c>
      <c r="G464" s="81" t="s">
        <v>3000</v>
      </c>
      <c r="H464" s="81" t="s">
        <v>2190</v>
      </c>
      <c r="I464" s="81" t="s">
        <v>5890</v>
      </c>
      <c r="J464" s="81" t="s">
        <v>2186</v>
      </c>
      <c r="K464" s="81" t="s">
        <v>5890</v>
      </c>
      <c r="L464" s="81" t="s">
        <v>2392</v>
      </c>
      <c r="M464" s="81" t="s">
        <v>5890</v>
      </c>
      <c r="N464" s="81" t="s">
        <v>2231</v>
      </c>
      <c r="O464" s="81" t="s">
        <v>2187</v>
      </c>
      <c r="P464" s="81" t="s">
        <v>2187</v>
      </c>
      <c r="Q464" s="81" t="s">
        <v>43</v>
      </c>
      <c r="R464" s="81" t="s">
        <v>46</v>
      </c>
      <c r="S464" s="81" t="s">
        <v>46</v>
      </c>
      <c r="T464" s="81" t="s">
        <v>48</v>
      </c>
      <c r="U464" s="81" t="s">
        <v>48</v>
      </c>
      <c r="V464" s="81" t="s">
        <v>48</v>
      </c>
      <c r="W464" s="81" t="s">
        <v>49</v>
      </c>
      <c r="X464" s="81" t="s">
        <v>48</v>
      </c>
      <c r="Y464" s="81" t="s">
        <v>48</v>
      </c>
    </row>
    <row r="465" spans="1:25" x14ac:dyDescent="0.3">
      <c r="A465" s="16">
        <v>650240017100</v>
      </c>
      <c r="B465" s="81" t="s">
        <v>43</v>
      </c>
      <c r="C465" s="81" t="s">
        <v>549</v>
      </c>
      <c r="D465" s="81" t="s">
        <v>45</v>
      </c>
      <c r="E465" s="81" t="s">
        <v>3002</v>
      </c>
      <c r="F465" s="81" t="s">
        <v>3003</v>
      </c>
      <c r="G465" s="81" t="s">
        <v>3481</v>
      </c>
      <c r="H465" s="81" t="s">
        <v>2936</v>
      </c>
      <c r="I465" s="81" t="s">
        <v>5891</v>
      </c>
      <c r="J465" s="81" t="s">
        <v>2186</v>
      </c>
      <c r="K465" s="81" t="s">
        <v>5891</v>
      </c>
      <c r="L465" s="81" t="s">
        <v>2392</v>
      </c>
      <c r="M465" s="81" t="s">
        <v>5891</v>
      </c>
      <c r="N465" s="81" t="s">
        <v>2231</v>
      </c>
      <c r="O465" s="81" t="s">
        <v>2187</v>
      </c>
      <c r="P465" s="81" t="s">
        <v>2187</v>
      </c>
      <c r="Q465" s="81" t="s">
        <v>43</v>
      </c>
      <c r="R465" s="81" t="s">
        <v>203</v>
      </c>
      <c r="S465" s="81" t="s">
        <v>47</v>
      </c>
      <c r="T465" s="81" t="s">
        <v>48</v>
      </c>
      <c r="U465" s="81" t="s">
        <v>48</v>
      </c>
      <c r="V465" s="81" t="s">
        <v>48</v>
      </c>
      <c r="W465" s="81" t="s">
        <v>49</v>
      </c>
      <c r="X465" s="81" t="s">
        <v>48</v>
      </c>
      <c r="Y465" s="81" t="s">
        <v>48</v>
      </c>
    </row>
    <row r="466" spans="1:25" x14ac:dyDescent="0.3">
      <c r="A466" s="16">
        <v>7501165000315</v>
      </c>
      <c r="B466" s="81" t="s">
        <v>43</v>
      </c>
      <c r="C466" s="81" t="s">
        <v>550</v>
      </c>
      <c r="D466" s="81" t="s">
        <v>45</v>
      </c>
      <c r="E466" s="81" t="s">
        <v>2801</v>
      </c>
      <c r="F466" s="81" t="s">
        <v>2372</v>
      </c>
      <c r="G466" s="81" t="s">
        <v>5106</v>
      </c>
      <c r="H466" s="81" t="s">
        <v>3004</v>
      </c>
      <c r="I466" s="81" t="s">
        <v>5892</v>
      </c>
      <c r="J466" s="81" t="s">
        <v>2186</v>
      </c>
      <c r="K466" s="81" t="s">
        <v>5892</v>
      </c>
      <c r="L466" s="81" t="s">
        <v>2392</v>
      </c>
      <c r="M466" s="81" t="s">
        <v>5892</v>
      </c>
      <c r="N466" s="81" t="s">
        <v>2231</v>
      </c>
      <c r="O466" s="81" t="s">
        <v>2187</v>
      </c>
      <c r="P466" s="81" t="s">
        <v>2187</v>
      </c>
      <c r="Q466" s="81" t="s">
        <v>43</v>
      </c>
      <c r="R466" s="81" t="s">
        <v>203</v>
      </c>
      <c r="S466" s="81" t="s">
        <v>164</v>
      </c>
      <c r="T466" s="81" t="s">
        <v>48</v>
      </c>
      <c r="U466" s="81" t="s">
        <v>48</v>
      </c>
      <c r="V466" s="81" t="s">
        <v>48</v>
      </c>
      <c r="W466" s="81" t="s">
        <v>49</v>
      </c>
      <c r="X466" s="81" t="s">
        <v>48</v>
      </c>
      <c r="Y466" s="81" t="s">
        <v>48</v>
      </c>
    </row>
    <row r="467" spans="1:25" x14ac:dyDescent="0.3">
      <c r="A467" s="16">
        <v>7501125116810</v>
      </c>
      <c r="B467" s="81" t="s">
        <v>43</v>
      </c>
      <c r="C467" s="81" t="s">
        <v>551</v>
      </c>
      <c r="D467" s="81" t="s">
        <v>45</v>
      </c>
      <c r="E467" s="81" t="s">
        <v>3005</v>
      </c>
      <c r="F467" s="81" t="s">
        <v>3006</v>
      </c>
      <c r="G467" s="81" t="s">
        <v>5206</v>
      </c>
      <c r="H467" s="81" t="s">
        <v>5893</v>
      </c>
      <c r="I467" s="81" t="s">
        <v>5894</v>
      </c>
      <c r="J467" s="81" t="s">
        <v>2186</v>
      </c>
      <c r="K467" s="81" t="s">
        <v>5894</v>
      </c>
      <c r="L467" s="81" t="s">
        <v>2392</v>
      </c>
      <c r="M467" s="81" t="s">
        <v>5894</v>
      </c>
      <c r="N467" s="81" t="s">
        <v>2231</v>
      </c>
      <c r="O467" s="81" t="s">
        <v>2187</v>
      </c>
      <c r="P467" s="81" t="s">
        <v>2187</v>
      </c>
      <c r="Q467" s="81" t="s">
        <v>43</v>
      </c>
      <c r="R467" s="81" t="s">
        <v>203</v>
      </c>
      <c r="S467" s="81" t="s">
        <v>47</v>
      </c>
      <c r="T467" s="81" t="s">
        <v>48</v>
      </c>
      <c r="U467" s="81" t="s">
        <v>48</v>
      </c>
      <c r="V467" s="81" t="s">
        <v>48</v>
      </c>
      <c r="W467" s="81" t="s">
        <v>49</v>
      </c>
      <c r="X467" s="81" t="s">
        <v>48</v>
      </c>
      <c r="Y467" s="81" t="s">
        <v>48</v>
      </c>
    </row>
    <row r="468" spans="1:25" x14ac:dyDescent="0.3">
      <c r="A468" s="16">
        <v>7501065060891</v>
      </c>
      <c r="B468" s="81" t="s">
        <v>43</v>
      </c>
      <c r="C468" s="81" t="s">
        <v>1813</v>
      </c>
      <c r="D468" s="81" t="s">
        <v>45</v>
      </c>
      <c r="E468" s="81" t="s">
        <v>2574</v>
      </c>
      <c r="F468" s="81" t="s">
        <v>3008</v>
      </c>
      <c r="G468" s="81" t="s">
        <v>5107</v>
      </c>
      <c r="H468" s="81" t="s">
        <v>2223</v>
      </c>
      <c r="I468" s="81" t="s">
        <v>5773</v>
      </c>
      <c r="J468" s="81" t="s">
        <v>2186</v>
      </c>
      <c r="K468" s="81" t="s">
        <v>5773</v>
      </c>
      <c r="L468" s="81" t="s">
        <v>2392</v>
      </c>
      <c r="M468" s="81" t="s">
        <v>5773</v>
      </c>
      <c r="N468" s="81" t="s">
        <v>2231</v>
      </c>
      <c r="O468" s="81" t="s">
        <v>2187</v>
      </c>
      <c r="P468" s="81" t="s">
        <v>2187</v>
      </c>
      <c r="Q468" s="81" t="s">
        <v>43</v>
      </c>
      <c r="R468" s="81" t="s">
        <v>203</v>
      </c>
      <c r="S468" s="81" t="s">
        <v>47</v>
      </c>
      <c r="T468" s="81" t="s">
        <v>48</v>
      </c>
      <c r="U468" s="81" t="s">
        <v>48</v>
      </c>
      <c r="V468" s="81" t="s">
        <v>48</v>
      </c>
      <c r="W468" s="81" t="s">
        <v>49</v>
      </c>
      <c r="X468" s="81" t="s">
        <v>48</v>
      </c>
      <c r="Y468" s="81" t="s">
        <v>48</v>
      </c>
    </row>
    <row r="469" spans="1:25" x14ac:dyDescent="0.3">
      <c r="A469" s="16">
        <v>7501058714312</v>
      </c>
      <c r="B469" s="81" t="s">
        <v>43</v>
      </c>
      <c r="C469" s="81" t="s">
        <v>552</v>
      </c>
      <c r="D469" s="81" t="s">
        <v>45</v>
      </c>
      <c r="E469" s="81" t="s">
        <v>2233</v>
      </c>
      <c r="F469" s="81" t="s">
        <v>2234</v>
      </c>
      <c r="G469" s="81" t="s">
        <v>4556</v>
      </c>
      <c r="H469" s="81" t="s">
        <v>2609</v>
      </c>
      <c r="I469" s="81" t="s">
        <v>5895</v>
      </c>
      <c r="J469" s="81" t="s">
        <v>2186</v>
      </c>
      <c r="K469" s="81" t="s">
        <v>5895</v>
      </c>
      <c r="L469" s="81" t="s">
        <v>2392</v>
      </c>
      <c r="M469" s="81" t="s">
        <v>5895</v>
      </c>
      <c r="N469" s="81" t="s">
        <v>2231</v>
      </c>
      <c r="O469" s="81" t="s">
        <v>2187</v>
      </c>
      <c r="P469" s="81" t="s">
        <v>2187</v>
      </c>
      <c r="Q469" s="81" t="s">
        <v>43</v>
      </c>
      <c r="R469" s="81" t="s">
        <v>203</v>
      </c>
      <c r="S469" s="81" t="s">
        <v>203</v>
      </c>
      <c r="T469" s="81" t="s">
        <v>48</v>
      </c>
      <c r="U469" s="81" t="s">
        <v>48</v>
      </c>
      <c r="V469" s="81" t="s">
        <v>48</v>
      </c>
      <c r="W469" s="81" t="s">
        <v>49</v>
      </c>
      <c r="X469" s="81" t="s">
        <v>48</v>
      </c>
      <c r="Y469" s="81" t="s">
        <v>48</v>
      </c>
    </row>
    <row r="470" spans="1:25" x14ac:dyDescent="0.3">
      <c r="A470" s="16">
        <v>7501095452116</v>
      </c>
      <c r="B470" s="81" t="s">
        <v>43</v>
      </c>
      <c r="C470" s="81" t="s">
        <v>553</v>
      </c>
      <c r="D470" s="81" t="s">
        <v>45</v>
      </c>
      <c r="E470" s="81" t="s">
        <v>2483</v>
      </c>
      <c r="F470" s="81" t="s">
        <v>2338</v>
      </c>
      <c r="G470" s="81" t="s">
        <v>4963</v>
      </c>
      <c r="H470" s="81" t="s">
        <v>2503</v>
      </c>
      <c r="I470" s="81" t="s">
        <v>5643</v>
      </c>
      <c r="J470" s="81" t="s">
        <v>2186</v>
      </c>
      <c r="K470" s="81" t="s">
        <v>5643</v>
      </c>
      <c r="L470" s="81" t="s">
        <v>2392</v>
      </c>
      <c r="M470" s="81" t="s">
        <v>5643</v>
      </c>
      <c r="N470" s="81" t="s">
        <v>2231</v>
      </c>
      <c r="O470" s="81" t="s">
        <v>2187</v>
      </c>
      <c r="P470" s="81" t="s">
        <v>2187</v>
      </c>
      <c r="Q470" s="81" t="s">
        <v>43</v>
      </c>
      <c r="R470" s="81" t="s">
        <v>203</v>
      </c>
      <c r="S470" s="81" t="s">
        <v>47</v>
      </c>
      <c r="T470" s="81" t="s">
        <v>48</v>
      </c>
      <c r="U470" s="81" t="s">
        <v>48</v>
      </c>
      <c r="V470" s="81" t="s">
        <v>48</v>
      </c>
      <c r="W470" s="81" t="s">
        <v>49</v>
      </c>
      <c r="X470" s="81" t="s">
        <v>48</v>
      </c>
      <c r="Y470" s="81" t="s">
        <v>48</v>
      </c>
    </row>
    <row r="471" spans="1:25" x14ac:dyDescent="0.3">
      <c r="A471" s="16">
        <v>7501095452505</v>
      </c>
      <c r="B471" s="81" t="s">
        <v>43</v>
      </c>
      <c r="C471" s="81" t="s">
        <v>554</v>
      </c>
      <c r="D471" s="81" t="s">
        <v>45</v>
      </c>
      <c r="E471" s="81" t="s">
        <v>2606</v>
      </c>
      <c r="F471" s="81" t="s">
        <v>2607</v>
      </c>
      <c r="G471" s="81" t="s">
        <v>5051</v>
      </c>
      <c r="H471" s="81" t="s">
        <v>5896</v>
      </c>
      <c r="I471" s="81" t="s">
        <v>5897</v>
      </c>
      <c r="J471" s="81" t="s">
        <v>2186</v>
      </c>
      <c r="K471" s="81" t="s">
        <v>5897</v>
      </c>
      <c r="L471" s="81" t="s">
        <v>2392</v>
      </c>
      <c r="M471" s="81" t="s">
        <v>5897</v>
      </c>
      <c r="N471" s="81" t="s">
        <v>2231</v>
      </c>
      <c r="O471" s="81" t="s">
        <v>2187</v>
      </c>
      <c r="P471" s="81" t="s">
        <v>2187</v>
      </c>
      <c r="Q471" s="81" t="s">
        <v>43</v>
      </c>
      <c r="R471" s="81" t="s">
        <v>46</v>
      </c>
      <c r="S471" s="81" t="s">
        <v>47</v>
      </c>
      <c r="T471" s="81" t="s">
        <v>48</v>
      </c>
      <c r="U471" s="81" t="s">
        <v>48</v>
      </c>
      <c r="V471" s="81" t="s">
        <v>48</v>
      </c>
      <c r="W471" s="81" t="s">
        <v>49</v>
      </c>
      <c r="X471" s="81" t="s">
        <v>48</v>
      </c>
      <c r="Y471" s="81" t="s">
        <v>48</v>
      </c>
    </row>
    <row r="472" spans="1:25" x14ac:dyDescent="0.3">
      <c r="A472" s="16">
        <v>7501008485408</v>
      </c>
      <c r="B472" s="81" t="s">
        <v>43</v>
      </c>
      <c r="C472" s="81" t="s">
        <v>5083</v>
      </c>
      <c r="D472" s="81" t="s">
        <v>45</v>
      </c>
      <c r="E472" s="81" t="s">
        <v>2363</v>
      </c>
      <c r="F472" s="81" t="s">
        <v>2364</v>
      </c>
      <c r="G472" s="81" t="s">
        <v>5052</v>
      </c>
      <c r="H472" s="81" t="s">
        <v>2434</v>
      </c>
      <c r="I472" s="81" t="s">
        <v>2230</v>
      </c>
      <c r="J472" s="81" t="s">
        <v>2186</v>
      </c>
      <c r="K472" s="81" t="s">
        <v>2230</v>
      </c>
      <c r="L472" s="81" t="s">
        <v>2392</v>
      </c>
      <c r="M472" s="81" t="s">
        <v>2230</v>
      </c>
      <c r="N472" s="81" t="s">
        <v>2231</v>
      </c>
      <c r="O472" s="81" t="s">
        <v>2187</v>
      </c>
      <c r="P472" s="81" t="s">
        <v>2187</v>
      </c>
      <c r="Q472" s="81" t="s">
        <v>43</v>
      </c>
      <c r="R472" s="81" t="s">
        <v>203</v>
      </c>
      <c r="S472" s="81" t="s">
        <v>47</v>
      </c>
      <c r="T472" s="81" t="s">
        <v>48</v>
      </c>
      <c r="U472" s="81" t="s">
        <v>48</v>
      </c>
      <c r="V472" s="81" t="s">
        <v>48</v>
      </c>
      <c r="W472" s="81" t="s">
        <v>49</v>
      </c>
      <c r="X472" s="81" t="s">
        <v>48</v>
      </c>
      <c r="Y472" s="81" t="s">
        <v>48</v>
      </c>
    </row>
    <row r="473" spans="1:25" x14ac:dyDescent="0.3">
      <c r="A473" s="16">
        <v>7501007459332</v>
      </c>
      <c r="B473" s="81" t="s">
        <v>43</v>
      </c>
      <c r="C473" s="81" t="s">
        <v>3012</v>
      </c>
      <c r="D473" s="81" t="s">
        <v>45</v>
      </c>
      <c r="E473" s="81" t="s">
        <v>2227</v>
      </c>
      <c r="F473" s="81" t="s">
        <v>2227</v>
      </c>
      <c r="G473" s="81" t="s">
        <v>4464</v>
      </c>
      <c r="H473" s="81" t="s">
        <v>2993</v>
      </c>
      <c r="I473" s="81" t="s">
        <v>5898</v>
      </c>
      <c r="J473" s="81" t="s">
        <v>2186</v>
      </c>
      <c r="K473" s="81" t="s">
        <v>5898</v>
      </c>
      <c r="L473" s="81" t="s">
        <v>2392</v>
      </c>
      <c r="M473" s="81" t="s">
        <v>5898</v>
      </c>
      <c r="N473" s="81" t="s">
        <v>2231</v>
      </c>
      <c r="O473" s="81" t="s">
        <v>2187</v>
      </c>
      <c r="P473" s="81" t="s">
        <v>2187</v>
      </c>
      <c r="Q473" s="81" t="s">
        <v>43</v>
      </c>
      <c r="R473" s="81" t="s">
        <v>203</v>
      </c>
      <c r="S473" s="81" t="s">
        <v>203</v>
      </c>
      <c r="T473" s="81" t="s">
        <v>48</v>
      </c>
      <c r="U473" s="81" t="s">
        <v>48</v>
      </c>
      <c r="V473" s="81" t="s">
        <v>48</v>
      </c>
      <c r="W473" s="81" t="s">
        <v>49</v>
      </c>
      <c r="X473" s="81" t="s">
        <v>48</v>
      </c>
      <c r="Y473" s="81" t="s">
        <v>48</v>
      </c>
    </row>
    <row r="474" spans="1:25" x14ac:dyDescent="0.3">
      <c r="A474" s="16">
        <v>7501095452147</v>
      </c>
      <c r="B474" s="81" t="s">
        <v>43</v>
      </c>
      <c r="C474" s="81" t="s">
        <v>555</v>
      </c>
      <c r="D474" s="81" t="s">
        <v>45</v>
      </c>
      <c r="E474" s="81" t="s">
        <v>2458</v>
      </c>
      <c r="F474" s="81" t="s">
        <v>2439</v>
      </c>
      <c r="G474" s="81" t="s">
        <v>4666</v>
      </c>
      <c r="H474" s="81" t="s">
        <v>2385</v>
      </c>
      <c r="I474" s="81" t="s">
        <v>5899</v>
      </c>
      <c r="J474" s="81" t="s">
        <v>2186</v>
      </c>
      <c r="K474" s="81" t="s">
        <v>5899</v>
      </c>
      <c r="L474" s="81" t="s">
        <v>2392</v>
      </c>
      <c r="M474" s="81" t="s">
        <v>5899</v>
      </c>
      <c r="N474" s="81" t="s">
        <v>2231</v>
      </c>
      <c r="O474" s="81" t="s">
        <v>2187</v>
      </c>
      <c r="P474" s="81" t="s">
        <v>2187</v>
      </c>
      <c r="Q474" s="81" t="s">
        <v>43</v>
      </c>
      <c r="R474" s="81" t="s">
        <v>203</v>
      </c>
      <c r="S474" s="81" t="s">
        <v>47</v>
      </c>
      <c r="T474" s="81" t="s">
        <v>48</v>
      </c>
      <c r="U474" s="81" t="s">
        <v>48</v>
      </c>
      <c r="V474" s="81" t="s">
        <v>48</v>
      </c>
      <c r="W474" s="81" t="s">
        <v>49</v>
      </c>
      <c r="X474" s="81" t="s">
        <v>48</v>
      </c>
      <c r="Y474" s="81" t="s">
        <v>48</v>
      </c>
    </row>
    <row r="475" spans="1:25" x14ac:dyDescent="0.3">
      <c r="A475" s="16">
        <v>7501033954061</v>
      </c>
      <c r="B475" s="81" t="s">
        <v>43</v>
      </c>
      <c r="C475" s="81" t="s">
        <v>1928</v>
      </c>
      <c r="D475" s="81" t="s">
        <v>45</v>
      </c>
      <c r="E475" s="81" t="s">
        <v>3013</v>
      </c>
      <c r="F475" s="81" t="s">
        <v>3014</v>
      </c>
      <c r="G475" s="81" t="s">
        <v>5105</v>
      </c>
      <c r="H475" s="81" t="s">
        <v>3287</v>
      </c>
      <c r="I475" s="81" t="s">
        <v>5900</v>
      </c>
      <c r="J475" s="81" t="s">
        <v>2186</v>
      </c>
      <c r="K475" s="81" t="s">
        <v>5900</v>
      </c>
      <c r="L475" s="81" t="s">
        <v>2392</v>
      </c>
      <c r="M475" s="81" t="s">
        <v>5900</v>
      </c>
      <c r="N475" s="81" t="s">
        <v>2231</v>
      </c>
      <c r="O475" s="81" t="s">
        <v>2187</v>
      </c>
      <c r="P475" s="81" t="s">
        <v>2187</v>
      </c>
      <c r="Q475" s="81" t="s">
        <v>43</v>
      </c>
      <c r="R475" s="81" t="s">
        <v>506</v>
      </c>
      <c r="S475" s="81" t="s">
        <v>506</v>
      </c>
      <c r="T475" s="81" t="s">
        <v>48</v>
      </c>
      <c r="U475" s="81" t="s">
        <v>48</v>
      </c>
      <c r="V475" s="81" t="s">
        <v>49</v>
      </c>
      <c r="W475" s="81" t="s">
        <v>48</v>
      </c>
      <c r="X475" s="81" t="s">
        <v>48</v>
      </c>
      <c r="Y475" s="81" t="s">
        <v>48</v>
      </c>
    </row>
    <row r="476" spans="1:25" x14ac:dyDescent="0.3">
      <c r="A476" s="16">
        <v>7501008427330</v>
      </c>
      <c r="B476" s="81" t="s">
        <v>43</v>
      </c>
      <c r="C476" s="81" t="s">
        <v>556</v>
      </c>
      <c r="D476" s="81" t="s">
        <v>45</v>
      </c>
      <c r="E476" s="81" t="s">
        <v>2458</v>
      </c>
      <c r="F476" s="81" t="s">
        <v>2439</v>
      </c>
      <c r="G476" s="81" t="s">
        <v>5207</v>
      </c>
      <c r="H476" s="81" t="s">
        <v>2981</v>
      </c>
      <c r="I476" s="81" t="s">
        <v>4923</v>
      </c>
      <c r="J476" s="81" t="s">
        <v>2186</v>
      </c>
      <c r="K476" s="81" t="s">
        <v>4923</v>
      </c>
      <c r="L476" s="81" t="s">
        <v>2392</v>
      </c>
      <c r="M476" s="81" t="s">
        <v>4923</v>
      </c>
      <c r="N476" s="81" t="s">
        <v>2231</v>
      </c>
      <c r="O476" s="81" t="s">
        <v>2187</v>
      </c>
      <c r="P476" s="81" t="s">
        <v>2187</v>
      </c>
      <c r="Q476" s="81" t="s">
        <v>43</v>
      </c>
      <c r="R476" s="81" t="s">
        <v>203</v>
      </c>
      <c r="S476" s="81" t="s">
        <v>203</v>
      </c>
      <c r="T476" s="81" t="s">
        <v>48</v>
      </c>
      <c r="U476" s="81" t="s">
        <v>48</v>
      </c>
      <c r="V476" s="81" t="s">
        <v>48</v>
      </c>
      <c r="W476" s="81" t="s">
        <v>49</v>
      </c>
      <c r="X476" s="81" t="s">
        <v>48</v>
      </c>
      <c r="Y476" s="81" t="s">
        <v>48</v>
      </c>
    </row>
    <row r="477" spans="1:25" x14ac:dyDescent="0.3">
      <c r="A477" s="16">
        <v>7501088505126</v>
      </c>
      <c r="B477" s="81" t="s">
        <v>43</v>
      </c>
      <c r="C477" s="81" t="s">
        <v>2130</v>
      </c>
      <c r="D477" s="81" t="s">
        <v>45</v>
      </c>
      <c r="E477" s="81" t="s">
        <v>2248</v>
      </c>
      <c r="F477" s="81" t="s">
        <v>2405</v>
      </c>
      <c r="G477" s="81" t="s">
        <v>4997</v>
      </c>
      <c r="H477" s="81" t="s">
        <v>2681</v>
      </c>
      <c r="I477" s="81" t="s">
        <v>5901</v>
      </c>
      <c r="J477" s="81" t="s">
        <v>2186</v>
      </c>
      <c r="K477" s="81" t="s">
        <v>5901</v>
      </c>
      <c r="L477" s="81" t="s">
        <v>2392</v>
      </c>
      <c r="M477" s="81" t="s">
        <v>5901</v>
      </c>
      <c r="N477" s="81" t="s">
        <v>2231</v>
      </c>
      <c r="O477" s="81" t="s">
        <v>2187</v>
      </c>
      <c r="P477" s="81" t="s">
        <v>2187</v>
      </c>
      <c r="Q477" s="81" t="s">
        <v>43</v>
      </c>
      <c r="R477" s="81" t="s">
        <v>203</v>
      </c>
      <c r="S477" s="81" t="s">
        <v>73</v>
      </c>
      <c r="T477" s="81" t="s">
        <v>48</v>
      </c>
      <c r="U477" s="81" t="s">
        <v>48</v>
      </c>
      <c r="V477" s="81" t="s">
        <v>48</v>
      </c>
      <c r="W477" s="81" t="s">
        <v>49</v>
      </c>
      <c r="X477" s="81" t="s">
        <v>48</v>
      </c>
      <c r="Y477" s="81" t="s">
        <v>48</v>
      </c>
    </row>
    <row r="478" spans="1:25" x14ac:dyDescent="0.3">
      <c r="A478" s="16">
        <v>75020286</v>
      </c>
      <c r="B478" s="81" t="s">
        <v>43</v>
      </c>
      <c r="C478" s="81" t="s">
        <v>2131</v>
      </c>
      <c r="D478" s="81" t="s">
        <v>45</v>
      </c>
      <c r="E478" s="81" t="s">
        <v>2248</v>
      </c>
      <c r="F478" s="81" t="s">
        <v>2249</v>
      </c>
      <c r="G478" s="81" t="s">
        <v>3019</v>
      </c>
      <c r="H478" s="81" t="s">
        <v>2426</v>
      </c>
      <c r="I478" s="81" t="s">
        <v>5902</v>
      </c>
      <c r="J478" s="81" t="s">
        <v>2186</v>
      </c>
      <c r="K478" s="81" t="s">
        <v>5902</v>
      </c>
      <c r="L478" s="81" t="s">
        <v>2392</v>
      </c>
      <c r="M478" s="81" t="s">
        <v>5902</v>
      </c>
      <c r="N478" s="81" t="s">
        <v>2231</v>
      </c>
      <c r="O478" s="81" t="s">
        <v>2187</v>
      </c>
      <c r="P478" s="81" t="s">
        <v>2187</v>
      </c>
      <c r="Q478" s="81" t="s">
        <v>43</v>
      </c>
      <c r="R478" s="81" t="s">
        <v>46</v>
      </c>
      <c r="S478" s="81" t="s">
        <v>47</v>
      </c>
      <c r="T478" s="81" t="s">
        <v>48</v>
      </c>
      <c r="U478" s="81" t="s">
        <v>48</v>
      </c>
      <c r="V478" s="81" t="s">
        <v>48</v>
      </c>
      <c r="W478" s="81" t="s">
        <v>49</v>
      </c>
      <c r="X478" s="81" t="s">
        <v>48</v>
      </c>
      <c r="Y478" s="81" t="s">
        <v>48</v>
      </c>
    </row>
    <row r="479" spans="1:25" x14ac:dyDescent="0.3">
      <c r="A479" s="16">
        <v>7501298219608</v>
      </c>
      <c r="B479" s="81" t="s">
        <v>43</v>
      </c>
      <c r="C479" s="81" t="s">
        <v>557</v>
      </c>
      <c r="D479" s="81" t="s">
        <v>45</v>
      </c>
      <c r="E479" s="81" t="s">
        <v>2616</v>
      </c>
      <c r="F479" s="81" t="s">
        <v>2617</v>
      </c>
      <c r="G479" s="81" t="s">
        <v>5326</v>
      </c>
      <c r="H479" s="81" t="s">
        <v>2559</v>
      </c>
      <c r="I479" s="81" t="s">
        <v>5903</v>
      </c>
      <c r="J479" s="81" t="s">
        <v>2186</v>
      </c>
      <c r="K479" s="81" t="s">
        <v>5903</v>
      </c>
      <c r="L479" s="81" t="s">
        <v>2392</v>
      </c>
      <c r="M479" s="81" t="s">
        <v>5903</v>
      </c>
      <c r="N479" s="81" t="s">
        <v>2231</v>
      </c>
      <c r="O479" s="81" t="s">
        <v>2187</v>
      </c>
      <c r="P479" s="81" t="s">
        <v>2187</v>
      </c>
      <c r="Q479" s="81" t="s">
        <v>43</v>
      </c>
      <c r="R479" s="81" t="s">
        <v>374</v>
      </c>
      <c r="S479" s="81" t="s">
        <v>47</v>
      </c>
      <c r="T479" s="81" t="s">
        <v>48</v>
      </c>
      <c r="U479" s="81" t="s">
        <v>48</v>
      </c>
      <c r="V479" s="81" t="s">
        <v>48</v>
      </c>
      <c r="W479" s="81" t="s">
        <v>49</v>
      </c>
      <c r="X479" s="81" t="s">
        <v>48</v>
      </c>
      <c r="Y479" s="81" t="s">
        <v>48</v>
      </c>
    </row>
    <row r="480" spans="1:25" x14ac:dyDescent="0.3">
      <c r="A480" s="16">
        <v>5016003195303</v>
      </c>
      <c r="B480" s="81" t="s">
        <v>43</v>
      </c>
      <c r="C480" s="81" t="s">
        <v>558</v>
      </c>
      <c r="D480" s="81" t="s">
        <v>45</v>
      </c>
      <c r="E480" s="81" t="s">
        <v>2227</v>
      </c>
      <c r="F480" s="81" t="s">
        <v>2227</v>
      </c>
      <c r="G480" s="81" t="s">
        <v>3021</v>
      </c>
      <c r="H480" s="81" t="s">
        <v>2850</v>
      </c>
      <c r="I480" s="81" t="s">
        <v>5904</v>
      </c>
      <c r="J480" s="81" t="s">
        <v>2186</v>
      </c>
      <c r="K480" s="81" t="s">
        <v>5904</v>
      </c>
      <c r="L480" s="81" t="s">
        <v>2392</v>
      </c>
      <c r="M480" s="81" t="s">
        <v>5904</v>
      </c>
      <c r="N480" s="81" t="s">
        <v>2231</v>
      </c>
      <c r="O480" s="81" t="s">
        <v>2187</v>
      </c>
      <c r="P480" s="81" t="s">
        <v>2187</v>
      </c>
      <c r="Q480" s="81" t="s">
        <v>43</v>
      </c>
      <c r="R480" s="81" t="s">
        <v>122</v>
      </c>
      <c r="S480" s="81" t="s">
        <v>123</v>
      </c>
      <c r="T480" s="81" t="s">
        <v>48</v>
      </c>
      <c r="U480" s="81" t="s">
        <v>48</v>
      </c>
      <c r="V480" s="81" t="s">
        <v>49</v>
      </c>
      <c r="W480" s="81" t="s">
        <v>48</v>
      </c>
      <c r="X480" s="81" t="s">
        <v>48</v>
      </c>
      <c r="Y480" s="81" t="s">
        <v>48</v>
      </c>
    </row>
    <row r="481" spans="1:25" x14ac:dyDescent="0.3">
      <c r="A481" s="16">
        <v>7501298281209</v>
      </c>
      <c r="B481" s="81" t="s">
        <v>43</v>
      </c>
      <c r="C481" s="81" t="s">
        <v>1929</v>
      </c>
      <c r="D481" s="81" t="s">
        <v>45</v>
      </c>
      <c r="E481" s="81" t="s">
        <v>2447</v>
      </c>
      <c r="F481" s="81" t="s">
        <v>2300</v>
      </c>
      <c r="G481" s="81" t="s">
        <v>3022</v>
      </c>
      <c r="H481" s="81" t="s">
        <v>3023</v>
      </c>
      <c r="I481" s="81" t="s">
        <v>5905</v>
      </c>
      <c r="J481" s="81" t="s">
        <v>2186</v>
      </c>
      <c r="K481" s="81" t="s">
        <v>5905</v>
      </c>
      <c r="L481" s="81" t="s">
        <v>2392</v>
      </c>
      <c r="M481" s="81" t="s">
        <v>5905</v>
      </c>
      <c r="N481" s="81" t="s">
        <v>2231</v>
      </c>
      <c r="O481" s="81" t="s">
        <v>2187</v>
      </c>
      <c r="P481" s="81" t="s">
        <v>2187</v>
      </c>
      <c r="Q481" s="81" t="s">
        <v>43</v>
      </c>
      <c r="R481" s="81" t="s">
        <v>203</v>
      </c>
      <c r="S481" s="81" t="s">
        <v>47</v>
      </c>
      <c r="T481" s="81" t="s">
        <v>48</v>
      </c>
      <c r="U481" s="81" t="s">
        <v>48</v>
      </c>
      <c r="V481" s="81" t="s">
        <v>48</v>
      </c>
      <c r="W481" s="81" t="s">
        <v>49</v>
      </c>
      <c r="X481" s="81" t="s">
        <v>48</v>
      </c>
      <c r="Y481" s="81" t="s">
        <v>48</v>
      </c>
    </row>
    <row r="482" spans="1:25" x14ac:dyDescent="0.3">
      <c r="A482" s="16" t="s">
        <v>559</v>
      </c>
      <c r="B482" s="81" t="s">
        <v>43</v>
      </c>
      <c r="C482" s="81" t="s">
        <v>560</v>
      </c>
      <c r="D482" s="81" t="s">
        <v>45</v>
      </c>
      <c r="E482" s="81" t="s">
        <v>3024</v>
      </c>
      <c r="F482" s="81" t="s">
        <v>2771</v>
      </c>
      <c r="G482" s="81" t="s">
        <v>2930</v>
      </c>
      <c r="H482" s="81" t="s">
        <v>2268</v>
      </c>
      <c r="I482" s="81" t="s">
        <v>2331</v>
      </c>
      <c r="J482" s="81" t="s">
        <v>2186</v>
      </c>
      <c r="K482" s="81" t="s">
        <v>2331</v>
      </c>
      <c r="L482" s="81" t="s">
        <v>2392</v>
      </c>
      <c r="M482" s="81" t="s">
        <v>2331</v>
      </c>
      <c r="N482" s="81" t="s">
        <v>2231</v>
      </c>
      <c r="O482" s="81" t="s">
        <v>2187</v>
      </c>
      <c r="P482" s="81" t="s">
        <v>2187</v>
      </c>
      <c r="Q482" s="81" t="s">
        <v>43</v>
      </c>
      <c r="R482" s="81" t="s">
        <v>122</v>
      </c>
      <c r="S482" s="81" t="s">
        <v>123</v>
      </c>
      <c r="T482" s="81" t="s">
        <v>48</v>
      </c>
      <c r="U482" s="81" t="s">
        <v>48</v>
      </c>
      <c r="V482" s="81" t="s">
        <v>48</v>
      </c>
      <c r="W482" s="81" t="s">
        <v>49</v>
      </c>
      <c r="X482" s="81" t="s">
        <v>48</v>
      </c>
      <c r="Y482" s="81" t="s">
        <v>48</v>
      </c>
    </row>
    <row r="483" spans="1:25" x14ac:dyDescent="0.3">
      <c r="A483" s="16">
        <v>7501125100246</v>
      </c>
      <c r="B483" s="81" t="s">
        <v>43</v>
      </c>
      <c r="C483" s="81" t="s">
        <v>561</v>
      </c>
      <c r="D483" s="81" t="s">
        <v>45</v>
      </c>
      <c r="E483" s="81" t="s">
        <v>2191</v>
      </c>
      <c r="F483" s="81" t="s">
        <v>2303</v>
      </c>
      <c r="G483" s="81" t="s">
        <v>4924</v>
      </c>
      <c r="H483" s="81" t="s">
        <v>2209</v>
      </c>
      <c r="I483" s="81" t="s">
        <v>5906</v>
      </c>
      <c r="J483" s="81" t="s">
        <v>2186</v>
      </c>
      <c r="K483" s="81" t="s">
        <v>5906</v>
      </c>
      <c r="L483" s="81" t="s">
        <v>2392</v>
      </c>
      <c r="M483" s="81" t="s">
        <v>5906</v>
      </c>
      <c r="N483" s="81" t="s">
        <v>2231</v>
      </c>
      <c r="O483" s="81" t="s">
        <v>2187</v>
      </c>
      <c r="P483" s="81" t="s">
        <v>2187</v>
      </c>
      <c r="Q483" s="81" t="s">
        <v>43</v>
      </c>
      <c r="R483" s="81" t="s">
        <v>46</v>
      </c>
      <c r="S483" s="81" t="s">
        <v>46</v>
      </c>
      <c r="T483" s="81" t="s">
        <v>48</v>
      </c>
      <c r="U483" s="81" t="s">
        <v>48</v>
      </c>
      <c r="V483" s="81" t="s">
        <v>48</v>
      </c>
      <c r="W483" s="81" t="s">
        <v>49</v>
      </c>
      <c r="X483" s="81" t="s">
        <v>48</v>
      </c>
      <c r="Y483" s="81" t="s">
        <v>48</v>
      </c>
    </row>
    <row r="484" spans="1:25" x14ac:dyDescent="0.3">
      <c r="A484" s="16">
        <v>7501125100123</v>
      </c>
      <c r="B484" s="81" t="s">
        <v>43</v>
      </c>
      <c r="C484" s="81" t="s">
        <v>562</v>
      </c>
      <c r="D484" s="81" t="s">
        <v>45</v>
      </c>
      <c r="E484" s="81" t="s">
        <v>2195</v>
      </c>
      <c r="F484" s="81" t="s">
        <v>2196</v>
      </c>
      <c r="G484" s="81" t="s">
        <v>4544</v>
      </c>
      <c r="H484" s="81" t="s">
        <v>2393</v>
      </c>
      <c r="I484" s="81" t="s">
        <v>5697</v>
      </c>
      <c r="J484" s="81" t="s">
        <v>2186</v>
      </c>
      <c r="K484" s="81" t="s">
        <v>5697</v>
      </c>
      <c r="L484" s="81" t="s">
        <v>2392</v>
      </c>
      <c r="M484" s="81" t="s">
        <v>5697</v>
      </c>
      <c r="N484" s="81" t="s">
        <v>2231</v>
      </c>
      <c r="O484" s="81" t="s">
        <v>2187</v>
      </c>
      <c r="P484" s="81" t="s">
        <v>2187</v>
      </c>
      <c r="Q484" s="81" t="s">
        <v>43</v>
      </c>
      <c r="R484" s="81" t="s">
        <v>46</v>
      </c>
      <c r="S484" s="81" t="s">
        <v>46</v>
      </c>
      <c r="T484" s="81" t="s">
        <v>48</v>
      </c>
      <c r="U484" s="81" t="s">
        <v>48</v>
      </c>
      <c r="V484" s="81" t="s">
        <v>48</v>
      </c>
      <c r="W484" s="81" t="s">
        <v>49</v>
      </c>
      <c r="X484" s="81" t="s">
        <v>48</v>
      </c>
      <c r="Y484" s="81" t="s">
        <v>48</v>
      </c>
    </row>
    <row r="485" spans="1:25" x14ac:dyDescent="0.3">
      <c r="A485" s="16">
        <v>7501125100253</v>
      </c>
      <c r="B485" s="81" t="s">
        <v>43</v>
      </c>
      <c r="C485" s="81" t="s">
        <v>563</v>
      </c>
      <c r="D485" s="81" t="s">
        <v>45</v>
      </c>
      <c r="E485" s="81" t="s">
        <v>2258</v>
      </c>
      <c r="F485" s="81" t="s">
        <v>2398</v>
      </c>
      <c r="G485" s="81" t="s">
        <v>4489</v>
      </c>
      <c r="H485" s="81" t="s">
        <v>5907</v>
      </c>
      <c r="I485" s="81" t="s">
        <v>5908</v>
      </c>
      <c r="J485" s="81" t="s">
        <v>2186</v>
      </c>
      <c r="K485" s="81" t="s">
        <v>5908</v>
      </c>
      <c r="L485" s="81" t="s">
        <v>2392</v>
      </c>
      <c r="M485" s="81" t="s">
        <v>5908</v>
      </c>
      <c r="N485" s="81" t="s">
        <v>2231</v>
      </c>
      <c r="O485" s="81" t="s">
        <v>2187</v>
      </c>
      <c r="P485" s="81" t="s">
        <v>2187</v>
      </c>
      <c r="Q485" s="81" t="s">
        <v>43</v>
      </c>
      <c r="R485" s="81" t="s">
        <v>122</v>
      </c>
      <c r="S485" s="81" t="s">
        <v>123</v>
      </c>
      <c r="T485" s="81" t="s">
        <v>48</v>
      </c>
      <c r="U485" s="81" t="s">
        <v>48</v>
      </c>
      <c r="V485" s="81" t="s">
        <v>48</v>
      </c>
      <c r="W485" s="81" t="s">
        <v>49</v>
      </c>
      <c r="X485" s="81" t="s">
        <v>48</v>
      </c>
      <c r="Y485" s="81" t="s">
        <v>48</v>
      </c>
    </row>
    <row r="486" spans="1:25" x14ac:dyDescent="0.3">
      <c r="A486" s="16">
        <v>7502247373495</v>
      </c>
      <c r="B486" s="81" t="s">
        <v>43</v>
      </c>
      <c r="C486" s="81" t="s">
        <v>564</v>
      </c>
      <c r="D486" s="81" t="s">
        <v>45</v>
      </c>
      <c r="E486" s="81" t="s">
        <v>2678</v>
      </c>
      <c r="F486" s="81" t="s">
        <v>2388</v>
      </c>
      <c r="G486" s="81" t="s">
        <v>5182</v>
      </c>
      <c r="H486" s="81" t="s">
        <v>2206</v>
      </c>
      <c r="I486" s="81" t="s">
        <v>5909</v>
      </c>
      <c r="J486" s="81" t="s">
        <v>2186</v>
      </c>
      <c r="K486" s="81" t="s">
        <v>5909</v>
      </c>
      <c r="L486" s="81" t="s">
        <v>2392</v>
      </c>
      <c r="M486" s="81" t="s">
        <v>5909</v>
      </c>
      <c r="N486" s="81" t="s">
        <v>2231</v>
      </c>
      <c r="O486" s="81" t="s">
        <v>2187</v>
      </c>
      <c r="P486" s="81" t="s">
        <v>2187</v>
      </c>
      <c r="Q486" s="81" t="s">
        <v>43</v>
      </c>
      <c r="R486" s="81" t="s">
        <v>46</v>
      </c>
      <c r="S486" s="81" t="s">
        <v>47</v>
      </c>
      <c r="T486" s="81" t="s">
        <v>48</v>
      </c>
      <c r="U486" s="81" t="s">
        <v>48</v>
      </c>
      <c r="V486" s="81" t="s">
        <v>48</v>
      </c>
      <c r="W486" s="81" t="s">
        <v>49</v>
      </c>
      <c r="X486" s="81" t="s">
        <v>48</v>
      </c>
      <c r="Y486" s="81" t="s">
        <v>48</v>
      </c>
    </row>
    <row r="487" spans="1:25" x14ac:dyDescent="0.3">
      <c r="A487" s="16">
        <v>7501349027787</v>
      </c>
      <c r="B487" s="81" t="s">
        <v>43</v>
      </c>
      <c r="C487" s="81" t="s">
        <v>565</v>
      </c>
      <c r="D487" s="81" t="s">
        <v>45</v>
      </c>
      <c r="E487" s="81" t="s">
        <v>2419</v>
      </c>
      <c r="F487" s="81" t="s">
        <v>2420</v>
      </c>
      <c r="G487" s="81" t="s">
        <v>4568</v>
      </c>
      <c r="H487" s="81" t="s">
        <v>2782</v>
      </c>
      <c r="I487" s="81" t="s">
        <v>5910</v>
      </c>
      <c r="J487" s="81" t="s">
        <v>2186</v>
      </c>
      <c r="K487" s="81" t="s">
        <v>5910</v>
      </c>
      <c r="L487" s="81" t="s">
        <v>2392</v>
      </c>
      <c r="M487" s="81" t="s">
        <v>5910</v>
      </c>
      <c r="N487" s="81" t="s">
        <v>2231</v>
      </c>
      <c r="O487" s="81" t="s">
        <v>2187</v>
      </c>
      <c r="P487" s="81" t="s">
        <v>2187</v>
      </c>
      <c r="Q487" s="81" t="s">
        <v>43</v>
      </c>
      <c r="R487" s="81" t="s">
        <v>46</v>
      </c>
      <c r="S487" s="81" t="s">
        <v>46</v>
      </c>
      <c r="T487" s="81" t="s">
        <v>48</v>
      </c>
      <c r="U487" s="81" t="s">
        <v>48</v>
      </c>
      <c r="V487" s="81" t="s">
        <v>48</v>
      </c>
      <c r="W487" s="81" t="s">
        <v>49</v>
      </c>
      <c r="X487" s="81" t="s">
        <v>48</v>
      </c>
      <c r="Y487" s="81" t="s">
        <v>48</v>
      </c>
    </row>
    <row r="488" spans="1:25" x14ac:dyDescent="0.3">
      <c r="A488" s="16">
        <v>7502227871065</v>
      </c>
      <c r="B488" s="81" t="s">
        <v>43</v>
      </c>
      <c r="C488" s="81" t="s">
        <v>566</v>
      </c>
      <c r="D488" s="81" t="s">
        <v>45</v>
      </c>
      <c r="E488" s="81" t="s">
        <v>2355</v>
      </c>
      <c r="F488" s="81" t="s">
        <v>2427</v>
      </c>
      <c r="G488" s="81" t="s">
        <v>3027</v>
      </c>
      <c r="H488" s="81" t="s">
        <v>2506</v>
      </c>
      <c r="I488" s="81" t="s">
        <v>2478</v>
      </c>
      <c r="J488" s="81" t="s">
        <v>2186</v>
      </c>
      <c r="K488" s="81" t="s">
        <v>2213</v>
      </c>
      <c r="L488" s="81" t="s">
        <v>2392</v>
      </c>
      <c r="M488" s="81" t="s">
        <v>3028</v>
      </c>
      <c r="N488" s="81" t="s">
        <v>2231</v>
      </c>
      <c r="O488" s="81" t="s">
        <v>2187</v>
      </c>
      <c r="P488" s="81" t="s">
        <v>2187</v>
      </c>
      <c r="Q488" s="81" t="s">
        <v>43</v>
      </c>
      <c r="R488" s="81" t="s">
        <v>203</v>
      </c>
      <c r="S488" s="81" t="s">
        <v>203</v>
      </c>
      <c r="T488" s="81" t="s">
        <v>48</v>
      </c>
      <c r="U488" s="81" t="s">
        <v>48</v>
      </c>
      <c r="V488" s="81" t="s">
        <v>48</v>
      </c>
      <c r="W488" s="81" t="s">
        <v>49</v>
      </c>
      <c r="X488" s="81" t="s">
        <v>48</v>
      </c>
      <c r="Y488" s="81" t="s">
        <v>48</v>
      </c>
    </row>
    <row r="489" spans="1:25" x14ac:dyDescent="0.3">
      <c r="A489" s="16">
        <v>785120755046</v>
      </c>
      <c r="B489" s="81" t="s">
        <v>43</v>
      </c>
      <c r="C489" s="81" t="s">
        <v>567</v>
      </c>
      <c r="D489" s="81" t="s">
        <v>45</v>
      </c>
      <c r="E489" s="81" t="s">
        <v>2512</v>
      </c>
      <c r="F489" s="81" t="s">
        <v>2494</v>
      </c>
      <c r="G489" s="81" t="s">
        <v>4643</v>
      </c>
      <c r="H489" s="81" t="s">
        <v>2535</v>
      </c>
      <c r="I489" s="81" t="s">
        <v>5911</v>
      </c>
      <c r="J489" s="81" t="s">
        <v>2186</v>
      </c>
      <c r="K489" s="81" t="s">
        <v>5911</v>
      </c>
      <c r="L489" s="81" t="s">
        <v>2392</v>
      </c>
      <c r="M489" s="81" t="s">
        <v>5911</v>
      </c>
      <c r="N489" s="81" t="s">
        <v>2231</v>
      </c>
      <c r="O489" s="81" t="s">
        <v>2187</v>
      </c>
      <c r="P489" s="81" t="s">
        <v>2187</v>
      </c>
      <c r="Q489" s="81" t="s">
        <v>43</v>
      </c>
      <c r="R489" s="81" t="s">
        <v>46</v>
      </c>
      <c r="S489" s="81" t="s">
        <v>73</v>
      </c>
      <c r="T489" s="81" t="s">
        <v>48</v>
      </c>
      <c r="U489" s="81" t="s">
        <v>48</v>
      </c>
      <c r="V489" s="81" t="s">
        <v>48</v>
      </c>
      <c r="W489" s="81" t="s">
        <v>49</v>
      </c>
      <c r="X489" s="81" t="s">
        <v>48</v>
      </c>
      <c r="Y489" s="81" t="s">
        <v>48</v>
      </c>
    </row>
    <row r="490" spans="1:25" x14ac:dyDescent="0.3">
      <c r="A490" s="16">
        <v>7501058715494</v>
      </c>
      <c r="B490" s="81" t="s">
        <v>43</v>
      </c>
      <c r="C490" s="81" t="s">
        <v>568</v>
      </c>
      <c r="D490" s="81" t="s">
        <v>45</v>
      </c>
      <c r="E490" s="81" t="s">
        <v>2312</v>
      </c>
      <c r="F490" s="81" t="s">
        <v>2419</v>
      </c>
      <c r="G490" s="81" t="s">
        <v>5108</v>
      </c>
      <c r="H490" s="81" t="s">
        <v>2743</v>
      </c>
      <c r="I490" s="81" t="s">
        <v>5912</v>
      </c>
      <c r="J490" s="81" t="s">
        <v>2186</v>
      </c>
      <c r="K490" s="81" t="s">
        <v>5912</v>
      </c>
      <c r="L490" s="81" t="s">
        <v>2392</v>
      </c>
      <c r="M490" s="81" t="s">
        <v>5912</v>
      </c>
      <c r="N490" s="81" t="s">
        <v>2231</v>
      </c>
      <c r="O490" s="81" t="s">
        <v>2187</v>
      </c>
      <c r="P490" s="81" t="s">
        <v>2187</v>
      </c>
      <c r="Q490" s="81" t="s">
        <v>43</v>
      </c>
      <c r="R490" s="81" t="s">
        <v>46</v>
      </c>
      <c r="S490" s="81" t="s">
        <v>46</v>
      </c>
      <c r="T490" s="81" t="s">
        <v>48</v>
      </c>
      <c r="U490" s="81" t="s">
        <v>48</v>
      </c>
      <c r="V490" s="81" t="s">
        <v>48</v>
      </c>
      <c r="W490" s="81" t="s">
        <v>49</v>
      </c>
      <c r="X490" s="81" t="s">
        <v>48</v>
      </c>
      <c r="Y490" s="81" t="s">
        <v>48</v>
      </c>
    </row>
    <row r="491" spans="1:25" x14ac:dyDescent="0.3">
      <c r="A491" s="16">
        <v>7502216805385</v>
      </c>
      <c r="B491" s="81" t="s">
        <v>43</v>
      </c>
      <c r="C491" s="81" t="s">
        <v>569</v>
      </c>
      <c r="D491" s="81" t="s">
        <v>45</v>
      </c>
      <c r="E491" s="81" t="s">
        <v>2465</v>
      </c>
      <c r="F491" s="81" t="s">
        <v>2210</v>
      </c>
      <c r="G491" s="81" t="s">
        <v>5487</v>
      </c>
      <c r="H491" s="81" t="s">
        <v>2993</v>
      </c>
      <c r="I491" s="81" t="s">
        <v>5913</v>
      </c>
      <c r="J491" s="81" t="s">
        <v>2186</v>
      </c>
      <c r="K491" s="81" t="s">
        <v>5913</v>
      </c>
      <c r="L491" s="81" t="s">
        <v>2392</v>
      </c>
      <c r="M491" s="81" t="s">
        <v>5913</v>
      </c>
      <c r="N491" s="81" t="s">
        <v>2231</v>
      </c>
      <c r="O491" s="81" t="s">
        <v>2187</v>
      </c>
      <c r="P491" s="81" t="s">
        <v>2187</v>
      </c>
      <c r="Q491" s="81" t="s">
        <v>43</v>
      </c>
      <c r="R491" s="81" t="s">
        <v>46</v>
      </c>
      <c r="S491" s="81" t="s">
        <v>46</v>
      </c>
      <c r="T491" s="81" t="s">
        <v>48</v>
      </c>
      <c r="U491" s="81" t="s">
        <v>48</v>
      </c>
      <c r="V491" s="81" t="s">
        <v>48</v>
      </c>
      <c r="W491" s="81" t="s">
        <v>49</v>
      </c>
      <c r="X491" s="81" t="s">
        <v>48</v>
      </c>
      <c r="Y491" s="81" t="s">
        <v>48</v>
      </c>
    </row>
    <row r="492" spans="1:25" x14ac:dyDescent="0.3">
      <c r="A492" s="16">
        <v>7502216796737</v>
      </c>
      <c r="B492" s="81" t="s">
        <v>43</v>
      </c>
      <c r="C492" s="81" t="s">
        <v>570</v>
      </c>
      <c r="D492" s="81" t="s">
        <v>45</v>
      </c>
      <c r="E492" s="81" t="s">
        <v>2312</v>
      </c>
      <c r="F492" s="81" t="s">
        <v>2419</v>
      </c>
      <c r="G492" s="81" t="s">
        <v>5914</v>
      </c>
      <c r="H492" s="81" t="s">
        <v>2268</v>
      </c>
      <c r="I492" s="81" t="s">
        <v>5915</v>
      </c>
      <c r="J492" s="81" t="s">
        <v>2186</v>
      </c>
      <c r="K492" s="81" t="s">
        <v>5915</v>
      </c>
      <c r="L492" s="81" t="s">
        <v>2392</v>
      </c>
      <c r="M492" s="81" t="s">
        <v>5915</v>
      </c>
      <c r="N492" s="81" t="s">
        <v>2231</v>
      </c>
      <c r="O492" s="81" t="s">
        <v>2187</v>
      </c>
      <c r="P492" s="81" t="s">
        <v>2187</v>
      </c>
      <c r="Q492" s="81" t="s">
        <v>43</v>
      </c>
      <c r="R492" s="81" t="s">
        <v>46</v>
      </c>
      <c r="S492" s="81" t="s">
        <v>47</v>
      </c>
      <c r="T492" s="81" t="s">
        <v>48</v>
      </c>
      <c r="U492" s="81" t="s">
        <v>48</v>
      </c>
      <c r="V492" s="81" t="s">
        <v>48</v>
      </c>
      <c r="W492" s="81" t="s">
        <v>49</v>
      </c>
      <c r="X492" s="81" t="s">
        <v>48</v>
      </c>
      <c r="Y492" s="81" t="s">
        <v>48</v>
      </c>
    </row>
    <row r="493" spans="1:25" x14ac:dyDescent="0.3">
      <c r="A493" s="16">
        <v>7502211789284</v>
      </c>
      <c r="B493" s="81" t="s">
        <v>43</v>
      </c>
      <c r="C493" s="81" t="s">
        <v>2132</v>
      </c>
      <c r="D493" s="81" t="s">
        <v>45</v>
      </c>
      <c r="E493" s="81" t="s">
        <v>3029</v>
      </c>
      <c r="F493" s="81" t="s">
        <v>3030</v>
      </c>
      <c r="G493" s="81" t="s">
        <v>5152</v>
      </c>
      <c r="H493" s="81" t="s">
        <v>2243</v>
      </c>
      <c r="I493" s="81" t="s">
        <v>5728</v>
      </c>
      <c r="J493" s="81" t="s">
        <v>2186</v>
      </c>
      <c r="K493" s="81" t="s">
        <v>5728</v>
      </c>
      <c r="L493" s="81" t="s">
        <v>2392</v>
      </c>
      <c r="M493" s="81" t="s">
        <v>5728</v>
      </c>
      <c r="N493" s="81" t="s">
        <v>2231</v>
      </c>
      <c r="O493" s="81" t="s">
        <v>2187</v>
      </c>
      <c r="P493" s="81" t="s">
        <v>2187</v>
      </c>
      <c r="Q493" s="81" t="s">
        <v>43</v>
      </c>
      <c r="R493" s="81" t="s">
        <v>46</v>
      </c>
      <c r="S493" s="81" t="s">
        <v>164</v>
      </c>
      <c r="T493" s="81" t="s">
        <v>48</v>
      </c>
      <c r="U493" s="81" t="s">
        <v>48</v>
      </c>
      <c r="V493" s="81" t="s">
        <v>48</v>
      </c>
      <c r="W493" s="81" t="s">
        <v>49</v>
      </c>
      <c r="X493" s="81" t="s">
        <v>48</v>
      </c>
      <c r="Y493" s="81" t="s">
        <v>48</v>
      </c>
    </row>
    <row r="494" spans="1:25" x14ac:dyDescent="0.3">
      <c r="A494" s="16">
        <v>7501349028487</v>
      </c>
      <c r="B494" s="81" t="s">
        <v>43</v>
      </c>
      <c r="C494" s="81" t="s">
        <v>571</v>
      </c>
      <c r="D494" s="81" t="s">
        <v>45</v>
      </c>
      <c r="E494" s="81" t="s">
        <v>2303</v>
      </c>
      <c r="F494" s="81" t="s">
        <v>2233</v>
      </c>
      <c r="G494" s="81" t="s">
        <v>5916</v>
      </c>
      <c r="H494" s="81" t="s">
        <v>2400</v>
      </c>
      <c r="I494" s="81" t="s">
        <v>2511</v>
      </c>
      <c r="J494" s="81" t="s">
        <v>2186</v>
      </c>
      <c r="K494" s="81" t="s">
        <v>2511</v>
      </c>
      <c r="L494" s="81" t="s">
        <v>2392</v>
      </c>
      <c r="M494" s="81" t="s">
        <v>2511</v>
      </c>
      <c r="N494" s="81" t="s">
        <v>2231</v>
      </c>
      <c r="O494" s="81" t="s">
        <v>2187</v>
      </c>
      <c r="P494" s="81" t="s">
        <v>2187</v>
      </c>
      <c r="Q494" s="81" t="s">
        <v>43</v>
      </c>
      <c r="R494" s="81" t="s">
        <v>46</v>
      </c>
      <c r="S494" s="81" t="s">
        <v>47</v>
      </c>
      <c r="T494" s="81" t="s">
        <v>48</v>
      </c>
      <c r="U494" s="81" t="s">
        <v>48</v>
      </c>
      <c r="V494" s="81" t="s">
        <v>48</v>
      </c>
      <c r="W494" s="81" t="s">
        <v>49</v>
      </c>
      <c r="X494" s="81" t="s">
        <v>48</v>
      </c>
      <c r="Y494" s="81" t="s">
        <v>48</v>
      </c>
    </row>
    <row r="495" spans="1:25" x14ac:dyDescent="0.3">
      <c r="A495" s="16">
        <v>7502216795204</v>
      </c>
      <c r="B495" s="81" t="s">
        <v>43</v>
      </c>
      <c r="C495" s="81" t="s">
        <v>1930</v>
      </c>
      <c r="D495" s="81" t="s">
        <v>45</v>
      </c>
      <c r="E495" s="81" t="s">
        <v>2435</v>
      </c>
      <c r="F495" s="81" t="s">
        <v>3031</v>
      </c>
      <c r="G495" s="81" t="s">
        <v>3148</v>
      </c>
      <c r="H495" s="81" t="s">
        <v>5917</v>
      </c>
      <c r="I495" s="81" t="s">
        <v>5918</v>
      </c>
      <c r="J495" s="81" t="s">
        <v>2186</v>
      </c>
      <c r="K495" s="81" t="s">
        <v>5918</v>
      </c>
      <c r="L495" s="81" t="s">
        <v>2392</v>
      </c>
      <c r="M495" s="81" t="s">
        <v>5918</v>
      </c>
      <c r="N495" s="81" t="s">
        <v>2231</v>
      </c>
      <c r="O495" s="81" t="s">
        <v>2187</v>
      </c>
      <c r="P495" s="81" t="s">
        <v>2187</v>
      </c>
      <c r="Q495" s="81" t="s">
        <v>43</v>
      </c>
      <c r="R495" s="81" t="s">
        <v>46</v>
      </c>
      <c r="S495" s="81" t="s">
        <v>47</v>
      </c>
      <c r="T495" s="81" t="s">
        <v>48</v>
      </c>
      <c r="U495" s="81" t="s">
        <v>48</v>
      </c>
      <c r="V495" s="81" t="s">
        <v>48</v>
      </c>
      <c r="W495" s="81" t="s">
        <v>49</v>
      </c>
      <c r="X495" s="81" t="s">
        <v>48</v>
      </c>
      <c r="Y495" s="81" t="s">
        <v>48</v>
      </c>
    </row>
    <row r="496" spans="1:25" x14ac:dyDescent="0.3">
      <c r="A496" s="16">
        <v>7501125100130</v>
      </c>
      <c r="B496" s="81" t="s">
        <v>43</v>
      </c>
      <c r="C496" s="81" t="s">
        <v>572</v>
      </c>
      <c r="D496" s="81" t="s">
        <v>45</v>
      </c>
      <c r="E496" s="81" t="s">
        <v>2216</v>
      </c>
      <c r="F496" s="81" t="s">
        <v>2684</v>
      </c>
      <c r="G496" s="81" t="s">
        <v>2228</v>
      </c>
      <c r="H496" s="81" t="s">
        <v>2190</v>
      </c>
      <c r="I496" s="81" t="s">
        <v>5919</v>
      </c>
      <c r="J496" s="81" t="s">
        <v>2186</v>
      </c>
      <c r="K496" s="81" t="s">
        <v>5919</v>
      </c>
      <c r="L496" s="81" t="s">
        <v>2392</v>
      </c>
      <c r="M496" s="81" t="s">
        <v>5919</v>
      </c>
      <c r="N496" s="81" t="s">
        <v>2231</v>
      </c>
      <c r="O496" s="81" t="s">
        <v>2187</v>
      </c>
      <c r="P496" s="81" t="s">
        <v>2187</v>
      </c>
      <c r="Q496" s="81" t="s">
        <v>43</v>
      </c>
      <c r="R496" s="81" t="s">
        <v>46</v>
      </c>
      <c r="S496" s="81" t="s">
        <v>73</v>
      </c>
      <c r="T496" s="81" t="s">
        <v>48</v>
      </c>
      <c r="U496" s="81" t="s">
        <v>48</v>
      </c>
      <c r="V496" s="81" t="s">
        <v>48</v>
      </c>
      <c r="W496" s="81" t="s">
        <v>49</v>
      </c>
      <c r="X496" s="81" t="s">
        <v>48</v>
      </c>
      <c r="Y496" s="81" t="s">
        <v>48</v>
      </c>
    </row>
    <row r="497" spans="1:25" x14ac:dyDescent="0.3">
      <c r="A497" s="16">
        <v>7502211788690</v>
      </c>
      <c r="B497" s="81" t="s">
        <v>43</v>
      </c>
      <c r="C497" s="81" t="s">
        <v>573</v>
      </c>
      <c r="D497" s="81" t="s">
        <v>45</v>
      </c>
      <c r="E497" s="81" t="s">
        <v>2227</v>
      </c>
      <c r="F497" s="81" t="s">
        <v>2227</v>
      </c>
      <c r="G497" s="81" t="s">
        <v>3033</v>
      </c>
      <c r="H497" s="81" t="s">
        <v>5920</v>
      </c>
      <c r="I497" s="81" t="s">
        <v>5921</v>
      </c>
      <c r="J497" s="81" t="s">
        <v>2186</v>
      </c>
      <c r="K497" s="81" t="s">
        <v>5921</v>
      </c>
      <c r="L497" s="81" t="s">
        <v>2392</v>
      </c>
      <c r="M497" s="81" t="s">
        <v>5921</v>
      </c>
      <c r="N497" s="81" t="s">
        <v>2231</v>
      </c>
      <c r="O497" s="81" t="s">
        <v>2187</v>
      </c>
      <c r="P497" s="81" t="s">
        <v>2187</v>
      </c>
      <c r="Q497" s="81" t="s">
        <v>43</v>
      </c>
      <c r="R497" s="81" t="s">
        <v>46</v>
      </c>
      <c r="S497" s="81" t="s">
        <v>46</v>
      </c>
      <c r="T497" s="81" t="s">
        <v>48</v>
      </c>
      <c r="U497" s="81" t="s">
        <v>48</v>
      </c>
      <c r="V497" s="81" t="s">
        <v>48</v>
      </c>
      <c r="W497" s="81" t="s">
        <v>49</v>
      </c>
      <c r="X497" s="81" t="s">
        <v>48</v>
      </c>
      <c r="Y497" s="81" t="s">
        <v>48</v>
      </c>
    </row>
    <row r="498" spans="1:25" x14ac:dyDescent="0.3">
      <c r="A498" s="16">
        <v>7501537102586</v>
      </c>
      <c r="B498" s="81" t="s">
        <v>43</v>
      </c>
      <c r="C498" s="81" t="s">
        <v>574</v>
      </c>
      <c r="D498" s="81" t="s">
        <v>45</v>
      </c>
      <c r="E498" s="81" t="s">
        <v>3034</v>
      </c>
      <c r="F498" s="81" t="s">
        <v>3035</v>
      </c>
      <c r="G498" s="81" t="s">
        <v>2835</v>
      </c>
      <c r="H498" s="81" t="s">
        <v>2218</v>
      </c>
      <c r="I498" s="81" t="s">
        <v>5922</v>
      </c>
      <c r="J498" s="81" t="s">
        <v>2186</v>
      </c>
      <c r="K498" s="81" t="s">
        <v>5922</v>
      </c>
      <c r="L498" s="81" t="s">
        <v>2392</v>
      </c>
      <c r="M498" s="81" t="s">
        <v>5922</v>
      </c>
      <c r="N498" s="81" t="s">
        <v>2231</v>
      </c>
      <c r="O498" s="81" t="s">
        <v>2187</v>
      </c>
      <c r="P498" s="81" t="s">
        <v>2187</v>
      </c>
      <c r="Q498" s="81" t="s">
        <v>43</v>
      </c>
      <c r="R498" s="81" t="s">
        <v>46</v>
      </c>
      <c r="S498" s="81" t="s">
        <v>73</v>
      </c>
      <c r="T498" s="81" t="s">
        <v>48</v>
      </c>
      <c r="U498" s="81" t="s">
        <v>48</v>
      </c>
      <c r="V498" s="81" t="s">
        <v>48</v>
      </c>
      <c r="W498" s="81" t="s">
        <v>49</v>
      </c>
      <c r="X498" s="81" t="s">
        <v>48</v>
      </c>
      <c r="Y498" s="81" t="s">
        <v>48</v>
      </c>
    </row>
    <row r="499" spans="1:25" x14ac:dyDescent="0.3">
      <c r="A499" s="16">
        <v>7502216796782</v>
      </c>
      <c r="B499" s="81" t="s">
        <v>43</v>
      </c>
      <c r="C499" s="81" t="s">
        <v>1931</v>
      </c>
      <c r="D499" s="81" t="s">
        <v>45</v>
      </c>
      <c r="E499" s="81" t="s">
        <v>2227</v>
      </c>
      <c r="F499" s="81" t="s">
        <v>2227</v>
      </c>
      <c r="G499" s="81" t="s">
        <v>3036</v>
      </c>
      <c r="H499" s="81" t="s">
        <v>3037</v>
      </c>
      <c r="I499" s="81" t="s">
        <v>3038</v>
      </c>
      <c r="J499" s="81" t="s">
        <v>2186</v>
      </c>
      <c r="K499" s="81" t="s">
        <v>3039</v>
      </c>
      <c r="L499" s="81" t="s">
        <v>2392</v>
      </c>
      <c r="M499" s="81" t="s">
        <v>2911</v>
      </c>
      <c r="N499" s="81" t="s">
        <v>2231</v>
      </c>
      <c r="O499" s="81" t="s">
        <v>2187</v>
      </c>
      <c r="P499" s="81" t="s">
        <v>2187</v>
      </c>
      <c r="Q499" s="81" t="s">
        <v>43</v>
      </c>
      <c r="R499" s="81" t="s">
        <v>46</v>
      </c>
      <c r="S499" s="81" t="s">
        <v>46</v>
      </c>
      <c r="T499" s="81" t="s">
        <v>48</v>
      </c>
      <c r="U499" s="81" t="s">
        <v>48</v>
      </c>
      <c r="V499" s="81" t="s">
        <v>48</v>
      </c>
      <c r="W499" s="81" t="s">
        <v>49</v>
      </c>
      <c r="X499" s="81" t="s">
        <v>48</v>
      </c>
      <c r="Y499" s="81" t="s">
        <v>48</v>
      </c>
    </row>
    <row r="500" spans="1:25" x14ac:dyDescent="0.3">
      <c r="A500" s="16">
        <v>650240053634</v>
      </c>
      <c r="B500" s="81" t="s">
        <v>43</v>
      </c>
      <c r="C500" s="81" t="s">
        <v>1814</v>
      </c>
      <c r="D500" s="81" t="s">
        <v>45</v>
      </c>
      <c r="E500" s="81" t="s">
        <v>2227</v>
      </c>
      <c r="F500" s="81" t="s">
        <v>2227</v>
      </c>
      <c r="G500" s="81" t="s">
        <v>5183</v>
      </c>
      <c r="H500" s="81" t="s">
        <v>2744</v>
      </c>
      <c r="I500" s="81" t="s">
        <v>5923</v>
      </c>
      <c r="J500" s="81" t="s">
        <v>2186</v>
      </c>
      <c r="K500" s="81" t="s">
        <v>5923</v>
      </c>
      <c r="L500" s="81" t="s">
        <v>2392</v>
      </c>
      <c r="M500" s="81" t="s">
        <v>5923</v>
      </c>
      <c r="N500" s="81" t="s">
        <v>2231</v>
      </c>
      <c r="O500" s="81" t="s">
        <v>2187</v>
      </c>
      <c r="P500" s="81" t="s">
        <v>2187</v>
      </c>
      <c r="Q500" s="81" t="s">
        <v>43</v>
      </c>
      <c r="R500" s="81" t="s">
        <v>203</v>
      </c>
      <c r="S500" s="81" t="s">
        <v>203</v>
      </c>
      <c r="T500" s="81" t="s">
        <v>48</v>
      </c>
      <c r="U500" s="81" t="s">
        <v>48</v>
      </c>
      <c r="V500" s="81" t="s">
        <v>48</v>
      </c>
      <c r="W500" s="81" t="s">
        <v>49</v>
      </c>
      <c r="X500" s="81" t="s">
        <v>48</v>
      </c>
      <c r="Y500" s="81" t="s">
        <v>48</v>
      </c>
    </row>
    <row r="501" spans="1:25" x14ac:dyDescent="0.3">
      <c r="A501" s="16">
        <v>7501070612368</v>
      </c>
      <c r="B501" s="81" t="s">
        <v>43</v>
      </c>
      <c r="C501" s="81" t="s">
        <v>1932</v>
      </c>
      <c r="D501" s="81" t="s">
        <v>45</v>
      </c>
      <c r="E501" s="81" t="s">
        <v>2494</v>
      </c>
      <c r="F501" s="81" t="s">
        <v>2574</v>
      </c>
      <c r="G501" s="81" t="s">
        <v>5395</v>
      </c>
      <c r="H501" s="81" t="s">
        <v>2584</v>
      </c>
      <c r="I501" s="81" t="s">
        <v>5924</v>
      </c>
      <c r="J501" s="81" t="s">
        <v>2186</v>
      </c>
      <c r="K501" s="81" t="s">
        <v>5924</v>
      </c>
      <c r="L501" s="81" t="s">
        <v>2392</v>
      </c>
      <c r="M501" s="81" t="s">
        <v>5924</v>
      </c>
      <c r="N501" s="81" t="s">
        <v>2231</v>
      </c>
      <c r="O501" s="81" t="s">
        <v>2187</v>
      </c>
      <c r="P501" s="81" t="s">
        <v>2187</v>
      </c>
      <c r="Q501" s="81" t="s">
        <v>43</v>
      </c>
      <c r="R501" s="81" t="s">
        <v>203</v>
      </c>
      <c r="S501" s="81" t="s">
        <v>47</v>
      </c>
      <c r="T501" s="81" t="s">
        <v>48</v>
      </c>
      <c r="U501" s="81" t="s">
        <v>48</v>
      </c>
      <c r="V501" s="81" t="s">
        <v>48</v>
      </c>
      <c r="W501" s="81" t="s">
        <v>49</v>
      </c>
      <c r="X501" s="81" t="s">
        <v>48</v>
      </c>
      <c r="Y501" s="81" t="s">
        <v>48</v>
      </c>
    </row>
    <row r="502" spans="1:25" x14ac:dyDescent="0.3">
      <c r="A502" s="16" t="s">
        <v>575</v>
      </c>
      <c r="B502" s="81" t="s">
        <v>43</v>
      </c>
      <c r="C502" s="81" t="s">
        <v>576</v>
      </c>
      <c r="D502" s="81" t="s">
        <v>45</v>
      </c>
      <c r="E502" s="81" t="s">
        <v>2204</v>
      </c>
      <c r="F502" s="81" t="s">
        <v>2793</v>
      </c>
      <c r="G502" s="81" t="s">
        <v>2930</v>
      </c>
      <c r="H502" s="81" t="s">
        <v>2268</v>
      </c>
      <c r="I502" s="81" t="s">
        <v>2331</v>
      </c>
      <c r="J502" s="81" t="s">
        <v>2186</v>
      </c>
      <c r="K502" s="81" t="s">
        <v>2331</v>
      </c>
      <c r="L502" s="81" t="s">
        <v>2392</v>
      </c>
      <c r="M502" s="81" t="s">
        <v>2331</v>
      </c>
      <c r="N502" s="81" t="s">
        <v>2231</v>
      </c>
      <c r="O502" s="81" t="s">
        <v>2187</v>
      </c>
      <c r="P502" s="81" t="s">
        <v>2187</v>
      </c>
      <c r="Q502" s="81" t="s">
        <v>43</v>
      </c>
      <c r="R502" s="81" t="s">
        <v>122</v>
      </c>
      <c r="S502" s="81" t="s">
        <v>123</v>
      </c>
      <c r="T502" s="81" t="s">
        <v>48</v>
      </c>
      <c r="U502" s="81" t="s">
        <v>48</v>
      </c>
      <c r="V502" s="81" t="s">
        <v>48</v>
      </c>
      <c r="W502" s="81" t="s">
        <v>49</v>
      </c>
      <c r="X502" s="81" t="s">
        <v>48</v>
      </c>
      <c r="Y502" s="81" t="s">
        <v>48</v>
      </c>
    </row>
    <row r="503" spans="1:25" x14ac:dyDescent="0.3">
      <c r="A503" s="16">
        <v>7501573921264</v>
      </c>
      <c r="B503" s="81" t="s">
        <v>43</v>
      </c>
      <c r="C503" s="81" t="s">
        <v>577</v>
      </c>
      <c r="D503" s="81" t="s">
        <v>45</v>
      </c>
      <c r="E503" s="81" t="s">
        <v>2227</v>
      </c>
      <c r="F503" s="81" t="s">
        <v>2369</v>
      </c>
      <c r="G503" s="81" t="s">
        <v>5435</v>
      </c>
      <c r="H503" s="81" t="s">
        <v>2365</v>
      </c>
      <c r="I503" s="81" t="s">
        <v>5925</v>
      </c>
      <c r="J503" s="81" t="s">
        <v>2186</v>
      </c>
      <c r="K503" s="81" t="s">
        <v>5925</v>
      </c>
      <c r="L503" s="81" t="s">
        <v>2392</v>
      </c>
      <c r="M503" s="81" t="s">
        <v>5925</v>
      </c>
      <c r="N503" s="81" t="s">
        <v>2231</v>
      </c>
      <c r="O503" s="81" t="s">
        <v>2187</v>
      </c>
      <c r="P503" s="81" t="s">
        <v>2187</v>
      </c>
      <c r="Q503" s="81" t="s">
        <v>43</v>
      </c>
      <c r="R503" s="81" t="s">
        <v>46</v>
      </c>
      <c r="S503" s="81" t="s">
        <v>46</v>
      </c>
      <c r="T503" s="81" t="s">
        <v>48</v>
      </c>
      <c r="U503" s="81" t="s">
        <v>48</v>
      </c>
      <c r="V503" s="81" t="s">
        <v>48</v>
      </c>
      <c r="W503" s="81" t="s">
        <v>49</v>
      </c>
      <c r="X503" s="81" t="s">
        <v>48</v>
      </c>
      <c r="Y503" s="81" t="s">
        <v>48</v>
      </c>
    </row>
    <row r="504" spans="1:25" x14ac:dyDescent="0.3">
      <c r="A504" s="16">
        <v>7502223112346</v>
      </c>
      <c r="B504" s="81" t="s">
        <v>43</v>
      </c>
      <c r="C504" s="81" t="s">
        <v>578</v>
      </c>
      <c r="D504" s="81" t="s">
        <v>45</v>
      </c>
      <c r="E504" s="81" t="s">
        <v>2333</v>
      </c>
      <c r="F504" s="81" t="s">
        <v>2334</v>
      </c>
      <c r="G504" s="81" t="s">
        <v>4249</v>
      </c>
      <c r="H504" s="81" t="s">
        <v>2393</v>
      </c>
      <c r="I504" s="81" t="s">
        <v>5634</v>
      </c>
      <c r="J504" s="81" t="s">
        <v>2186</v>
      </c>
      <c r="K504" s="81" t="s">
        <v>5634</v>
      </c>
      <c r="L504" s="81" t="s">
        <v>2392</v>
      </c>
      <c r="M504" s="81" t="s">
        <v>5634</v>
      </c>
      <c r="N504" s="81" t="s">
        <v>2231</v>
      </c>
      <c r="O504" s="81" t="s">
        <v>2187</v>
      </c>
      <c r="P504" s="81" t="s">
        <v>2187</v>
      </c>
      <c r="Q504" s="81" t="s">
        <v>43</v>
      </c>
      <c r="R504" s="81" t="s">
        <v>46</v>
      </c>
      <c r="S504" s="81" t="s">
        <v>47</v>
      </c>
      <c r="T504" s="81" t="s">
        <v>48</v>
      </c>
      <c r="U504" s="81" t="s">
        <v>48</v>
      </c>
      <c r="V504" s="81" t="s">
        <v>48</v>
      </c>
      <c r="W504" s="81" t="s">
        <v>49</v>
      </c>
      <c r="X504" s="81" t="s">
        <v>48</v>
      </c>
      <c r="Y504" s="81" t="s">
        <v>48</v>
      </c>
    </row>
    <row r="505" spans="1:25" x14ac:dyDescent="0.3">
      <c r="A505" s="16">
        <v>7501349024991</v>
      </c>
      <c r="B505" s="81" t="s">
        <v>43</v>
      </c>
      <c r="C505" s="81" t="s">
        <v>579</v>
      </c>
      <c r="D505" s="81" t="s">
        <v>45</v>
      </c>
      <c r="E505" s="81" t="s">
        <v>2333</v>
      </c>
      <c r="F505" s="81" t="s">
        <v>2551</v>
      </c>
      <c r="G505" s="81" t="s">
        <v>3530</v>
      </c>
      <c r="H505" s="81" t="s">
        <v>2535</v>
      </c>
      <c r="I505" s="81" t="s">
        <v>2394</v>
      </c>
      <c r="J505" s="81" t="s">
        <v>2186</v>
      </c>
      <c r="K505" s="81" t="s">
        <v>2394</v>
      </c>
      <c r="L505" s="81" t="s">
        <v>2392</v>
      </c>
      <c r="M505" s="81" t="s">
        <v>2394</v>
      </c>
      <c r="N505" s="81" t="s">
        <v>2231</v>
      </c>
      <c r="O505" s="81" t="s">
        <v>2187</v>
      </c>
      <c r="P505" s="81" t="s">
        <v>2187</v>
      </c>
      <c r="Q505" s="81" t="s">
        <v>43</v>
      </c>
      <c r="R505" s="81" t="s">
        <v>46</v>
      </c>
      <c r="S505" s="81" t="s">
        <v>46</v>
      </c>
      <c r="T505" s="81" t="s">
        <v>48</v>
      </c>
      <c r="U505" s="81" t="s">
        <v>48</v>
      </c>
      <c r="V505" s="81" t="s">
        <v>48</v>
      </c>
      <c r="W505" s="81" t="s">
        <v>49</v>
      </c>
      <c r="X505" s="81" t="s">
        <v>48</v>
      </c>
      <c r="Y505" s="81" t="s">
        <v>48</v>
      </c>
    </row>
    <row r="506" spans="1:25" x14ac:dyDescent="0.3">
      <c r="A506" s="16">
        <v>780083139575</v>
      </c>
      <c r="B506" s="81" t="s">
        <v>43</v>
      </c>
      <c r="C506" s="81" t="s">
        <v>1933</v>
      </c>
      <c r="D506" s="81" t="s">
        <v>45</v>
      </c>
      <c r="E506" s="81" t="s">
        <v>2358</v>
      </c>
      <c r="F506" s="81" t="s">
        <v>2557</v>
      </c>
      <c r="G506" s="81" t="s">
        <v>4649</v>
      </c>
      <c r="H506" s="81" t="s">
        <v>2217</v>
      </c>
      <c r="I506" s="81" t="s">
        <v>5551</v>
      </c>
      <c r="J506" s="81" t="s">
        <v>2186</v>
      </c>
      <c r="K506" s="81" t="s">
        <v>5551</v>
      </c>
      <c r="L506" s="81" t="s">
        <v>2392</v>
      </c>
      <c r="M506" s="81" t="s">
        <v>5551</v>
      </c>
      <c r="N506" s="81" t="s">
        <v>2231</v>
      </c>
      <c r="O506" s="81" t="s">
        <v>2187</v>
      </c>
      <c r="P506" s="81" t="s">
        <v>2187</v>
      </c>
      <c r="Q506" s="81" t="s">
        <v>43</v>
      </c>
      <c r="R506" s="81" t="s">
        <v>46</v>
      </c>
      <c r="S506" s="81" t="s">
        <v>73</v>
      </c>
      <c r="T506" s="81" t="s">
        <v>48</v>
      </c>
      <c r="U506" s="81" t="s">
        <v>48</v>
      </c>
      <c r="V506" s="81" t="s">
        <v>48</v>
      </c>
      <c r="W506" s="81" t="s">
        <v>49</v>
      </c>
      <c r="X506" s="81" t="s">
        <v>48</v>
      </c>
      <c r="Y506" s="81" t="s">
        <v>48</v>
      </c>
    </row>
    <row r="507" spans="1:25" x14ac:dyDescent="0.3">
      <c r="A507" s="16">
        <v>7502240450018</v>
      </c>
      <c r="B507" s="81" t="s">
        <v>43</v>
      </c>
      <c r="C507" s="81" t="s">
        <v>580</v>
      </c>
      <c r="D507" s="81" t="s">
        <v>45</v>
      </c>
      <c r="E507" s="81" t="s">
        <v>2494</v>
      </c>
      <c r="F507" s="81" t="s">
        <v>2574</v>
      </c>
      <c r="G507" s="81" t="s">
        <v>2231</v>
      </c>
      <c r="H507" s="81" t="s">
        <v>2224</v>
      </c>
      <c r="I507" s="81" t="s">
        <v>5926</v>
      </c>
      <c r="J507" s="81" t="s">
        <v>2186</v>
      </c>
      <c r="K507" s="81" t="s">
        <v>5926</v>
      </c>
      <c r="L507" s="81" t="s">
        <v>2392</v>
      </c>
      <c r="M507" s="81" t="s">
        <v>5926</v>
      </c>
      <c r="N507" s="81" t="s">
        <v>2231</v>
      </c>
      <c r="O507" s="81" t="s">
        <v>2187</v>
      </c>
      <c r="P507" s="81" t="s">
        <v>2187</v>
      </c>
      <c r="Q507" s="81" t="s">
        <v>43</v>
      </c>
      <c r="R507" s="81" t="s">
        <v>51</v>
      </c>
      <c r="S507" s="81" t="s">
        <v>47</v>
      </c>
      <c r="T507" s="81" t="s">
        <v>49</v>
      </c>
      <c r="U507" s="81" t="s">
        <v>48</v>
      </c>
      <c r="V507" s="81" t="s">
        <v>48</v>
      </c>
      <c r="W507" s="81" t="s">
        <v>49</v>
      </c>
      <c r="X507" s="81" t="s">
        <v>48</v>
      </c>
      <c r="Y507" s="81" t="s">
        <v>48</v>
      </c>
    </row>
    <row r="508" spans="1:25" x14ac:dyDescent="0.3">
      <c r="A508" s="16">
        <v>7502240450780</v>
      </c>
      <c r="B508" s="81" t="s">
        <v>43</v>
      </c>
      <c r="C508" s="81" t="s">
        <v>581</v>
      </c>
      <c r="D508" s="81" t="s">
        <v>45</v>
      </c>
      <c r="E508" s="81" t="s">
        <v>2494</v>
      </c>
      <c r="F508" s="81" t="s">
        <v>2893</v>
      </c>
      <c r="G508" s="81" t="s">
        <v>5327</v>
      </c>
      <c r="H508" s="81" t="s">
        <v>5927</v>
      </c>
      <c r="I508" s="81" t="s">
        <v>5928</v>
      </c>
      <c r="J508" s="81" t="s">
        <v>2186</v>
      </c>
      <c r="K508" s="81" t="s">
        <v>5928</v>
      </c>
      <c r="L508" s="81" t="s">
        <v>2392</v>
      </c>
      <c r="M508" s="81" t="s">
        <v>5928</v>
      </c>
      <c r="N508" s="81" t="s">
        <v>2231</v>
      </c>
      <c r="O508" s="81" t="s">
        <v>2187</v>
      </c>
      <c r="P508" s="81" t="s">
        <v>2187</v>
      </c>
      <c r="Q508" s="81" t="s">
        <v>43</v>
      </c>
      <c r="R508" s="81" t="s">
        <v>46</v>
      </c>
      <c r="S508" s="81" t="s">
        <v>46</v>
      </c>
      <c r="T508" s="81" t="s">
        <v>48</v>
      </c>
      <c r="U508" s="81" t="s">
        <v>48</v>
      </c>
      <c r="V508" s="81" t="s">
        <v>48</v>
      </c>
      <c r="W508" s="81" t="s">
        <v>49</v>
      </c>
      <c r="X508" s="81" t="s">
        <v>48</v>
      </c>
      <c r="Y508" s="81" t="s">
        <v>48</v>
      </c>
    </row>
    <row r="509" spans="1:25" x14ac:dyDescent="0.3">
      <c r="A509" s="16">
        <v>7501563024586</v>
      </c>
      <c r="B509" s="81" t="s">
        <v>43</v>
      </c>
      <c r="C509" s="81" t="s">
        <v>582</v>
      </c>
      <c r="D509" s="81" t="s">
        <v>45</v>
      </c>
      <c r="E509" s="81" t="s">
        <v>2233</v>
      </c>
      <c r="F509" s="81" t="s">
        <v>2477</v>
      </c>
      <c r="G509" s="81" t="s">
        <v>4811</v>
      </c>
      <c r="H509" s="81" t="s">
        <v>3041</v>
      </c>
      <c r="I509" s="81" t="s">
        <v>3042</v>
      </c>
      <c r="J509" s="81" t="s">
        <v>2186</v>
      </c>
      <c r="K509" s="81" t="s">
        <v>3043</v>
      </c>
      <c r="L509" s="81" t="s">
        <v>2392</v>
      </c>
      <c r="M509" s="81" t="s">
        <v>2943</v>
      </c>
      <c r="N509" s="81" t="s">
        <v>2231</v>
      </c>
      <c r="O509" s="81" t="s">
        <v>2187</v>
      </c>
      <c r="P509" s="81" t="s">
        <v>2187</v>
      </c>
      <c r="Q509" s="81" t="s">
        <v>43</v>
      </c>
      <c r="R509" s="81" t="s">
        <v>122</v>
      </c>
      <c r="S509" s="81" t="s">
        <v>123</v>
      </c>
      <c r="T509" s="81" t="s">
        <v>48</v>
      </c>
      <c r="U509" s="81" t="s">
        <v>48</v>
      </c>
      <c r="V509" s="81" t="s">
        <v>49</v>
      </c>
      <c r="W509" s="81" t="s">
        <v>48</v>
      </c>
      <c r="X509" s="81" t="s">
        <v>48</v>
      </c>
      <c r="Y509" s="81" t="s">
        <v>48</v>
      </c>
    </row>
    <row r="510" spans="1:25" x14ac:dyDescent="0.3">
      <c r="A510" s="16">
        <v>7502226292410</v>
      </c>
      <c r="B510" s="81" t="s">
        <v>43</v>
      </c>
      <c r="C510" s="81" t="s">
        <v>583</v>
      </c>
      <c r="D510" s="81" t="s">
        <v>45</v>
      </c>
      <c r="E510" s="81" t="s">
        <v>2369</v>
      </c>
      <c r="F510" s="81" t="s">
        <v>2357</v>
      </c>
      <c r="G510" s="81" t="s">
        <v>3044</v>
      </c>
      <c r="H510" s="81" t="s">
        <v>3045</v>
      </c>
      <c r="I510" s="81" t="s">
        <v>5929</v>
      </c>
      <c r="J510" s="81" t="s">
        <v>2186</v>
      </c>
      <c r="K510" s="81" t="s">
        <v>5929</v>
      </c>
      <c r="L510" s="81" t="s">
        <v>2392</v>
      </c>
      <c r="M510" s="81" t="s">
        <v>5929</v>
      </c>
      <c r="N510" s="81" t="s">
        <v>2231</v>
      </c>
      <c r="O510" s="81" t="s">
        <v>2187</v>
      </c>
      <c r="P510" s="81" t="s">
        <v>2187</v>
      </c>
      <c r="Q510" s="81" t="s">
        <v>43</v>
      </c>
      <c r="R510" s="81" t="s">
        <v>46</v>
      </c>
      <c r="S510" s="81" t="s">
        <v>47</v>
      </c>
      <c r="T510" s="81" t="s">
        <v>48</v>
      </c>
      <c r="U510" s="81" t="s">
        <v>48</v>
      </c>
      <c r="V510" s="81" t="s">
        <v>48</v>
      </c>
      <c r="W510" s="81" t="s">
        <v>49</v>
      </c>
      <c r="X510" s="81" t="s">
        <v>48</v>
      </c>
      <c r="Y510" s="81" t="s">
        <v>48</v>
      </c>
    </row>
    <row r="511" spans="1:25" x14ac:dyDescent="0.3">
      <c r="A511" s="16">
        <v>7501349020412</v>
      </c>
      <c r="B511" s="81" t="s">
        <v>43</v>
      </c>
      <c r="C511" s="81" t="s">
        <v>584</v>
      </c>
      <c r="D511" s="81" t="s">
        <v>45</v>
      </c>
      <c r="E511" s="81" t="s">
        <v>2354</v>
      </c>
      <c r="F511" s="81" t="s">
        <v>2404</v>
      </c>
      <c r="G511" s="81" t="s">
        <v>5328</v>
      </c>
      <c r="H511" s="81" t="s">
        <v>2440</v>
      </c>
      <c r="I511" s="81" t="s">
        <v>5930</v>
      </c>
      <c r="J511" s="81" t="s">
        <v>2186</v>
      </c>
      <c r="K511" s="81" t="s">
        <v>5930</v>
      </c>
      <c r="L511" s="81" t="s">
        <v>2392</v>
      </c>
      <c r="M511" s="81" t="s">
        <v>5930</v>
      </c>
      <c r="N511" s="81" t="s">
        <v>2231</v>
      </c>
      <c r="O511" s="81" t="s">
        <v>2187</v>
      </c>
      <c r="P511" s="81" t="s">
        <v>2187</v>
      </c>
      <c r="Q511" s="81" t="s">
        <v>43</v>
      </c>
      <c r="R511" s="81" t="s">
        <v>46</v>
      </c>
      <c r="S511" s="81" t="s">
        <v>73</v>
      </c>
      <c r="T511" s="81" t="s">
        <v>48</v>
      </c>
      <c r="U511" s="81" t="s">
        <v>48</v>
      </c>
      <c r="V511" s="81" t="s">
        <v>48</v>
      </c>
      <c r="W511" s="81" t="s">
        <v>49</v>
      </c>
      <c r="X511" s="81" t="s">
        <v>48</v>
      </c>
      <c r="Y511" s="81" t="s">
        <v>48</v>
      </c>
    </row>
    <row r="512" spans="1:25" x14ac:dyDescent="0.3">
      <c r="A512" s="16">
        <v>7501563020090</v>
      </c>
      <c r="B512" s="81" t="s">
        <v>43</v>
      </c>
      <c r="C512" s="81" t="s">
        <v>585</v>
      </c>
      <c r="D512" s="81" t="s">
        <v>45</v>
      </c>
      <c r="E512" s="81" t="s">
        <v>2248</v>
      </c>
      <c r="F512" s="81" t="s">
        <v>2249</v>
      </c>
      <c r="G512" s="81" t="s">
        <v>4812</v>
      </c>
      <c r="H512" s="81" t="s">
        <v>3738</v>
      </c>
      <c r="I512" s="81" t="s">
        <v>5931</v>
      </c>
      <c r="J512" s="81" t="s">
        <v>2186</v>
      </c>
      <c r="K512" s="81" t="s">
        <v>5931</v>
      </c>
      <c r="L512" s="81" t="s">
        <v>2392</v>
      </c>
      <c r="M512" s="81" t="s">
        <v>5931</v>
      </c>
      <c r="N512" s="81" t="s">
        <v>2231</v>
      </c>
      <c r="O512" s="81" t="s">
        <v>2187</v>
      </c>
      <c r="P512" s="81" t="s">
        <v>2187</v>
      </c>
      <c r="Q512" s="81" t="s">
        <v>43</v>
      </c>
      <c r="R512" s="81" t="s">
        <v>122</v>
      </c>
      <c r="S512" s="81" t="s">
        <v>123</v>
      </c>
      <c r="T512" s="81" t="s">
        <v>48</v>
      </c>
      <c r="U512" s="81" t="s">
        <v>48</v>
      </c>
      <c r="V512" s="81" t="s">
        <v>49</v>
      </c>
      <c r="W512" s="81" t="s">
        <v>48</v>
      </c>
      <c r="X512" s="81" t="s">
        <v>48</v>
      </c>
      <c r="Y512" s="81" t="s">
        <v>48</v>
      </c>
    </row>
    <row r="513" spans="1:25" x14ac:dyDescent="0.3">
      <c r="A513" s="16">
        <v>7501563020366</v>
      </c>
      <c r="B513" s="81" t="s">
        <v>43</v>
      </c>
      <c r="C513" s="81" t="s">
        <v>586</v>
      </c>
      <c r="D513" s="81" t="s">
        <v>45</v>
      </c>
      <c r="E513" s="81" t="s">
        <v>2308</v>
      </c>
      <c r="F513" s="81" t="s">
        <v>2179</v>
      </c>
      <c r="G513" s="81" t="s">
        <v>2759</v>
      </c>
      <c r="H513" s="81" t="s">
        <v>5932</v>
      </c>
      <c r="I513" s="81" t="s">
        <v>5933</v>
      </c>
      <c r="J513" s="81" t="s">
        <v>2186</v>
      </c>
      <c r="K513" s="81" t="s">
        <v>5933</v>
      </c>
      <c r="L513" s="81" t="s">
        <v>2392</v>
      </c>
      <c r="M513" s="81" t="s">
        <v>5933</v>
      </c>
      <c r="N513" s="81" t="s">
        <v>2231</v>
      </c>
      <c r="O513" s="81" t="s">
        <v>2187</v>
      </c>
      <c r="P513" s="81" t="s">
        <v>2187</v>
      </c>
      <c r="Q513" s="81" t="s">
        <v>43</v>
      </c>
      <c r="R513" s="81" t="s">
        <v>122</v>
      </c>
      <c r="S513" s="81" t="s">
        <v>123</v>
      </c>
      <c r="T513" s="81" t="s">
        <v>48</v>
      </c>
      <c r="U513" s="81" t="s">
        <v>48</v>
      </c>
      <c r="V513" s="81" t="s">
        <v>49</v>
      </c>
      <c r="W513" s="81" t="s">
        <v>48</v>
      </c>
      <c r="X513" s="81" t="s">
        <v>48</v>
      </c>
      <c r="Y513" s="81" t="s">
        <v>48</v>
      </c>
    </row>
    <row r="514" spans="1:25" x14ac:dyDescent="0.3">
      <c r="A514" s="16">
        <v>7501563020113</v>
      </c>
      <c r="B514" s="81" t="s">
        <v>43</v>
      </c>
      <c r="C514" s="81" t="s">
        <v>587</v>
      </c>
      <c r="D514" s="81" t="s">
        <v>45</v>
      </c>
      <c r="E514" s="81" t="s">
        <v>2192</v>
      </c>
      <c r="F514" s="81" t="s">
        <v>2294</v>
      </c>
      <c r="G514" s="81" t="s">
        <v>3046</v>
      </c>
      <c r="H514" s="81" t="s">
        <v>3041</v>
      </c>
      <c r="I514" s="81" t="s">
        <v>5934</v>
      </c>
      <c r="J514" s="81" t="s">
        <v>2186</v>
      </c>
      <c r="K514" s="81" t="s">
        <v>5934</v>
      </c>
      <c r="L514" s="81" t="s">
        <v>2392</v>
      </c>
      <c r="M514" s="81" t="s">
        <v>5934</v>
      </c>
      <c r="N514" s="81" t="s">
        <v>2231</v>
      </c>
      <c r="O514" s="81" t="s">
        <v>2187</v>
      </c>
      <c r="P514" s="81" t="s">
        <v>2187</v>
      </c>
      <c r="Q514" s="81" t="s">
        <v>43</v>
      </c>
      <c r="R514" s="81" t="s">
        <v>122</v>
      </c>
      <c r="S514" s="81" t="s">
        <v>123</v>
      </c>
      <c r="T514" s="81" t="s">
        <v>48</v>
      </c>
      <c r="U514" s="81" t="s">
        <v>48</v>
      </c>
      <c r="V514" s="81" t="s">
        <v>49</v>
      </c>
      <c r="W514" s="81" t="s">
        <v>48</v>
      </c>
      <c r="X514" s="81" t="s">
        <v>48</v>
      </c>
      <c r="Y514" s="81" t="s">
        <v>48</v>
      </c>
    </row>
    <row r="515" spans="1:25" x14ac:dyDescent="0.3">
      <c r="A515" s="16">
        <v>7502216799318</v>
      </c>
      <c r="B515" s="81" t="s">
        <v>43</v>
      </c>
      <c r="C515" s="81" t="s">
        <v>588</v>
      </c>
      <c r="D515" s="81" t="s">
        <v>45</v>
      </c>
      <c r="E515" s="81" t="s">
        <v>2458</v>
      </c>
      <c r="F515" s="81" t="s">
        <v>2447</v>
      </c>
      <c r="G515" s="81" t="s">
        <v>5935</v>
      </c>
      <c r="H515" s="81" t="s">
        <v>2669</v>
      </c>
      <c r="I515" s="81" t="s">
        <v>5936</v>
      </c>
      <c r="J515" s="81" t="s">
        <v>2186</v>
      </c>
      <c r="K515" s="81" t="s">
        <v>5936</v>
      </c>
      <c r="L515" s="81" t="s">
        <v>2392</v>
      </c>
      <c r="M515" s="81" t="s">
        <v>5936</v>
      </c>
      <c r="N515" s="81" t="s">
        <v>2231</v>
      </c>
      <c r="O515" s="81" t="s">
        <v>2187</v>
      </c>
      <c r="P515" s="81" t="s">
        <v>2187</v>
      </c>
      <c r="Q515" s="81" t="s">
        <v>43</v>
      </c>
      <c r="R515" s="81" t="s">
        <v>46</v>
      </c>
      <c r="S515" s="81" t="s">
        <v>47</v>
      </c>
      <c r="T515" s="81" t="s">
        <v>48</v>
      </c>
      <c r="U515" s="81" t="s">
        <v>48</v>
      </c>
      <c r="V515" s="81" t="s">
        <v>48</v>
      </c>
      <c r="W515" s="81" t="s">
        <v>49</v>
      </c>
      <c r="X515" s="81" t="s">
        <v>48</v>
      </c>
      <c r="Y515" s="81" t="s">
        <v>48</v>
      </c>
    </row>
    <row r="516" spans="1:25" x14ac:dyDescent="0.3">
      <c r="A516" s="16">
        <v>7502009740299</v>
      </c>
      <c r="B516" s="81" t="s">
        <v>43</v>
      </c>
      <c r="C516" s="81" t="s">
        <v>589</v>
      </c>
      <c r="D516" s="81" t="s">
        <v>45</v>
      </c>
      <c r="E516" s="81" t="s">
        <v>2443</v>
      </c>
      <c r="F516" s="81" t="s">
        <v>2404</v>
      </c>
      <c r="G516" s="81" t="s">
        <v>3048</v>
      </c>
      <c r="H516" s="81" t="s">
        <v>2232</v>
      </c>
      <c r="I516" s="81" t="s">
        <v>2260</v>
      </c>
      <c r="J516" s="81" t="s">
        <v>2186</v>
      </c>
      <c r="K516" s="81" t="s">
        <v>2764</v>
      </c>
      <c r="L516" s="81" t="s">
        <v>2392</v>
      </c>
      <c r="M516" s="81" t="s">
        <v>3049</v>
      </c>
      <c r="N516" s="81" t="s">
        <v>2231</v>
      </c>
      <c r="O516" s="81" t="s">
        <v>2187</v>
      </c>
      <c r="P516" s="81" t="s">
        <v>2187</v>
      </c>
      <c r="Q516" s="81" t="s">
        <v>43</v>
      </c>
      <c r="R516" s="81" t="s">
        <v>46</v>
      </c>
      <c r="S516" s="81" t="s">
        <v>46</v>
      </c>
      <c r="T516" s="81" t="s">
        <v>48</v>
      </c>
      <c r="U516" s="81" t="s">
        <v>48</v>
      </c>
      <c r="V516" s="81" t="s">
        <v>48</v>
      </c>
      <c r="W516" s="81" t="s">
        <v>49</v>
      </c>
      <c r="X516" s="81" t="s">
        <v>48</v>
      </c>
      <c r="Y516" s="81" t="s">
        <v>48</v>
      </c>
    </row>
    <row r="517" spans="1:25" x14ac:dyDescent="0.3">
      <c r="A517" s="16">
        <v>7501349028494</v>
      </c>
      <c r="B517" s="81" t="s">
        <v>43</v>
      </c>
      <c r="C517" s="81" t="s">
        <v>590</v>
      </c>
      <c r="D517" s="81" t="s">
        <v>45</v>
      </c>
      <c r="E517" s="81" t="s">
        <v>2629</v>
      </c>
      <c r="F517" s="81" t="s">
        <v>2630</v>
      </c>
      <c r="G517" s="81" t="s">
        <v>3050</v>
      </c>
      <c r="H517" s="81" t="s">
        <v>2237</v>
      </c>
      <c r="I517" s="81" t="s">
        <v>2302</v>
      </c>
      <c r="J517" s="81" t="s">
        <v>2186</v>
      </c>
      <c r="K517" s="81" t="s">
        <v>2302</v>
      </c>
      <c r="L517" s="81" t="s">
        <v>2392</v>
      </c>
      <c r="M517" s="81" t="s">
        <v>2302</v>
      </c>
      <c r="N517" s="81" t="s">
        <v>2231</v>
      </c>
      <c r="O517" s="81" t="s">
        <v>2187</v>
      </c>
      <c r="P517" s="81" t="s">
        <v>2187</v>
      </c>
      <c r="Q517" s="81" t="s">
        <v>43</v>
      </c>
      <c r="R517" s="81" t="s">
        <v>46</v>
      </c>
      <c r="S517" s="81" t="s">
        <v>47</v>
      </c>
      <c r="T517" s="81" t="s">
        <v>48</v>
      </c>
      <c r="U517" s="81" t="s">
        <v>48</v>
      </c>
      <c r="V517" s="81" t="s">
        <v>48</v>
      </c>
      <c r="W517" s="81" t="s">
        <v>49</v>
      </c>
      <c r="X517" s="81" t="s">
        <v>48</v>
      </c>
      <c r="Y517" s="81" t="s">
        <v>48</v>
      </c>
    </row>
    <row r="518" spans="1:25" x14ac:dyDescent="0.3">
      <c r="A518" s="16">
        <v>7501095409004</v>
      </c>
      <c r="B518" s="81" t="s">
        <v>43</v>
      </c>
      <c r="C518" s="81" t="s">
        <v>591</v>
      </c>
      <c r="D518" s="81" t="s">
        <v>45</v>
      </c>
      <c r="E518" s="81" t="s">
        <v>2878</v>
      </c>
      <c r="F518" s="81" t="s">
        <v>2929</v>
      </c>
      <c r="G518" s="81" t="s">
        <v>4902</v>
      </c>
      <c r="H518" s="81" t="s">
        <v>2669</v>
      </c>
      <c r="I518" s="81" t="s">
        <v>5937</v>
      </c>
      <c r="J518" s="81" t="s">
        <v>2186</v>
      </c>
      <c r="K518" s="81" t="s">
        <v>5937</v>
      </c>
      <c r="L518" s="81" t="s">
        <v>2392</v>
      </c>
      <c r="M518" s="81" t="s">
        <v>5937</v>
      </c>
      <c r="N518" s="81" t="s">
        <v>2231</v>
      </c>
      <c r="O518" s="81" t="s">
        <v>2187</v>
      </c>
      <c r="P518" s="81" t="s">
        <v>2187</v>
      </c>
      <c r="Q518" s="81" t="s">
        <v>43</v>
      </c>
      <c r="R518" s="81" t="s">
        <v>203</v>
      </c>
      <c r="S518" s="81" t="s">
        <v>203</v>
      </c>
      <c r="T518" s="81" t="s">
        <v>48</v>
      </c>
      <c r="U518" s="81" t="s">
        <v>48</v>
      </c>
      <c r="V518" s="81" t="s">
        <v>48</v>
      </c>
      <c r="W518" s="81" t="s">
        <v>49</v>
      </c>
      <c r="X518" s="81" t="s">
        <v>48</v>
      </c>
      <c r="Y518" s="81" t="s">
        <v>48</v>
      </c>
    </row>
    <row r="519" spans="1:25" x14ac:dyDescent="0.3">
      <c r="A519" s="16">
        <v>8400005656</v>
      </c>
      <c r="B519" s="81" t="s">
        <v>43</v>
      </c>
      <c r="C519" s="81" t="s">
        <v>3051</v>
      </c>
      <c r="D519" s="81" t="s">
        <v>45</v>
      </c>
      <c r="E519" s="81" t="s">
        <v>2227</v>
      </c>
      <c r="F519" s="81" t="s">
        <v>2227</v>
      </c>
      <c r="G519" s="81" t="s">
        <v>5109</v>
      </c>
      <c r="H519" s="81" t="s">
        <v>3052</v>
      </c>
      <c r="I519" s="81" t="s">
        <v>5938</v>
      </c>
      <c r="J519" s="81" t="s">
        <v>2186</v>
      </c>
      <c r="K519" s="81" t="s">
        <v>5938</v>
      </c>
      <c r="L519" s="81" t="s">
        <v>2392</v>
      </c>
      <c r="M519" s="81" t="s">
        <v>5938</v>
      </c>
      <c r="N519" s="81" t="s">
        <v>2231</v>
      </c>
      <c r="O519" s="81" t="s">
        <v>2187</v>
      </c>
      <c r="P519" s="81" t="s">
        <v>2187</v>
      </c>
      <c r="Q519" s="81" t="s">
        <v>43</v>
      </c>
      <c r="R519" s="81" t="s">
        <v>112</v>
      </c>
      <c r="S519" s="81" t="s">
        <v>112</v>
      </c>
      <c r="T519" s="81" t="s">
        <v>48</v>
      </c>
      <c r="U519" s="81" t="s">
        <v>48</v>
      </c>
      <c r="V519" s="81" t="s">
        <v>49</v>
      </c>
      <c r="W519" s="81" t="s">
        <v>48</v>
      </c>
      <c r="X519" s="81" t="s">
        <v>48</v>
      </c>
      <c r="Y519" s="81" t="s">
        <v>48</v>
      </c>
    </row>
    <row r="520" spans="1:25" x14ac:dyDescent="0.3">
      <c r="A520" s="16">
        <v>759684317071</v>
      </c>
      <c r="B520" s="81" t="s">
        <v>43</v>
      </c>
      <c r="C520" s="81" t="s">
        <v>1815</v>
      </c>
      <c r="D520" s="81" t="s">
        <v>45</v>
      </c>
      <c r="E520" s="81" t="s">
        <v>2227</v>
      </c>
      <c r="F520" s="81" t="s">
        <v>2227</v>
      </c>
      <c r="G520" s="81" t="s">
        <v>4644</v>
      </c>
      <c r="H520" s="81" t="s">
        <v>5939</v>
      </c>
      <c r="I520" s="81" t="s">
        <v>5940</v>
      </c>
      <c r="J520" s="81" t="s">
        <v>2186</v>
      </c>
      <c r="K520" s="81" t="s">
        <v>5940</v>
      </c>
      <c r="L520" s="81" t="s">
        <v>2392</v>
      </c>
      <c r="M520" s="81" t="s">
        <v>5940</v>
      </c>
      <c r="N520" s="81" t="s">
        <v>2231</v>
      </c>
      <c r="O520" s="81" t="s">
        <v>2187</v>
      </c>
      <c r="P520" s="81" t="s">
        <v>2187</v>
      </c>
      <c r="Q520" s="81" t="s">
        <v>43</v>
      </c>
      <c r="R520" s="81" t="s">
        <v>122</v>
      </c>
      <c r="S520" s="81" t="s">
        <v>123</v>
      </c>
      <c r="T520" s="81" t="s">
        <v>48</v>
      </c>
      <c r="U520" s="81" t="s">
        <v>48</v>
      </c>
      <c r="V520" s="81" t="s">
        <v>49</v>
      </c>
      <c r="W520" s="81" t="s">
        <v>48</v>
      </c>
      <c r="X520" s="81" t="s">
        <v>48</v>
      </c>
      <c r="Y520" s="81" t="s">
        <v>48</v>
      </c>
    </row>
    <row r="521" spans="1:25" x14ac:dyDescent="0.3">
      <c r="A521" s="16">
        <v>8400005823</v>
      </c>
      <c r="B521" s="81" t="s">
        <v>43</v>
      </c>
      <c r="C521" s="81" t="s">
        <v>2133</v>
      </c>
      <c r="D521" s="81" t="s">
        <v>45</v>
      </c>
      <c r="E521" s="81" t="s">
        <v>2227</v>
      </c>
      <c r="F521" s="81" t="s">
        <v>2227</v>
      </c>
      <c r="G521" s="81" t="s">
        <v>2889</v>
      </c>
      <c r="H521" s="81" t="s">
        <v>2506</v>
      </c>
      <c r="I521" s="81" t="s">
        <v>5941</v>
      </c>
      <c r="J521" s="81" t="s">
        <v>2186</v>
      </c>
      <c r="K521" s="81" t="s">
        <v>5941</v>
      </c>
      <c r="L521" s="81" t="s">
        <v>2392</v>
      </c>
      <c r="M521" s="81" t="s">
        <v>5941</v>
      </c>
      <c r="N521" s="81" t="s">
        <v>2231</v>
      </c>
      <c r="O521" s="81" t="s">
        <v>2187</v>
      </c>
      <c r="P521" s="81" t="s">
        <v>2187</v>
      </c>
      <c r="Q521" s="81" t="s">
        <v>43</v>
      </c>
      <c r="R521" s="81" t="s">
        <v>112</v>
      </c>
      <c r="S521" s="81" t="s">
        <v>112</v>
      </c>
      <c r="T521" s="81" t="s">
        <v>48</v>
      </c>
      <c r="U521" s="81" t="s">
        <v>48</v>
      </c>
      <c r="V521" s="81" t="s">
        <v>48</v>
      </c>
      <c r="W521" s="81" t="s">
        <v>49</v>
      </c>
      <c r="X521" s="81" t="s">
        <v>48</v>
      </c>
      <c r="Y521" s="81" t="s">
        <v>48</v>
      </c>
    </row>
    <row r="522" spans="1:25" x14ac:dyDescent="0.3">
      <c r="A522" s="16" t="s">
        <v>592</v>
      </c>
      <c r="B522" s="81" t="s">
        <v>43</v>
      </c>
      <c r="C522" s="81" t="s">
        <v>593</v>
      </c>
      <c r="D522" s="81" t="s">
        <v>45</v>
      </c>
      <c r="E522" s="81" t="s">
        <v>2281</v>
      </c>
      <c r="F522" s="81" t="s">
        <v>3056</v>
      </c>
      <c r="G522" s="81" t="s">
        <v>2930</v>
      </c>
      <c r="H522" s="81" t="s">
        <v>2268</v>
      </c>
      <c r="I522" s="81" t="s">
        <v>2331</v>
      </c>
      <c r="J522" s="81" t="s">
        <v>2186</v>
      </c>
      <c r="K522" s="81" t="s">
        <v>2331</v>
      </c>
      <c r="L522" s="81" t="s">
        <v>2392</v>
      </c>
      <c r="M522" s="81" t="s">
        <v>2331</v>
      </c>
      <c r="N522" s="81" t="s">
        <v>2231</v>
      </c>
      <c r="O522" s="81" t="s">
        <v>2187</v>
      </c>
      <c r="P522" s="81" t="s">
        <v>2187</v>
      </c>
      <c r="Q522" s="81" t="s">
        <v>43</v>
      </c>
      <c r="R522" s="81" t="s">
        <v>122</v>
      </c>
      <c r="S522" s="81" t="s">
        <v>123</v>
      </c>
      <c r="T522" s="81" t="s">
        <v>48</v>
      </c>
      <c r="U522" s="81" t="s">
        <v>48</v>
      </c>
      <c r="V522" s="81" t="s">
        <v>48</v>
      </c>
      <c r="W522" s="81" t="s">
        <v>49</v>
      </c>
      <c r="X522" s="81" t="s">
        <v>48</v>
      </c>
      <c r="Y522" s="81" t="s">
        <v>48</v>
      </c>
    </row>
    <row r="523" spans="1:25" x14ac:dyDescent="0.3">
      <c r="A523" s="16">
        <v>714706910906</v>
      </c>
      <c r="B523" s="81" t="s">
        <v>43</v>
      </c>
      <c r="C523" s="81" t="s">
        <v>594</v>
      </c>
      <c r="D523" s="81" t="s">
        <v>45</v>
      </c>
      <c r="E523" s="81" t="s">
        <v>2483</v>
      </c>
      <c r="F523" s="81" t="s">
        <v>2378</v>
      </c>
      <c r="G523" s="81" t="s">
        <v>3057</v>
      </c>
      <c r="H523" s="81" t="s">
        <v>2217</v>
      </c>
      <c r="I523" s="81" t="s">
        <v>5942</v>
      </c>
      <c r="J523" s="81" t="s">
        <v>2186</v>
      </c>
      <c r="K523" s="81" t="s">
        <v>5942</v>
      </c>
      <c r="L523" s="81" t="s">
        <v>2392</v>
      </c>
      <c r="M523" s="81" t="s">
        <v>5942</v>
      </c>
      <c r="N523" s="81" t="s">
        <v>2231</v>
      </c>
      <c r="O523" s="81" t="s">
        <v>2187</v>
      </c>
      <c r="P523" s="81" t="s">
        <v>2187</v>
      </c>
      <c r="Q523" s="81" t="s">
        <v>43</v>
      </c>
      <c r="R523" s="81" t="s">
        <v>203</v>
      </c>
      <c r="S523" s="81" t="s">
        <v>203</v>
      </c>
      <c r="T523" s="81" t="s">
        <v>48</v>
      </c>
      <c r="U523" s="81" t="s">
        <v>48</v>
      </c>
      <c r="V523" s="81" t="s">
        <v>48</v>
      </c>
      <c r="W523" s="81" t="s">
        <v>49</v>
      </c>
      <c r="X523" s="81" t="s">
        <v>48</v>
      </c>
      <c r="Y523" s="81" t="s">
        <v>48</v>
      </c>
    </row>
    <row r="524" spans="1:25" x14ac:dyDescent="0.3">
      <c r="A524" s="16">
        <v>714706910913</v>
      </c>
      <c r="B524" s="81" t="s">
        <v>43</v>
      </c>
      <c r="C524" s="81" t="s">
        <v>595</v>
      </c>
      <c r="D524" s="81" t="s">
        <v>45</v>
      </c>
      <c r="E524" s="81" t="s">
        <v>2780</v>
      </c>
      <c r="F524" s="81" t="s">
        <v>2678</v>
      </c>
      <c r="G524" s="81" t="s">
        <v>3058</v>
      </c>
      <c r="H524" s="81" t="s">
        <v>2391</v>
      </c>
      <c r="I524" s="81" t="s">
        <v>4569</v>
      </c>
      <c r="J524" s="81" t="s">
        <v>2186</v>
      </c>
      <c r="K524" s="81" t="s">
        <v>4570</v>
      </c>
      <c r="L524" s="81" t="s">
        <v>2392</v>
      </c>
      <c r="M524" s="81" t="s">
        <v>3059</v>
      </c>
      <c r="N524" s="81" t="s">
        <v>2231</v>
      </c>
      <c r="O524" s="81" t="s">
        <v>2187</v>
      </c>
      <c r="P524" s="81" t="s">
        <v>2187</v>
      </c>
      <c r="Q524" s="81" t="s">
        <v>43</v>
      </c>
      <c r="R524" s="81" t="s">
        <v>203</v>
      </c>
      <c r="S524" s="81" t="s">
        <v>203</v>
      </c>
      <c r="T524" s="81" t="s">
        <v>48</v>
      </c>
      <c r="U524" s="81" t="s">
        <v>48</v>
      </c>
      <c r="V524" s="81" t="s">
        <v>48</v>
      </c>
      <c r="W524" s="81" t="s">
        <v>49</v>
      </c>
      <c r="X524" s="81" t="s">
        <v>48</v>
      </c>
      <c r="Y524" s="81" t="s">
        <v>48</v>
      </c>
    </row>
    <row r="525" spans="1:25" x14ac:dyDescent="0.3">
      <c r="A525" s="16">
        <v>714706910890</v>
      </c>
      <c r="B525" s="81" t="s">
        <v>43</v>
      </c>
      <c r="C525" s="81" t="s">
        <v>596</v>
      </c>
      <c r="D525" s="81" t="s">
        <v>45</v>
      </c>
      <c r="E525" s="81" t="s">
        <v>2313</v>
      </c>
      <c r="F525" s="81" t="s">
        <v>2352</v>
      </c>
      <c r="G525" s="81" t="s">
        <v>3057</v>
      </c>
      <c r="H525" s="81" t="s">
        <v>2217</v>
      </c>
      <c r="I525" s="81" t="s">
        <v>5942</v>
      </c>
      <c r="J525" s="81" t="s">
        <v>2186</v>
      </c>
      <c r="K525" s="81" t="s">
        <v>5942</v>
      </c>
      <c r="L525" s="81" t="s">
        <v>2392</v>
      </c>
      <c r="M525" s="81" t="s">
        <v>5942</v>
      </c>
      <c r="N525" s="81" t="s">
        <v>2231</v>
      </c>
      <c r="O525" s="81" t="s">
        <v>2187</v>
      </c>
      <c r="P525" s="81" t="s">
        <v>2187</v>
      </c>
      <c r="Q525" s="81" t="s">
        <v>43</v>
      </c>
      <c r="R525" s="81" t="s">
        <v>203</v>
      </c>
      <c r="S525" s="81" t="s">
        <v>203</v>
      </c>
      <c r="T525" s="81" t="s">
        <v>48</v>
      </c>
      <c r="U525" s="81" t="s">
        <v>48</v>
      </c>
      <c r="V525" s="81" t="s">
        <v>48</v>
      </c>
      <c r="W525" s="81" t="s">
        <v>49</v>
      </c>
      <c r="X525" s="81" t="s">
        <v>48</v>
      </c>
      <c r="Y525" s="81" t="s">
        <v>48</v>
      </c>
    </row>
    <row r="526" spans="1:25" x14ac:dyDescent="0.3">
      <c r="A526" s="16">
        <v>714706910487</v>
      </c>
      <c r="B526" s="81" t="s">
        <v>43</v>
      </c>
      <c r="C526" s="81" t="s">
        <v>597</v>
      </c>
      <c r="D526" s="81" t="s">
        <v>45</v>
      </c>
      <c r="E526" s="81" t="s">
        <v>2512</v>
      </c>
      <c r="F526" s="81" t="s">
        <v>2283</v>
      </c>
      <c r="G526" s="81" t="s">
        <v>3057</v>
      </c>
      <c r="H526" s="81" t="s">
        <v>2217</v>
      </c>
      <c r="I526" s="81" t="s">
        <v>5942</v>
      </c>
      <c r="J526" s="81" t="s">
        <v>2186</v>
      </c>
      <c r="K526" s="81" t="s">
        <v>5942</v>
      </c>
      <c r="L526" s="81" t="s">
        <v>2392</v>
      </c>
      <c r="M526" s="81" t="s">
        <v>5942</v>
      </c>
      <c r="N526" s="81" t="s">
        <v>2231</v>
      </c>
      <c r="O526" s="81" t="s">
        <v>2187</v>
      </c>
      <c r="P526" s="81" t="s">
        <v>2187</v>
      </c>
      <c r="Q526" s="81" t="s">
        <v>43</v>
      </c>
      <c r="R526" s="81" t="s">
        <v>203</v>
      </c>
      <c r="S526" s="81" t="s">
        <v>203</v>
      </c>
      <c r="T526" s="81" t="s">
        <v>48</v>
      </c>
      <c r="U526" s="81" t="s">
        <v>48</v>
      </c>
      <c r="V526" s="81" t="s">
        <v>48</v>
      </c>
      <c r="W526" s="81" t="s">
        <v>49</v>
      </c>
      <c r="X526" s="81" t="s">
        <v>48</v>
      </c>
      <c r="Y526" s="81" t="s">
        <v>48</v>
      </c>
    </row>
    <row r="527" spans="1:25" x14ac:dyDescent="0.3">
      <c r="A527" s="16">
        <v>714706907654</v>
      </c>
      <c r="B527" s="81" t="s">
        <v>43</v>
      </c>
      <c r="C527" s="81" t="s">
        <v>598</v>
      </c>
      <c r="D527" s="81" t="s">
        <v>45</v>
      </c>
      <c r="E527" s="81" t="s">
        <v>2211</v>
      </c>
      <c r="F527" s="81" t="s">
        <v>2686</v>
      </c>
      <c r="G527" s="81" t="s">
        <v>3060</v>
      </c>
      <c r="H527" s="81" t="s">
        <v>4571</v>
      </c>
      <c r="I527" s="81" t="s">
        <v>4572</v>
      </c>
      <c r="J527" s="81" t="s">
        <v>2186</v>
      </c>
      <c r="K527" s="81" t="s">
        <v>4573</v>
      </c>
      <c r="L527" s="81" t="s">
        <v>2392</v>
      </c>
      <c r="M527" s="81" t="s">
        <v>3061</v>
      </c>
      <c r="N527" s="81" t="s">
        <v>2231</v>
      </c>
      <c r="O527" s="81" t="s">
        <v>2187</v>
      </c>
      <c r="P527" s="81" t="s">
        <v>2187</v>
      </c>
      <c r="Q527" s="81" t="s">
        <v>43</v>
      </c>
      <c r="R527" s="81" t="s">
        <v>203</v>
      </c>
      <c r="S527" s="81" t="s">
        <v>203</v>
      </c>
      <c r="T527" s="81" t="s">
        <v>48</v>
      </c>
      <c r="U527" s="81" t="s">
        <v>48</v>
      </c>
      <c r="V527" s="81" t="s">
        <v>48</v>
      </c>
      <c r="W527" s="81" t="s">
        <v>49</v>
      </c>
      <c r="X527" s="81" t="s">
        <v>48</v>
      </c>
      <c r="Y527" s="81" t="s">
        <v>49</v>
      </c>
    </row>
    <row r="528" spans="1:25" x14ac:dyDescent="0.3">
      <c r="A528" s="16">
        <v>714706100307</v>
      </c>
      <c r="B528" s="81" t="s">
        <v>43</v>
      </c>
      <c r="C528" s="81" t="s">
        <v>599</v>
      </c>
      <c r="D528" s="81" t="s">
        <v>45</v>
      </c>
      <c r="E528" s="81" t="s">
        <v>2457</v>
      </c>
      <c r="F528" s="81" t="s">
        <v>2645</v>
      </c>
      <c r="G528" s="81" t="s">
        <v>3062</v>
      </c>
      <c r="H528" s="81" t="s">
        <v>2279</v>
      </c>
      <c r="I528" s="81" t="s">
        <v>5943</v>
      </c>
      <c r="J528" s="81" t="s">
        <v>2186</v>
      </c>
      <c r="K528" s="81" t="s">
        <v>5943</v>
      </c>
      <c r="L528" s="81" t="s">
        <v>2392</v>
      </c>
      <c r="M528" s="81" t="s">
        <v>5943</v>
      </c>
      <c r="N528" s="81" t="s">
        <v>2231</v>
      </c>
      <c r="O528" s="81" t="s">
        <v>2187</v>
      </c>
      <c r="P528" s="81" t="s">
        <v>2187</v>
      </c>
      <c r="Q528" s="81" t="s">
        <v>43</v>
      </c>
      <c r="R528" s="81" t="s">
        <v>203</v>
      </c>
      <c r="S528" s="81" t="s">
        <v>203</v>
      </c>
      <c r="T528" s="81" t="s">
        <v>48</v>
      </c>
      <c r="U528" s="81" t="s">
        <v>48</v>
      </c>
      <c r="V528" s="81" t="s">
        <v>48</v>
      </c>
      <c r="W528" s="81" t="s">
        <v>49</v>
      </c>
      <c r="X528" s="81" t="s">
        <v>48</v>
      </c>
      <c r="Y528" s="81" t="s">
        <v>48</v>
      </c>
    </row>
    <row r="529" spans="1:25" x14ac:dyDescent="0.3">
      <c r="A529" s="16">
        <v>714706904974</v>
      </c>
      <c r="B529" s="81" t="s">
        <v>43</v>
      </c>
      <c r="C529" s="81" t="s">
        <v>600</v>
      </c>
      <c r="D529" s="81" t="s">
        <v>45</v>
      </c>
      <c r="E529" s="81" t="s">
        <v>2465</v>
      </c>
      <c r="F529" s="81" t="s">
        <v>2210</v>
      </c>
      <c r="G529" s="81" t="s">
        <v>3063</v>
      </c>
      <c r="H529" s="81" t="s">
        <v>5774</v>
      </c>
      <c r="I529" s="81" t="s">
        <v>5944</v>
      </c>
      <c r="J529" s="81" t="s">
        <v>2186</v>
      </c>
      <c r="K529" s="81" t="s">
        <v>5944</v>
      </c>
      <c r="L529" s="81" t="s">
        <v>2392</v>
      </c>
      <c r="M529" s="81" t="s">
        <v>5944</v>
      </c>
      <c r="N529" s="81" t="s">
        <v>2231</v>
      </c>
      <c r="O529" s="81" t="s">
        <v>2187</v>
      </c>
      <c r="P529" s="81" t="s">
        <v>2187</v>
      </c>
      <c r="Q529" s="81" t="s">
        <v>43</v>
      </c>
      <c r="R529" s="81" t="s">
        <v>203</v>
      </c>
      <c r="S529" s="81" t="s">
        <v>203</v>
      </c>
      <c r="T529" s="81" t="s">
        <v>48</v>
      </c>
      <c r="U529" s="81" t="s">
        <v>48</v>
      </c>
      <c r="V529" s="81" t="s">
        <v>48</v>
      </c>
      <c r="W529" s="81" t="s">
        <v>49</v>
      </c>
      <c r="X529" s="81" t="s">
        <v>48</v>
      </c>
      <c r="Y529" s="81" t="s">
        <v>48</v>
      </c>
    </row>
    <row r="530" spans="1:25" x14ac:dyDescent="0.3">
      <c r="A530" s="16">
        <v>714706902918</v>
      </c>
      <c r="B530" s="81" t="s">
        <v>43</v>
      </c>
      <c r="C530" s="81" t="s">
        <v>601</v>
      </c>
      <c r="D530" s="81" t="s">
        <v>45</v>
      </c>
      <c r="E530" s="81" t="s">
        <v>2363</v>
      </c>
      <c r="F530" s="81" t="s">
        <v>2616</v>
      </c>
      <c r="G530" s="81" t="s">
        <v>3064</v>
      </c>
      <c r="H530" s="81" t="s">
        <v>5945</v>
      </c>
      <c r="I530" s="81" t="s">
        <v>5946</v>
      </c>
      <c r="J530" s="81" t="s">
        <v>2186</v>
      </c>
      <c r="K530" s="81" t="s">
        <v>5946</v>
      </c>
      <c r="L530" s="81" t="s">
        <v>2392</v>
      </c>
      <c r="M530" s="81" t="s">
        <v>5946</v>
      </c>
      <c r="N530" s="81" t="s">
        <v>2231</v>
      </c>
      <c r="O530" s="81" t="s">
        <v>2187</v>
      </c>
      <c r="P530" s="81" t="s">
        <v>2187</v>
      </c>
      <c r="Q530" s="81" t="s">
        <v>43</v>
      </c>
      <c r="R530" s="81" t="s">
        <v>203</v>
      </c>
      <c r="S530" s="81" t="s">
        <v>203</v>
      </c>
      <c r="T530" s="81" t="s">
        <v>48</v>
      </c>
      <c r="U530" s="81" t="s">
        <v>48</v>
      </c>
      <c r="V530" s="81" t="s">
        <v>48</v>
      </c>
      <c r="W530" s="81" t="s">
        <v>49</v>
      </c>
      <c r="X530" s="81" t="s">
        <v>48</v>
      </c>
      <c r="Y530" s="81" t="s">
        <v>48</v>
      </c>
    </row>
    <row r="531" spans="1:25" x14ac:dyDescent="0.3">
      <c r="A531" s="16">
        <v>714706903205</v>
      </c>
      <c r="B531" s="81" t="s">
        <v>43</v>
      </c>
      <c r="C531" s="81" t="s">
        <v>602</v>
      </c>
      <c r="D531" s="81" t="s">
        <v>45</v>
      </c>
      <c r="E531" s="81" t="s">
        <v>2303</v>
      </c>
      <c r="F531" s="81" t="s">
        <v>2233</v>
      </c>
      <c r="G531" s="81" t="s">
        <v>3065</v>
      </c>
      <c r="H531" s="81" t="s">
        <v>4574</v>
      </c>
      <c r="I531" s="81" t="s">
        <v>4575</v>
      </c>
      <c r="J531" s="81" t="s">
        <v>2186</v>
      </c>
      <c r="K531" s="81" t="s">
        <v>4576</v>
      </c>
      <c r="L531" s="81" t="s">
        <v>2392</v>
      </c>
      <c r="M531" s="81" t="s">
        <v>3066</v>
      </c>
      <c r="N531" s="81" t="s">
        <v>2231</v>
      </c>
      <c r="O531" s="81" t="s">
        <v>2187</v>
      </c>
      <c r="P531" s="81" t="s">
        <v>2187</v>
      </c>
      <c r="Q531" s="81" t="s">
        <v>43</v>
      </c>
      <c r="R531" s="81" t="s">
        <v>203</v>
      </c>
      <c r="S531" s="81" t="s">
        <v>203</v>
      </c>
      <c r="T531" s="81" t="s">
        <v>48</v>
      </c>
      <c r="U531" s="81" t="s">
        <v>48</v>
      </c>
      <c r="V531" s="81" t="s">
        <v>48</v>
      </c>
      <c r="W531" s="81" t="s">
        <v>49</v>
      </c>
      <c r="X531" s="81" t="s">
        <v>48</v>
      </c>
      <c r="Y531" s="81" t="s">
        <v>49</v>
      </c>
    </row>
    <row r="532" spans="1:25" x14ac:dyDescent="0.3">
      <c r="A532" s="16">
        <v>714706903182</v>
      </c>
      <c r="B532" s="81" t="s">
        <v>43</v>
      </c>
      <c r="C532" s="81" t="s">
        <v>603</v>
      </c>
      <c r="D532" s="81" t="s">
        <v>45</v>
      </c>
      <c r="E532" s="81" t="s">
        <v>2465</v>
      </c>
      <c r="F532" s="81" t="s">
        <v>2210</v>
      </c>
      <c r="G532" s="81" t="s">
        <v>3067</v>
      </c>
      <c r="H532" s="81" t="s">
        <v>3068</v>
      </c>
      <c r="I532" s="81" t="s">
        <v>4835</v>
      </c>
      <c r="J532" s="81" t="s">
        <v>2186</v>
      </c>
      <c r="K532" s="81" t="s">
        <v>4835</v>
      </c>
      <c r="L532" s="81" t="s">
        <v>2392</v>
      </c>
      <c r="M532" s="81" t="s">
        <v>4835</v>
      </c>
      <c r="N532" s="81" t="s">
        <v>2231</v>
      </c>
      <c r="O532" s="81" t="s">
        <v>2187</v>
      </c>
      <c r="P532" s="81" t="s">
        <v>2187</v>
      </c>
      <c r="Q532" s="81" t="s">
        <v>43</v>
      </c>
      <c r="R532" s="81" t="s">
        <v>203</v>
      </c>
      <c r="S532" s="81" t="s">
        <v>203</v>
      </c>
      <c r="T532" s="81" t="s">
        <v>48</v>
      </c>
      <c r="U532" s="81" t="s">
        <v>48</v>
      </c>
      <c r="V532" s="81" t="s">
        <v>48</v>
      </c>
      <c r="W532" s="81" t="s">
        <v>49</v>
      </c>
      <c r="X532" s="81" t="s">
        <v>48</v>
      </c>
      <c r="Y532" s="81" t="s">
        <v>49</v>
      </c>
    </row>
    <row r="533" spans="1:25" x14ac:dyDescent="0.3">
      <c r="A533" s="16">
        <v>7501008497593</v>
      </c>
      <c r="B533" s="81" t="s">
        <v>43</v>
      </c>
      <c r="C533" s="81" t="s">
        <v>3069</v>
      </c>
      <c r="D533" s="81" t="s">
        <v>45</v>
      </c>
      <c r="E533" s="81" t="s">
        <v>3070</v>
      </c>
      <c r="F533" s="81" t="s">
        <v>3071</v>
      </c>
      <c r="G533" s="81" t="s">
        <v>5329</v>
      </c>
      <c r="H533" s="81" t="s">
        <v>2699</v>
      </c>
      <c r="I533" s="81" t="s">
        <v>5488</v>
      </c>
      <c r="J533" s="81" t="s">
        <v>2186</v>
      </c>
      <c r="K533" s="81" t="s">
        <v>5488</v>
      </c>
      <c r="L533" s="81" t="s">
        <v>2392</v>
      </c>
      <c r="M533" s="81" t="s">
        <v>5488</v>
      </c>
      <c r="N533" s="81" t="s">
        <v>2231</v>
      </c>
      <c r="O533" s="81" t="s">
        <v>2187</v>
      </c>
      <c r="P533" s="81" t="s">
        <v>2187</v>
      </c>
      <c r="Q533" s="81" t="s">
        <v>43</v>
      </c>
      <c r="R533" s="81" t="s">
        <v>203</v>
      </c>
      <c r="S533" s="81" t="s">
        <v>47</v>
      </c>
      <c r="T533" s="81" t="s">
        <v>48</v>
      </c>
      <c r="U533" s="81" t="s">
        <v>48</v>
      </c>
      <c r="V533" s="81" t="s">
        <v>48</v>
      </c>
      <c r="W533" s="81" t="s">
        <v>49</v>
      </c>
      <c r="X533" s="81" t="s">
        <v>48</v>
      </c>
      <c r="Y533" s="81" t="s">
        <v>48</v>
      </c>
    </row>
    <row r="534" spans="1:25" x14ac:dyDescent="0.3">
      <c r="A534" s="16">
        <v>100003</v>
      </c>
      <c r="B534" s="81" t="s">
        <v>43</v>
      </c>
      <c r="C534" s="81" t="s">
        <v>604</v>
      </c>
      <c r="D534" s="81" t="s">
        <v>45</v>
      </c>
      <c r="E534" s="81" t="s">
        <v>2227</v>
      </c>
      <c r="F534" s="81" t="s">
        <v>2227</v>
      </c>
      <c r="G534" s="81" t="s">
        <v>3072</v>
      </c>
      <c r="H534" s="81" t="s">
        <v>5947</v>
      </c>
      <c r="I534" s="81" t="s">
        <v>5948</v>
      </c>
      <c r="J534" s="81" t="s">
        <v>2186</v>
      </c>
      <c r="K534" s="81" t="s">
        <v>5948</v>
      </c>
      <c r="L534" s="81" t="s">
        <v>2392</v>
      </c>
      <c r="M534" s="81" t="s">
        <v>5948</v>
      </c>
      <c r="N534" s="81" t="s">
        <v>2231</v>
      </c>
      <c r="O534" s="81" t="s">
        <v>2187</v>
      </c>
      <c r="P534" s="81" t="s">
        <v>2187</v>
      </c>
      <c r="Q534" s="81" t="s">
        <v>43</v>
      </c>
      <c r="R534" s="81" t="s">
        <v>122</v>
      </c>
      <c r="S534" s="81" t="s">
        <v>123</v>
      </c>
      <c r="T534" s="81" t="s">
        <v>48</v>
      </c>
      <c r="U534" s="81" t="s">
        <v>48</v>
      </c>
      <c r="V534" s="81" t="s">
        <v>49</v>
      </c>
      <c r="W534" s="81" t="s">
        <v>48</v>
      </c>
      <c r="X534" s="81" t="s">
        <v>48</v>
      </c>
      <c r="Y534" s="81" t="s">
        <v>48</v>
      </c>
    </row>
    <row r="535" spans="1:25" x14ac:dyDescent="0.3">
      <c r="A535" s="16">
        <v>20000001</v>
      </c>
      <c r="B535" s="81" t="s">
        <v>43</v>
      </c>
      <c r="C535" s="81" t="s">
        <v>605</v>
      </c>
      <c r="D535" s="81" t="s">
        <v>45</v>
      </c>
      <c r="E535" s="81" t="s">
        <v>2774</v>
      </c>
      <c r="F535" s="81" t="s">
        <v>2571</v>
      </c>
      <c r="G535" s="81" t="s">
        <v>3073</v>
      </c>
      <c r="H535" s="81" t="s">
        <v>2949</v>
      </c>
      <c r="I535" s="81" t="s">
        <v>5949</v>
      </c>
      <c r="J535" s="81" t="s">
        <v>2186</v>
      </c>
      <c r="K535" s="81" t="s">
        <v>5949</v>
      </c>
      <c r="L535" s="81" t="s">
        <v>2392</v>
      </c>
      <c r="M535" s="81" t="s">
        <v>5949</v>
      </c>
      <c r="N535" s="81" t="s">
        <v>2231</v>
      </c>
      <c r="O535" s="81" t="s">
        <v>2187</v>
      </c>
      <c r="P535" s="81" t="s">
        <v>2187</v>
      </c>
      <c r="Q535" s="81" t="s">
        <v>43</v>
      </c>
      <c r="R535" s="81" t="s">
        <v>122</v>
      </c>
      <c r="S535" s="81" t="s">
        <v>123</v>
      </c>
      <c r="T535" s="81" t="s">
        <v>48</v>
      </c>
      <c r="U535" s="81" t="s">
        <v>48</v>
      </c>
      <c r="V535" s="81" t="s">
        <v>49</v>
      </c>
      <c r="W535" s="81" t="s">
        <v>48</v>
      </c>
      <c r="X535" s="81" t="s">
        <v>48</v>
      </c>
      <c r="Y535" s="81" t="s">
        <v>48</v>
      </c>
    </row>
    <row r="536" spans="1:25" x14ac:dyDescent="0.3">
      <c r="A536" s="16">
        <v>7501417006133</v>
      </c>
      <c r="B536" s="81" t="s">
        <v>43</v>
      </c>
      <c r="C536" s="81" t="s">
        <v>606</v>
      </c>
      <c r="D536" s="81" t="s">
        <v>45</v>
      </c>
      <c r="E536" s="81" t="s">
        <v>2192</v>
      </c>
      <c r="F536" s="81" t="s">
        <v>2629</v>
      </c>
      <c r="G536" s="81" t="s">
        <v>3075</v>
      </c>
      <c r="H536" s="81" t="s">
        <v>2190</v>
      </c>
      <c r="I536" s="81" t="s">
        <v>5950</v>
      </c>
      <c r="J536" s="81" t="s">
        <v>2186</v>
      </c>
      <c r="K536" s="81" t="s">
        <v>5950</v>
      </c>
      <c r="L536" s="81" t="s">
        <v>2392</v>
      </c>
      <c r="M536" s="81" t="s">
        <v>5950</v>
      </c>
      <c r="N536" s="81" t="s">
        <v>2231</v>
      </c>
      <c r="O536" s="81" t="s">
        <v>2187</v>
      </c>
      <c r="P536" s="81" t="s">
        <v>2187</v>
      </c>
      <c r="Q536" s="81" t="s">
        <v>43</v>
      </c>
      <c r="R536" s="81" t="s">
        <v>46</v>
      </c>
      <c r="S536" s="81" t="s">
        <v>46</v>
      </c>
      <c r="T536" s="81" t="s">
        <v>48</v>
      </c>
      <c r="U536" s="81" t="s">
        <v>48</v>
      </c>
      <c r="V536" s="81" t="s">
        <v>48</v>
      </c>
      <c r="W536" s="81" t="s">
        <v>49</v>
      </c>
      <c r="X536" s="81" t="s">
        <v>48</v>
      </c>
      <c r="Y536" s="81" t="s">
        <v>48</v>
      </c>
    </row>
    <row r="537" spans="1:25" x14ac:dyDescent="0.3">
      <c r="A537" s="16">
        <v>7501417007550</v>
      </c>
      <c r="B537" s="81" t="s">
        <v>43</v>
      </c>
      <c r="C537" s="81" t="s">
        <v>607</v>
      </c>
      <c r="D537" s="81" t="s">
        <v>45</v>
      </c>
      <c r="E537" s="81" t="s">
        <v>2762</v>
      </c>
      <c r="F537" s="81" t="s">
        <v>3076</v>
      </c>
      <c r="G537" s="81" t="s">
        <v>3077</v>
      </c>
      <c r="H537" s="81" t="s">
        <v>2224</v>
      </c>
      <c r="I537" s="81" t="s">
        <v>5951</v>
      </c>
      <c r="J537" s="81" t="s">
        <v>2186</v>
      </c>
      <c r="K537" s="81" t="s">
        <v>5951</v>
      </c>
      <c r="L537" s="81" t="s">
        <v>2392</v>
      </c>
      <c r="M537" s="81" t="s">
        <v>5951</v>
      </c>
      <c r="N537" s="81" t="s">
        <v>2231</v>
      </c>
      <c r="O537" s="81" t="s">
        <v>2187</v>
      </c>
      <c r="P537" s="81" t="s">
        <v>2187</v>
      </c>
      <c r="Q537" s="81" t="s">
        <v>43</v>
      </c>
      <c r="R537" s="81" t="s">
        <v>46</v>
      </c>
      <c r="S537" s="81" t="s">
        <v>46</v>
      </c>
      <c r="T537" s="81" t="s">
        <v>48</v>
      </c>
      <c r="U537" s="81" t="s">
        <v>48</v>
      </c>
      <c r="V537" s="81" t="s">
        <v>48</v>
      </c>
      <c r="W537" s="81" t="s">
        <v>49</v>
      </c>
      <c r="X537" s="81" t="s">
        <v>48</v>
      </c>
      <c r="Y537" s="81" t="s">
        <v>48</v>
      </c>
    </row>
    <row r="538" spans="1:25" x14ac:dyDescent="0.3">
      <c r="A538" s="16">
        <v>7502216930865</v>
      </c>
      <c r="B538" s="81" t="s">
        <v>43</v>
      </c>
      <c r="C538" s="81" t="s">
        <v>608</v>
      </c>
      <c r="D538" s="81" t="s">
        <v>45</v>
      </c>
      <c r="E538" s="81" t="s">
        <v>2448</v>
      </c>
      <c r="F538" s="81" t="s">
        <v>3078</v>
      </c>
      <c r="G538" s="81" t="s">
        <v>3079</v>
      </c>
      <c r="H538" s="81" t="s">
        <v>3885</v>
      </c>
      <c r="I538" s="81" t="s">
        <v>5952</v>
      </c>
      <c r="J538" s="81" t="s">
        <v>2186</v>
      </c>
      <c r="K538" s="81" t="s">
        <v>5952</v>
      </c>
      <c r="L538" s="81" t="s">
        <v>2392</v>
      </c>
      <c r="M538" s="81" t="s">
        <v>5952</v>
      </c>
      <c r="N538" s="81" t="s">
        <v>2231</v>
      </c>
      <c r="O538" s="81" t="s">
        <v>2187</v>
      </c>
      <c r="P538" s="81" t="s">
        <v>2187</v>
      </c>
      <c r="Q538" s="81" t="s">
        <v>43</v>
      </c>
      <c r="R538" s="81" t="s">
        <v>374</v>
      </c>
      <c r="S538" s="81" t="s">
        <v>47</v>
      </c>
      <c r="T538" s="81" t="s">
        <v>48</v>
      </c>
      <c r="U538" s="81" t="s">
        <v>48</v>
      </c>
      <c r="V538" s="81" t="s">
        <v>48</v>
      </c>
      <c r="W538" s="81" t="s">
        <v>49</v>
      </c>
      <c r="X538" s="81" t="s">
        <v>48</v>
      </c>
      <c r="Y538" s="81" t="s">
        <v>48</v>
      </c>
    </row>
    <row r="539" spans="1:25" x14ac:dyDescent="0.3">
      <c r="A539" s="16">
        <v>20000002</v>
      </c>
      <c r="B539" s="81" t="s">
        <v>43</v>
      </c>
      <c r="C539" s="81" t="s">
        <v>609</v>
      </c>
      <c r="D539" s="81" t="s">
        <v>45</v>
      </c>
      <c r="E539" s="81" t="s">
        <v>3078</v>
      </c>
      <c r="F539" s="81" t="s">
        <v>3080</v>
      </c>
      <c r="G539" s="81" t="s">
        <v>3081</v>
      </c>
      <c r="H539" s="81" t="s">
        <v>2949</v>
      </c>
      <c r="I539" s="81" t="s">
        <v>3664</v>
      </c>
      <c r="J539" s="81" t="s">
        <v>2186</v>
      </c>
      <c r="K539" s="81" t="s">
        <v>3664</v>
      </c>
      <c r="L539" s="81" t="s">
        <v>2392</v>
      </c>
      <c r="M539" s="81" t="s">
        <v>3664</v>
      </c>
      <c r="N539" s="81" t="s">
        <v>2231</v>
      </c>
      <c r="O539" s="81" t="s">
        <v>2187</v>
      </c>
      <c r="P539" s="81" t="s">
        <v>2187</v>
      </c>
      <c r="Q539" s="81" t="s">
        <v>43</v>
      </c>
      <c r="R539" s="81" t="s">
        <v>122</v>
      </c>
      <c r="S539" s="81" t="s">
        <v>123</v>
      </c>
      <c r="T539" s="81" t="s">
        <v>48</v>
      </c>
      <c r="U539" s="81" t="s">
        <v>48</v>
      </c>
      <c r="V539" s="81" t="s">
        <v>49</v>
      </c>
      <c r="W539" s="81" t="s">
        <v>48</v>
      </c>
      <c r="X539" s="81" t="s">
        <v>48</v>
      </c>
      <c r="Y539" s="81" t="s">
        <v>48</v>
      </c>
    </row>
    <row r="540" spans="1:25" x14ac:dyDescent="0.3">
      <c r="A540" s="16">
        <v>7501058715517</v>
      </c>
      <c r="B540" s="81" t="s">
        <v>43</v>
      </c>
      <c r="C540" s="81" t="s">
        <v>610</v>
      </c>
      <c r="D540" s="81" t="s">
        <v>45</v>
      </c>
      <c r="E540" s="81" t="s">
        <v>2398</v>
      </c>
      <c r="F540" s="81" t="s">
        <v>3084</v>
      </c>
      <c r="G540" s="81" t="s">
        <v>5184</v>
      </c>
      <c r="H540" s="81" t="s">
        <v>5953</v>
      </c>
      <c r="I540" s="81" t="s">
        <v>5954</v>
      </c>
      <c r="J540" s="81" t="s">
        <v>2186</v>
      </c>
      <c r="K540" s="81" t="s">
        <v>5954</v>
      </c>
      <c r="L540" s="81" t="s">
        <v>2392</v>
      </c>
      <c r="M540" s="81" t="s">
        <v>5954</v>
      </c>
      <c r="N540" s="81" t="s">
        <v>2231</v>
      </c>
      <c r="O540" s="81" t="s">
        <v>2187</v>
      </c>
      <c r="P540" s="81" t="s">
        <v>2187</v>
      </c>
      <c r="Q540" s="81" t="s">
        <v>43</v>
      </c>
      <c r="R540" s="81" t="s">
        <v>203</v>
      </c>
      <c r="S540" s="81" t="s">
        <v>203</v>
      </c>
      <c r="T540" s="81" t="s">
        <v>48</v>
      </c>
      <c r="U540" s="81" t="s">
        <v>48</v>
      </c>
      <c r="V540" s="81" t="s">
        <v>48</v>
      </c>
      <c r="W540" s="81" t="s">
        <v>49</v>
      </c>
      <c r="X540" s="81" t="s">
        <v>48</v>
      </c>
      <c r="Y540" s="81" t="s">
        <v>48</v>
      </c>
    </row>
    <row r="541" spans="1:25" x14ac:dyDescent="0.3">
      <c r="A541" s="16">
        <v>7501125155758</v>
      </c>
      <c r="B541" s="81" t="s">
        <v>43</v>
      </c>
      <c r="C541" s="81" t="s">
        <v>611</v>
      </c>
      <c r="D541" s="81" t="s">
        <v>45</v>
      </c>
      <c r="E541" s="81" t="s">
        <v>2483</v>
      </c>
      <c r="F541" s="81" t="s">
        <v>2338</v>
      </c>
      <c r="G541" s="81" t="s">
        <v>4315</v>
      </c>
      <c r="H541" s="81" t="s">
        <v>5955</v>
      </c>
      <c r="I541" s="81" t="s">
        <v>5956</v>
      </c>
      <c r="J541" s="81" t="s">
        <v>2186</v>
      </c>
      <c r="K541" s="81" t="s">
        <v>5956</v>
      </c>
      <c r="L541" s="81" t="s">
        <v>2392</v>
      </c>
      <c r="M541" s="81" t="s">
        <v>5956</v>
      </c>
      <c r="N541" s="81" t="s">
        <v>2231</v>
      </c>
      <c r="O541" s="81" t="s">
        <v>2187</v>
      </c>
      <c r="P541" s="81" t="s">
        <v>2187</v>
      </c>
      <c r="Q541" s="81" t="s">
        <v>43</v>
      </c>
      <c r="R541" s="81" t="s">
        <v>46</v>
      </c>
      <c r="S541" s="81" t="s">
        <v>73</v>
      </c>
      <c r="T541" s="81" t="s">
        <v>48</v>
      </c>
      <c r="U541" s="81" t="s">
        <v>48</v>
      </c>
      <c r="V541" s="81" t="s">
        <v>48</v>
      </c>
      <c r="W541" s="81" t="s">
        <v>49</v>
      </c>
      <c r="X541" s="81" t="s">
        <v>48</v>
      </c>
      <c r="Y541" s="81" t="s">
        <v>48</v>
      </c>
    </row>
    <row r="542" spans="1:25" x14ac:dyDescent="0.3">
      <c r="A542" s="16">
        <v>7501109790029</v>
      </c>
      <c r="B542" s="81" t="s">
        <v>43</v>
      </c>
      <c r="C542" s="81" t="s">
        <v>612</v>
      </c>
      <c r="D542" s="81" t="s">
        <v>45</v>
      </c>
      <c r="E542" s="81" t="s">
        <v>2620</v>
      </c>
      <c r="F542" s="81" t="s">
        <v>2362</v>
      </c>
      <c r="G542" s="81" t="s">
        <v>5020</v>
      </c>
      <c r="H542" s="81" t="s">
        <v>2217</v>
      </c>
      <c r="I542" s="81" t="s">
        <v>5564</v>
      </c>
      <c r="J542" s="81" t="s">
        <v>2186</v>
      </c>
      <c r="K542" s="81" t="s">
        <v>5564</v>
      </c>
      <c r="L542" s="81" t="s">
        <v>2392</v>
      </c>
      <c r="M542" s="81" t="s">
        <v>5564</v>
      </c>
      <c r="N542" s="81" t="s">
        <v>2231</v>
      </c>
      <c r="O542" s="81" t="s">
        <v>2187</v>
      </c>
      <c r="P542" s="81" t="s">
        <v>2187</v>
      </c>
      <c r="Q542" s="81" t="s">
        <v>43</v>
      </c>
      <c r="R542" s="81" t="s">
        <v>46</v>
      </c>
      <c r="S542" s="81" t="s">
        <v>46</v>
      </c>
      <c r="T542" s="81" t="s">
        <v>48</v>
      </c>
      <c r="U542" s="81" t="s">
        <v>48</v>
      </c>
      <c r="V542" s="81" t="s">
        <v>48</v>
      </c>
      <c r="W542" s="81" t="s">
        <v>49</v>
      </c>
      <c r="X542" s="81" t="s">
        <v>48</v>
      </c>
      <c r="Y542" s="81" t="s">
        <v>48</v>
      </c>
    </row>
    <row r="543" spans="1:25" x14ac:dyDescent="0.3">
      <c r="A543" s="16">
        <v>7502009745362</v>
      </c>
      <c r="B543" s="81" t="s">
        <v>43</v>
      </c>
      <c r="C543" s="81" t="s">
        <v>1934</v>
      </c>
      <c r="D543" s="81" t="s">
        <v>45</v>
      </c>
      <c r="E543" s="81" t="s">
        <v>2303</v>
      </c>
      <c r="F543" s="81" t="s">
        <v>2304</v>
      </c>
      <c r="G543" s="81" t="s">
        <v>5489</v>
      </c>
      <c r="H543" s="81" t="s">
        <v>2401</v>
      </c>
      <c r="I543" s="81" t="s">
        <v>2429</v>
      </c>
      <c r="J543" s="81" t="s">
        <v>2186</v>
      </c>
      <c r="K543" s="81" t="s">
        <v>2429</v>
      </c>
      <c r="L543" s="81" t="s">
        <v>2392</v>
      </c>
      <c r="M543" s="81" t="s">
        <v>2429</v>
      </c>
      <c r="N543" s="81" t="s">
        <v>2231</v>
      </c>
      <c r="O543" s="81" t="s">
        <v>2187</v>
      </c>
      <c r="P543" s="81" t="s">
        <v>2187</v>
      </c>
      <c r="Q543" s="81" t="s">
        <v>43</v>
      </c>
      <c r="R543" s="81" t="s">
        <v>46</v>
      </c>
      <c r="S543" s="81" t="s">
        <v>46</v>
      </c>
      <c r="T543" s="81" t="s">
        <v>48</v>
      </c>
      <c r="U543" s="81" t="s">
        <v>48</v>
      </c>
      <c r="V543" s="81" t="s">
        <v>48</v>
      </c>
      <c r="W543" s="81" t="s">
        <v>49</v>
      </c>
      <c r="X543" s="81" t="s">
        <v>48</v>
      </c>
      <c r="Y543" s="81" t="s">
        <v>48</v>
      </c>
    </row>
    <row r="544" spans="1:25" x14ac:dyDescent="0.3">
      <c r="A544" s="16">
        <v>7506022301772</v>
      </c>
      <c r="B544" s="81" t="s">
        <v>43</v>
      </c>
      <c r="C544" s="81" t="s">
        <v>613</v>
      </c>
      <c r="D544" s="81" t="s">
        <v>45</v>
      </c>
      <c r="E544" s="81" t="s">
        <v>2227</v>
      </c>
      <c r="F544" s="81" t="s">
        <v>2227</v>
      </c>
      <c r="G544" s="81" t="s">
        <v>3086</v>
      </c>
      <c r="H544" s="81" t="s">
        <v>5957</v>
      </c>
      <c r="I544" s="81" t="s">
        <v>5958</v>
      </c>
      <c r="J544" s="81" t="s">
        <v>2186</v>
      </c>
      <c r="K544" s="81" t="s">
        <v>5958</v>
      </c>
      <c r="L544" s="81" t="s">
        <v>2392</v>
      </c>
      <c r="M544" s="81" t="s">
        <v>5958</v>
      </c>
      <c r="N544" s="81" t="s">
        <v>2231</v>
      </c>
      <c r="O544" s="81" t="s">
        <v>2187</v>
      </c>
      <c r="P544" s="81" t="s">
        <v>2187</v>
      </c>
      <c r="Q544" s="81" t="s">
        <v>43</v>
      </c>
      <c r="R544" s="81" t="s">
        <v>106</v>
      </c>
      <c r="S544" s="81" t="s">
        <v>106</v>
      </c>
      <c r="T544" s="81" t="s">
        <v>48</v>
      </c>
      <c r="U544" s="81" t="s">
        <v>48</v>
      </c>
      <c r="V544" s="81" t="s">
        <v>49</v>
      </c>
      <c r="W544" s="81" t="s">
        <v>48</v>
      </c>
      <c r="X544" s="81" t="s">
        <v>48</v>
      </c>
      <c r="Y544" s="81" t="s">
        <v>48</v>
      </c>
    </row>
    <row r="545" spans="1:25" x14ac:dyDescent="0.3">
      <c r="A545" s="16">
        <v>780083148584</v>
      </c>
      <c r="B545" s="81" t="s">
        <v>43</v>
      </c>
      <c r="C545" s="81" t="s">
        <v>614</v>
      </c>
      <c r="D545" s="81" t="s">
        <v>45</v>
      </c>
      <c r="E545" s="81" t="s">
        <v>2216</v>
      </c>
      <c r="F545" s="81" t="s">
        <v>2684</v>
      </c>
      <c r="G545" s="81" t="s">
        <v>3088</v>
      </c>
      <c r="H545" s="81" t="s">
        <v>2353</v>
      </c>
      <c r="I545" s="81" t="s">
        <v>5959</v>
      </c>
      <c r="J545" s="81" t="s">
        <v>2186</v>
      </c>
      <c r="K545" s="81" t="s">
        <v>5959</v>
      </c>
      <c r="L545" s="81" t="s">
        <v>2392</v>
      </c>
      <c r="M545" s="81" t="s">
        <v>5959</v>
      </c>
      <c r="N545" s="81" t="s">
        <v>2231</v>
      </c>
      <c r="O545" s="81" t="s">
        <v>2187</v>
      </c>
      <c r="P545" s="81" t="s">
        <v>2187</v>
      </c>
      <c r="Q545" s="81" t="s">
        <v>43</v>
      </c>
      <c r="R545" s="81" t="s">
        <v>46</v>
      </c>
      <c r="S545" s="81" t="s">
        <v>46</v>
      </c>
      <c r="T545" s="81" t="s">
        <v>48</v>
      </c>
      <c r="U545" s="81" t="s">
        <v>48</v>
      </c>
      <c r="V545" s="81" t="s">
        <v>48</v>
      </c>
      <c r="W545" s="81" t="s">
        <v>49</v>
      </c>
      <c r="X545" s="81" t="s">
        <v>48</v>
      </c>
      <c r="Y545" s="81" t="s">
        <v>48</v>
      </c>
    </row>
    <row r="546" spans="1:25" x14ac:dyDescent="0.3">
      <c r="A546" s="16">
        <v>7502227426982</v>
      </c>
      <c r="B546" s="81" t="s">
        <v>43</v>
      </c>
      <c r="C546" s="81" t="s">
        <v>1935</v>
      </c>
      <c r="D546" s="81" t="s">
        <v>45</v>
      </c>
      <c r="E546" s="81" t="s">
        <v>2774</v>
      </c>
      <c r="F546" s="81" t="s">
        <v>2585</v>
      </c>
      <c r="G546" s="81" t="s">
        <v>7110</v>
      </c>
      <c r="H546" s="81" t="s">
        <v>2434</v>
      </c>
      <c r="I546" s="81" t="s">
        <v>5529</v>
      </c>
      <c r="J546" s="81" t="s">
        <v>2186</v>
      </c>
      <c r="K546" s="81" t="s">
        <v>5529</v>
      </c>
      <c r="L546" s="81" t="s">
        <v>2392</v>
      </c>
      <c r="M546" s="81" t="s">
        <v>5529</v>
      </c>
      <c r="N546" s="81" t="s">
        <v>2231</v>
      </c>
      <c r="O546" s="81" t="s">
        <v>2187</v>
      </c>
      <c r="P546" s="81" t="s">
        <v>2187</v>
      </c>
      <c r="Q546" s="81" t="s">
        <v>43</v>
      </c>
      <c r="R546" s="81" t="s">
        <v>46</v>
      </c>
      <c r="S546" s="81" t="s">
        <v>46</v>
      </c>
      <c r="T546" s="81" t="s">
        <v>48</v>
      </c>
      <c r="U546" s="81" t="s">
        <v>48</v>
      </c>
      <c r="V546" s="81" t="s">
        <v>48</v>
      </c>
      <c r="W546" s="81" t="s">
        <v>49</v>
      </c>
      <c r="X546" s="81" t="s">
        <v>48</v>
      </c>
      <c r="Y546" s="81" t="s">
        <v>48</v>
      </c>
    </row>
    <row r="547" spans="1:25" x14ac:dyDescent="0.3">
      <c r="A547" s="16">
        <v>7501095467264</v>
      </c>
      <c r="B547" s="81" t="s">
        <v>43</v>
      </c>
      <c r="C547" s="81" t="s">
        <v>1936</v>
      </c>
      <c r="D547" s="81" t="s">
        <v>45</v>
      </c>
      <c r="E547" s="81" t="s">
        <v>2298</v>
      </c>
      <c r="F547" s="81" t="s">
        <v>2262</v>
      </c>
      <c r="G547" s="81" t="s">
        <v>5960</v>
      </c>
      <c r="H547" s="81" t="s">
        <v>2903</v>
      </c>
      <c r="I547" s="81" t="s">
        <v>5961</v>
      </c>
      <c r="J547" s="81" t="s">
        <v>2186</v>
      </c>
      <c r="K547" s="81" t="s">
        <v>5961</v>
      </c>
      <c r="L547" s="81" t="s">
        <v>2392</v>
      </c>
      <c r="M547" s="81" t="s">
        <v>5961</v>
      </c>
      <c r="N547" s="81" t="s">
        <v>2231</v>
      </c>
      <c r="O547" s="81" t="s">
        <v>2187</v>
      </c>
      <c r="P547" s="81" t="s">
        <v>2187</v>
      </c>
      <c r="Q547" s="81" t="s">
        <v>43</v>
      </c>
      <c r="R547" s="81" t="s">
        <v>203</v>
      </c>
      <c r="S547" s="81" t="s">
        <v>203</v>
      </c>
      <c r="T547" s="81" t="s">
        <v>48</v>
      </c>
      <c r="U547" s="81" t="s">
        <v>48</v>
      </c>
      <c r="V547" s="81" t="s">
        <v>48</v>
      </c>
      <c r="W547" s="81" t="s">
        <v>49</v>
      </c>
      <c r="X547" s="81" t="s">
        <v>48</v>
      </c>
      <c r="Y547" s="81" t="s">
        <v>48</v>
      </c>
    </row>
    <row r="548" spans="1:25" x14ac:dyDescent="0.3">
      <c r="A548" s="16">
        <v>7502216930414</v>
      </c>
      <c r="B548" s="81" t="s">
        <v>43</v>
      </c>
      <c r="C548" s="81" t="s">
        <v>3090</v>
      </c>
      <c r="D548" s="81" t="s">
        <v>45</v>
      </c>
      <c r="E548" s="81" t="s">
        <v>2227</v>
      </c>
      <c r="F548" s="81" t="s">
        <v>2227</v>
      </c>
      <c r="G548" s="81" t="s">
        <v>3091</v>
      </c>
      <c r="H548" s="81" t="s">
        <v>2807</v>
      </c>
      <c r="I548" s="81" t="s">
        <v>5962</v>
      </c>
      <c r="J548" s="81" t="s">
        <v>2186</v>
      </c>
      <c r="K548" s="81" t="s">
        <v>5962</v>
      </c>
      <c r="L548" s="81" t="s">
        <v>2392</v>
      </c>
      <c r="M548" s="81" t="s">
        <v>5962</v>
      </c>
      <c r="N548" s="81" t="s">
        <v>2231</v>
      </c>
      <c r="O548" s="81" t="s">
        <v>2187</v>
      </c>
      <c r="P548" s="81" t="s">
        <v>2187</v>
      </c>
      <c r="Q548" s="81" t="s">
        <v>43</v>
      </c>
      <c r="R548" s="81" t="s">
        <v>374</v>
      </c>
      <c r="S548" s="81" t="s">
        <v>374</v>
      </c>
      <c r="T548" s="81" t="s">
        <v>48</v>
      </c>
      <c r="U548" s="81" t="s">
        <v>48</v>
      </c>
      <c r="V548" s="81" t="s">
        <v>48</v>
      </c>
      <c r="W548" s="81" t="s">
        <v>49</v>
      </c>
      <c r="X548" s="81" t="s">
        <v>48</v>
      </c>
      <c r="Y548" s="81" t="s">
        <v>48</v>
      </c>
    </row>
    <row r="549" spans="1:25" x14ac:dyDescent="0.3">
      <c r="A549" s="16">
        <v>7503001007212</v>
      </c>
      <c r="B549" s="81" t="s">
        <v>43</v>
      </c>
      <c r="C549" s="81" t="s">
        <v>3092</v>
      </c>
      <c r="D549" s="81" t="s">
        <v>45</v>
      </c>
      <c r="E549" s="81" t="s">
        <v>2358</v>
      </c>
      <c r="F549" s="81" t="s">
        <v>2354</v>
      </c>
      <c r="G549" s="81" t="s">
        <v>5021</v>
      </c>
      <c r="H549" s="81" t="s">
        <v>2217</v>
      </c>
      <c r="I549" s="81" t="s">
        <v>5670</v>
      </c>
      <c r="J549" s="81" t="s">
        <v>2186</v>
      </c>
      <c r="K549" s="81" t="s">
        <v>5670</v>
      </c>
      <c r="L549" s="81" t="s">
        <v>2392</v>
      </c>
      <c r="M549" s="81" t="s">
        <v>5670</v>
      </c>
      <c r="N549" s="81" t="s">
        <v>2231</v>
      </c>
      <c r="O549" s="81" t="s">
        <v>2187</v>
      </c>
      <c r="P549" s="81" t="s">
        <v>2187</v>
      </c>
      <c r="Q549" s="81" t="s">
        <v>43</v>
      </c>
      <c r="R549" s="81" t="s">
        <v>51</v>
      </c>
      <c r="S549" s="81" t="s">
        <v>81</v>
      </c>
      <c r="T549" s="81" t="s">
        <v>49</v>
      </c>
      <c r="U549" s="81" t="s">
        <v>48</v>
      </c>
      <c r="V549" s="81" t="s">
        <v>48</v>
      </c>
      <c r="W549" s="81" t="s">
        <v>49</v>
      </c>
      <c r="X549" s="81" t="s">
        <v>48</v>
      </c>
      <c r="Y549" s="81" t="s">
        <v>48</v>
      </c>
    </row>
    <row r="550" spans="1:25" x14ac:dyDescent="0.3">
      <c r="A550" s="16">
        <v>650240052545</v>
      </c>
      <c r="B550" s="81" t="s">
        <v>43</v>
      </c>
      <c r="C550" s="81" t="s">
        <v>3093</v>
      </c>
      <c r="D550" s="81" t="s">
        <v>45</v>
      </c>
      <c r="E550" s="81" t="s">
        <v>2893</v>
      </c>
      <c r="F550" s="81" t="s">
        <v>3094</v>
      </c>
      <c r="G550" s="81" t="s">
        <v>4996</v>
      </c>
      <c r="H550" s="81" t="s">
        <v>2290</v>
      </c>
      <c r="I550" s="81" t="s">
        <v>2474</v>
      </c>
      <c r="J550" s="81" t="s">
        <v>2186</v>
      </c>
      <c r="K550" s="81" t="s">
        <v>2474</v>
      </c>
      <c r="L550" s="81" t="s">
        <v>2392</v>
      </c>
      <c r="M550" s="81" t="s">
        <v>2474</v>
      </c>
      <c r="N550" s="81" t="s">
        <v>2231</v>
      </c>
      <c r="O550" s="81" t="s">
        <v>2187</v>
      </c>
      <c r="P550" s="81" t="s">
        <v>2187</v>
      </c>
      <c r="Q550" s="81" t="s">
        <v>43</v>
      </c>
      <c r="R550" s="81" t="s">
        <v>203</v>
      </c>
      <c r="S550" s="81" t="s">
        <v>47</v>
      </c>
      <c r="T550" s="81" t="s">
        <v>48</v>
      </c>
      <c r="U550" s="81" t="s">
        <v>48</v>
      </c>
      <c r="V550" s="81" t="s">
        <v>48</v>
      </c>
      <c r="W550" s="81" t="s">
        <v>49</v>
      </c>
      <c r="X550" s="81" t="s">
        <v>48</v>
      </c>
      <c r="Y550" s="81" t="s">
        <v>48</v>
      </c>
    </row>
    <row r="551" spans="1:25" x14ac:dyDescent="0.3">
      <c r="A551" s="16">
        <v>7501022101155</v>
      </c>
      <c r="B551" s="81" t="s">
        <v>43</v>
      </c>
      <c r="C551" s="81" t="s">
        <v>1937</v>
      </c>
      <c r="D551" s="81" t="s">
        <v>45</v>
      </c>
      <c r="E551" s="81" t="s">
        <v>2458</v>
      </c>
      <c r="F551" s="81" t="s">
        <v>2447</v>
      </c>
      <c r="G551" s="81" t="s">
        <v>5490</v>
      </c>
      <c r="H551" s="81" t="s">
        <v>3096</v>
      </c>
      <c r="I551" s="81" t="s">
        <v>5963</v>
      </c>
      <c r="J551" s="81" t="s">
        <v>2186</v>
      </c>
      <c r="K551" s="81" t="s">
        <v>5963</v>
      </c>
      <c r="L551" s="81" t="s">
        <v>2392</v>
      </c>
      <c r="M551" s="81" t="s">
        <v>5963</v>
      </c>
      <c r="N551" s="81" t="s">
        <v>2231</v>
      </c>
      <c r="O551" s="81" t="s">
        <v>2187</v>
      </c>
      <c r="P551" s="81" t="s">
        <v>2187</v>
      </c>
      <c r="Q551" s="81" t="s">
        <v>43</v>
      </c>
      <c r="R551" s="81" t="s">
        <v>203</v>
      </c>
      <c r="S551" s="81" t="s">
        <v>47</v>
      </c>
      <c r="T551" s="81" t="s">
        <v>48</v>
      </c>
      <c r="U551" s="81" t="s">
        <v>48</v>
      </c>
      <c r="V551" s="81" t="s">
        <v>48</v>
      </c>
      <c r="W551" s="81" t="s">
        <v>49</v>
      </c>
      <c r="X551" s="81" t="s">
        <v>48</v>
      </c>
      <c r="Y551" s="81" t="s">
        <v>48</v>
      </c>
    </row>
    <row r="552" spans="1:25" x14ac:dyDescent="0.3">
      <c r="A552" s="16">
        <v>7506346600162</v>
      </c>
      <c r="B552" s="81" t="s">
        <v>43</v>
      </c>
      <c r="C552" s="81" t="s">
        <v>615</v>
      </c>
      <c r="D552" s="81" t="s">
        <v>45</v>
      </c>
      <c r="E552" s="81" t="s">
        <v>2308</v>
      </c>
      <c r="F552" s="81" t="s">
        <v>2308</v>
      </c>
      <c r="G552" s="81" t="s">
        <v>3098</v>
      </c>
      <c r="H552" s="81" t="s">
        <v>5964</v>
      </c>
      <c r="I552" s="81" t="s">
        <v>5965</v>
      </c>
      <c r="J552" s="81" t="s">
        <v>2186</v>
      </c>
      <c r="K552" s="81" t="s">
        <v>5965</v>
      </c>
      <c r="L552" s="81" t="s">
        <v>2392</v>
      </c>
      <c r="M552" s="81" t="s">
        <v>5965</v>
      </c>
      <c r="N552" s="81" t="s">
        <v>2231</v>
      </c>
      <c r="O552" s="81" t="s">
        <v>2187</v>
      </c>
      <c r="P552" s="81" t="s">
        <v>2187</v>
      </c>
      <c r="Q552" s="81" t="s">
        <v>43</v>
      </c>
      <c r="R552" s="81" t="s">
        <v>122</v>
      </c>
      <c r="S552" s="81" t="s">
        <v>123</v>
      </c>
      <c r="T552" s="81" t="s">
        <v>48</v>
      </c>
      <c r="U552" s="81" t="s">
        <v>48</v>
      </c>
      <c r="V552" s="81" t="s">
        <v>49</v>
      </c>
      <c r="W552" s="81" t="s">
        <v>48</v>
      </c>
      <c r="X552" s="81" t="s">
        <v>48</v>
      </c>
      <c r="Y552" s="81" t="s">
        <v>48</v>
      </c>
    </row>
    <row r="553" spans="1:25" x14ac:dyDescent="0.3">
      <c r="A553" s="16">
        <v>7502208891228</v>
      </c>
      <c r="B553" s="81" t="s">
        <v>43</v>
      </c>
      <c r="C553" s="81" t="s">
        <v>3099</v>
      </c>
      <c r="D553" s="81" t="s">
        <v>45</v>
      </c>
      <c r="E553" s="81" t="s">
        <v>3100</v>
      </c>
      <c r="F553" s="81" t="s">
        <v>3101</v>
      </c>
      <c r="G553" s="81" t="s">
        <v>2231</v>
      </c>
      <c r="H553" s="81" t="s">
        <v>2259</v>
      </c>
      <c r="I553" s="81" t="s">
        <v>5966</v>
      </c>
      <c r="J553" s="81" t="s">
        <v>2186</v>
      </c>
      <c r="K553" s="81" t="s">
        <v>5966</v>
      </c>
      <c r="L553" s="81" t="s">
        <v>2392</v>
      </c>
      <c r="M553" s="81" t="s">
        <v>5966</v>
      </c>
      <c r="N553" s="81" t="s">
        <v>2231</v>
      </c>
      <c r="O553" s="81" t="s">
        <v>2187</v>
      </c>
      <c r="P553" s="81" t="s">
        <v>2187</v>
      </c>
      <c r="Q553" s="81" t="s">
        <v>43</v>
      </c>
      <c r="R553" s="81" t="s">
        <v>51</v>
      </c>
      <c r="S553" s="81" t="s">
        <v>616</v>
      </c>
      <c r="T553" s="81" t="s">
        <v>49</v>
      </c>
      <c r="U553" s="81" t="s">
        <v>48</v>
      </c>
      <c r="V553" s="81" t="s">
        <v>48</v>
      </c>
      <c r="W553" s="81" t="s">
        <v>49</v>
      </c>
      <c r="X553" s="81" t="s">
        <v>48</v>
      </c>
      <c r="Y553" s="81" t="s">
        <v>48</v>
      </c>
    </row>
    <row r="554" spans="1:25" x14ac:dyDescent="0.3">
      <c r="A554" s="16">
        <v>8400007148</v>
      </c>
      <c r="B554" s="81" t="s">
        <v>43</v>
      </c>
      <c r="C554" s="81" t="s">
        <v>617</v>
      </c>
      <c r="D554" s="81" t="s">
        <v>45</v>
      </c>
      <c r="E554" s="81" t="s">
        <v>2227</v>
      </c>
      <c r="F554" s="81" t="s">
        <v>2227</v>
      </c>
      <c r="G554" s="81" t="s">
        <v>3102</v>
      </c>
      <c r="H554" s="81" t="s">
        <v>2393</v>
      </c>
      <c r="I554" s="81" t="s">
        <v>5543</v>
      </c>
      <c r="J554" s="81" t="s">
        <v>2186</v>
      </c>
      <c r="K554" s="81" t="s">
        <v>5543</v>
      </c>
      <c r="L554" s="81" t="s">
        <v>2392</v>
      </c>
      <c r="M554" s="81" t="s">
        <v>5543</v>
      </c>
      <c r="N554" s="81" t="s">
        <v>2231</v>
      </c>
      <c r="O554" s="81" t="s">
        <v>2187</v>
      </c>
      <c r="P554" s="81" t="s">
        <v>2187</v>
      </c>
      <c r="Q554" s="81" t="s">
        <v>43</v>
      </c>
      <c r="R554" s="81" t="s">
        <v>51</v>
      </c>
      <c r="S554" s="81" t="s">
        <v>81</v>
      </c>
      <c r="T554" s="81" t="s">
        <v>49</v>
      </c>
      <c r="U554" s="81" t="s">
        <v>48</v>
      </c>
      <c r="V554" s="81" t="s">
        <v>48</v>
      </c>
      <c r="W554" s="81" t="s">
        <v>49</v>
      </c>
      <c r="X554" s="81" t="s">
        <v>48</v>
      </c>
      <c r="Y554" s="81" t="s">
        <v>48</v>
      </c>
    </row>
    <row r="555" spans="1:25" x14ac:dyDescent="0.3">
      <c r="A555" s="16">
        <v>8400007087</v>
      </c>
      <c r="B555" s="81" t="s">
        <v>43</v>
      </c>
      <c r="C555" s="81" t="s">
        <v>618</v>
      </c>
      <c r="D555" s="81" t="s">
        <v>45</v>
      </c>
      <c r="E555" s="81" t="s">
        <v>2227</v>
      </c>
      <c r="F555" s="81" t="s">
        <v>2227</v>
      </c>
      <c r="G555" s="81" t="s">
        <v>4963</v>
      </c>
      <c r="H555" s="81" t="s">
        <v>2503</v>
      </c>
      <c r="I555" s="81" t="s">
        <v>5967</v>
      </c>
      <c r="J555" s="81" t="s">
        <v>2186</v>
      </c>
      <c r="K555" s="81" t="s">
        <v>5967</v>
      </c>
      <c r="L555" s="81" t="s">
        <v>2392</v>
      </c>
      <c r="M555" s="81" t="s">
        <v>5967</v>
      </c>
      <c r="N555" s="81" t="s">
        <v>2231</v>
      </c>
      <c r="O555" s="81" t="s">
        <v>2187</v>
      </c>
      <c r="P555" s="81" t="s">
        <v>2187</v>
      </c>
      <c r="Q555" s="81" t="s">
        <v>43</v>
      </c>
      <c r="R555" s="81" t="s">
        <v>112</v>
      </c>
      <c r="S555" s="81" t="s">
        <v>112</v>
      </c>
      <c r="T555" s="81" t="s">
        <v>48</v>
      </c>
      <c r="U555" s="81" t="s">
        <v>48</v>
      </c>
      <c r="V555" s="81" t="s">
        <v>48</v>
      </c>
      <c r="W555" s="81" t="s">
        <v>49</v>
      </c>
      <c r="X555" s="81" t="s">
        <v>48</v>
      </c>
      <c r="Y555" s="81" t="s">
        <v>48</v>
      </c>
    </row>
    <row r="556" spans="1:25" x14ac:dyDescent="0.3">
      <c r="A556" s="16">
        <v>7501258210393</v>
      </c>
      <c r="B556" s="81" t="s">
        <v>43</v>
      </c>
      <c r="C556" s="81" t="s">
        <v>619</v>
      </c>
      <c r="D556" s="81" t="s">
        <v>45</v>
      </c>
      <c r="E556" s="81" t="s">
        <v>2378</v>
      </c>
      <c r="F556" s="81" t="s">
        <v>2634</v>
      </c>
      <c r="G556" s="81" t="s">
        <v>5244</v>
      </c>
      <c r="H556" s="81" t="s">
        <v>2437</v>
      </c>
      <c r="I556" s="81" t="s">
        <v>5968</v>
      </c>
      <c r="J556" s="81" t="s">
        <v>2186</v>
      </c>
      <c r="K556" s="81" t="s">
        <v>5968</v>
      </c>
      <c r="L556" s="81" t="s">
        <v>2392</v>
      </c>
      <c r="M556" s="81" t="s">
        <v>5968</v>
      </c>
      <c r="N556" s="81" t="s">
        <v>2231</v>
      </c>
      <c r="O556" s="81" t="s">
        <v>2187</v>
      </c>
      <c r="P556" s="81" t="s">
        <v>2187</v>
      </c>
      <c r="Q556" s="81" t="s">
        <v>43</v>
      </c>
      <c r="R556" s="81" t="s">
        <v>51</v>
      </c>
      <c r="S556" s="81" t="s">
        <v>81</v>
      </c>
      <c r="T556" s="81" t="s">
        <v>49</v>
      </c>
      <c r="U556" s="81" t="s">
        <v>48</v>
      </c>
      <c r="V556" s="81" t="s">
        <v>48</v>
      </c>
      <c r="W556" s="81" t="s">
        <v>49</v>
      </c>
      <c r="X556" s="81" t="s">
        <v>48</v>
      </c>
      <c r="Y556" s="81" t="s">
        <v>48</v>
      </c>
    </row>
    <row r="557" spans="1:25" x14ac:dyDescent="0.3">
      <c r="A557" s="16">
        <v>7501258206723</v>
      </c>
      <c r="B557" s="81" t="s">
        <v>43</v>
      </c>
      <c r="C557" s="81" t="s">
        <v>620</v>
      </c>
      <c r="D557" s="81" t="s">
        <v>45</v>
      </c>
      <c r="E557" s="81" t="s">
        <v>2697</v>
      </c>
      <c r="F557" s="81" t="s">
        <v>3103</v>
      </c>
      <c r="G557" s="81" t="s">
        <v>5330</v>
      </c>
      <c r="H557" s="81" t="s">
        <v>2229</v>
      </c>
      <c r="I557" s="81" t="s">
        <v>5533</v>
      </c>
      <c r="J557" s="81" t="s">
        <v>2186</v>
      </c>
      <c r="K557" s="81" t="s">
        <v>5533</v>
      </c>
      <c r="L557" s="81" t="s">
        <v>2392</v>
      </c>
      <c r="M557" s="81" t="s">
        <v>5533</v>
      </c>
      <c r="N557" s="81" t="s">
        <v>2231</v>
      </c>
      <c r="O557" s="81" t="s">
        <v>2187</v>
      </c>
      <c r="P557" s="81" t="s">
        <v>2187</v>
      </c>
      <c r="Q557" s="81" t="s">
        <v>43</v>
      </c>
      <c r="R557" s="81" t="s">
        <v>46</v>
      </c>
      <c r="S557" s="81" t="s">
        <v>47</v>
      </c>
      <c r="T557" s="81" t="s">
        <v>48</v>
      </c>
      <c r="U557" s="81" t="s">
        <v>48</v>
      </c>
      <c r="V557" s="81" t="s">
        <v>48</v>
      </c>
      <c r="W557" s="81" t="s">
        <v>49</v>
      </c>
      <c r="X557" s="81" t="s">
        <v>48</v>
      </c>
      <c r="Y557" s="81" t="s">
        <v>48</v>
      </c>
    </row>
    <row r="558" spans="1:25" x14ac:dyDescent="0.3">
      <c r="A558" s="16">
        <v>7501258205870</v>
      </c>
      <c r="B558" s="81" t="s">
        <v>43</v>
      </c>
      <c r="C558" s="81" t="s">
        <v>621</v>
      </c>
      <c r="D558" s="81" t="s">
        <v>45</v>
      </c>
      <c r="E558" s="81" t="s">
        <v>2352</v>
      </c>
      <c r="F558" s="81" t="s">
        <v>3104</v>
      </c>
      <c r="G558" s="81" t="s">
        <v>4926</v>
      </c>
      <c r="H558" s="81" t="s">
        <v>2190</v>
      </c>
      <c r="I558" s="81" t="s">
        <v>5969</v>
      </c>
      <c r="J558" s="81" t="s">
        <v>2186</v>
      </c>
      <c r="K558" s="81" t="s">
        <v>5969</v>
      </c>
      <c r="L558" s="81" t="s">
        <v>2392</v>
      </c>
      <c r="M558" s="81" t="s">
        <v>5969</v>
      </c>
      <c r="N558" s="81" t="s">
        <v>2231</v>
      </c>
      <c r="O558" s="81" t="s">
        <v>2187</v>
      </c>
      <c r="P558" s="81" t="s">
        <v>2187</v>
      </c>
      <c r="Q558" s="81" t="s">
        <v>43</v>
      </c>
      <c r="R558" s="81" t="s">
        <v>46</v>
      </c>
      <c r="S558" s="81" t="s">
        <v>46</v>
      </c>
      <c r="T558" s="81" t="s">
        <v>48</v>
      </c>
      <c r="U558" s="81" t="s">
        <v>48</v>
      </c>
      <c r="V558" s="81" t="s">
        <v>48</v>
      </c>
      <c r="W558" s="81" t="s">
        <v>49</v>
      </c>
      <c r="X558" s="81" t="s">
        <v>48</v>
      </c>
      <c r="Y558" s="81" t="s">
        <v>48</v>
      </c>
    </row>
    <row r="559" spans="1:25" x14ac:dyDescent="0.3">
      <c r="A559" s="16">
        <v>7501258205863</v>
      </c>
      <c r="B559" s="81" t="s">
        <v>43</v>
      </c>
      <c r="C559" s="81" t="s">
        <v>622</v>
      </c>
      <c r="D559" s="81" t="s">
        <v>45</v>
      </c>
      <c r="E559" s="81" t="s">
        <v>2335</v>
      </c>
      <c r="F559" s="81" t="s">
        <v>2893</v>
      </c>
      <c r="G559" s="81" t="s">
        <v>3105</v>
      </c>
      <c r="H559" s="81" t="s">
        <v>2429</v>
      </c>
      <c r="I559" s="81" t="s">
        <v>5738</v>
      </c>
      <c r="J559" s="81" t="s">
        <v>2186</v>
      </c>
      <c r="K559" s="81" t="s">
        <v>5738</v>
      </c>
      <c r="L559" s="81" t="s">
        <v>2392</v>
      </c>
      <c r="M559" s="81" t="s">
        <v>5738</v>
      </c>
      <c r="N559" s="81" t="s">
        <v>2231</v>
      </c>
      <c r="O559" s="81" t="s">
        <v>2187</v>
      </c>
      <c r="P559" s="81" t="s">
        <v>2187</v>
      </c>
      <c r="Q559" s="81" t="s">
        <v>43</v>
      </c>
      <c r="R559" s="81" t="s">
        <v>46</v>
      </c>
      <c r="S559" s="81" t="s">
        <v>47</v>
      </c>
      <c r="T559" s="81" t="s">
        <v>48</v>
      </c>
      <c r="U559" s="81" t="s">
        <v>48</v>
      </c>
      <c r="V559" s="81" t="s">
        <v>48</v>
      </c>
      <c r="W559" s="81" t="s">
        <v>49</v>
      </c>
      <c r="X559" s="81" t="s">
        <v>48</v>
      </c>
      <c r="Y559" s="81" t="s">
        <v>48</v>
      </c>
    </row>
    <row r="560" spans="1:25" x14ac:dyDescent="0.3">
      <c r="A560" s="16">
        <v>7501258214506</v>
      </c>
      <c r="B560" s="81" t="s">
        <v>43</v>
      </c>
      <c r="C560" s="81" t="s">
        <v>623</v>
      </c>
      <c r="D560" s="81" t="s">
        <v>45</v>
      </c>
      <c r="E560" s="81" t="s">
        <v>2357</v>
      </c>
      <c r="F560" s="81" t="s">
        <v>2358</v>
      </c>
      <c r="G560" s="81" t="s">
        <v>3106</v>
      </c>
      <c r="H560" s="81" t="s">
        <v>2503</v>
      </c>
      <c r="I560" s="81" t="s">
        <v>5970</v>
      </c>
      <c r="J560" s="81" t="s">
        <v>2186</v>
      </c>
      <c r="K560" s="81" t="s">
        <v>5970</v>
      </c>
      <c r="L560" s="81" t="s">
        <v>2392</v>
      </c>
      <c r="M560" s="81" t="s">
        <v>5970</v>
      </c>
      <c r="N560" s="81" t="s">
        <v>2231</v>
      </c>
      <c r="O560" s="81" t="s">
        <v>2187</v>
      </c>
      <c r="P560" s="81" t="s">
        <v>2187</v>
      </c>
      <c r="Q560" s="81" t="s">
        <v>43</v>
      </c>
      <c r="R560" s="81" t="s">
        <v>46</v>
      </c>
      <c r="S560" s="81" t="s">
        <v>47</v>
      </c>
      <c r="T560" s="81" t="s">
        <v>48</v>
      </c>
      <c r="U560" s="81" t="s">
        <v>48</v>
      </c>
      <c r="V560" s="81" t="s">
        <v>48</v>
      </c>
      <c r="W560" s="81" t="s">
        <v>49</v>
      </c>
      <c r="X560" s="81" t="s">
        <v>48</v>
      </c>
      <c r="Y560" s="81" t="s">
        <v>48</v>
      </c>
    </row>
    <row r="561" spans="1:25" x14ac:dyDescent="0.3">
      <c r="A561" s="16">
        <v>3664798025705</v>
      </c>
      <c r="B561" s="81" t="s">
        <v>43</v>
      </c>
      <c r="C561" s="81" t="s">
        <v>624</v>
      </c>
      <c r="D561" s="81" t="s">
        <v>45</v>
      </c>
      <c r="E561" s="81" t="s">
        <v>2357</v>
      </c>
      <c r="F561" s="81" t="s">
        <v>2457</v>
      </c>
      <c r="G561" s="81" t="s">
        <v>4857</v>
      </c>
      <c r="H561" s="81" t="s">
        <v>4097</v>
      </c>
      <c r="I561" s="81" t="s">
        <v>5971</v>
      </c>
      <c r="J561" s="81" t="s">
        <v>2186</v>
      </c>
      <c r="K561" s="81" t="s">
        <v>5971</v>
      </c>
      <c r="L561" s="81" t="s">
        <v>2392</v>
      </c>
      <c r="M561" s="81" t="s">
        <v>5971</v>
      </c>
      <c r="N561" s="81" t="s">
        <v>2231</v>
      </c>
      <c r="O561" s="81" t="s">
        <v>2187</v>
      </c>
      <c r="P561" s="81" t="s">
        <v>2187</v>
      </c>
      <c r="Q561" s="81" t="s">
        <v>43</v>
      </c>
      <c r="R561" s="81" t="s">
        <v>203</v>
      </c>
      <c r="S561" s="81" t="s">
        <v>203</v>
      </c>
      <c r="T561" s="81" t="s">
        <v>48</v>
      </c>
      <c r="U561" s="81" t="s">
        <v>48</v>
      </c>
      <c r="V561" s="81" t="s">
        <v>48</v>
      </c>
      <c r="W561" s="81" t="s">
        <v>49</v>
      </c>
      <c r="X561" s="81" t="s">
        <v>48</v>
      </c>
      <c r="Y561" s="81" t="s">
        <v>48</v>
      </c>
    </row>
    <row r="562" spans="1:25" x14ac:dyDescent="0.3">
      <c r="A562" s="16">
        <v>7501159580359</v>
      </c>
      <c r="B562" s="81" t="s">
        <v>43</v>
      </c>
      <c r="C562" s="81" t="s">
        <v>3109</v>
      </c>
      <c r="D562" s="81" t="s">
        <v>45</v>
      </c>
      <c r="E562" s="81" t="s">
        <v>2227</v>
      </c>
      <c r="F562" s="81" t="s">
        <v>2227</v>
      </c>
      <c r="G562" s="81" t="s">
        <v>3110</v>
      </c>
      <c r="H562" s="81" t="s">
        <v>2182</v>
      </c>
      <c r="I562" s="81" t="s">
        <v>5972</v>
      </c>
      <c r="J562" s="81" t="s">
        <v>2186</v>
      </c>
      <c r="K562" s="81" t="s">
        <v>5972</v>
      </c>
      <c r="L562" s="81" t="s">
        <v>2392</v>
      </c>
      <c r="M562" s="81" t="s">
        <v>5972</v>
      </c>
      <c r="N562" s="81" t="s">
        <v>2231</v>
      </c>
      <c r="O562" s="81" t="s">
        <v>2187</v>
      </c>
      <c r="P562" s="81" t="s">
        <v>2187</v>
      </c>
      <c r="Q562" s="81" t="s">
        <v>43</v>
      </c>
      <c r="R562" s="81" t="s">
        <v>46</v>
      </c>
      <c r="S562" s="81" t="s">
        <v>47</v>
      </c>
      <c r="T562" s="81" t="s">
        <v>48</v>
      </c>
      <c r="U562" s="81" t="s">
        <v>48</v>
      </c>
      <c r="V562" s="81" t="s">
        <v>48</v>
      </c>
      <c r="W562" s="81" t="s">
        <v>49</v>
      </c>
      <c r="X562" s="81" t="s">
        <v>48</v>
      </c>
      <c r="Y562" s="81" t="s">
        <v>48</v>
      </c>
    </row>
    <row r="563" spans="1:25" x14ac:dyDescent="0.3">
      <c r="A563" s="16">
        <v>7501109902866</v>
      </c>
      <c r="B563" s="81" t="s">
        <v>43</v>
      </c>
      <c r="C563" s="81" t="s">
        <v>625</v>
      </c>
      <c r="D563" s="81" t="s">
        <v>45</v>
      </c>
      <c r="E563" s="81" t="s">
        <v>2352</v>
      </c>
      <c r="F563" s="81" t="s">
        <v>2496</v>
      </c>
      <c r="G563" s="81" t="s">
        <v>4713</v>
      </c>
      <c r="H563" s="81" t="s">
        <v>2670</v>
      </c>
      <c r="I563" s="81" t="s">
        <v>5973</v>
      </c>
      <c r="J563" s="81" t="s">
        <v>2186</v>
      </c>
      <c r="K563" s="81" t="s">
        <v>5973</v>
      </c>
      <c r="L563" s="81" t="s">
        <v>2392</v>
      </c>
      <c r="M563" s="81" t="s">
        <v>5973</v>
      </c>
      <c r="N563" s="81" t="s">
        <v>2231</v>
      </c>
      <c r="O563" s="81" t="s">
        <v>2187</v>
      </c>
      <c r="P563" s="81" t="s">
        <v>2187</v>
      </c>
      <c r="Q563" s="81" t="s">
        <v>43</v>
      </c>
      <c r="R563" s="81" t="s">
        <v>203</v>
      </c>
      <c r="S563" s="81" t="s">
        <v>203</v>
      </c>
      <c r="T563" s="81" t="s">
        <v>48</v>
      </c>
      <c r="U563" s="81" t="s">
        <v>48</v>
      </c>
      <c r="V563" s="81" t="s">
        <v>48</v>
      </c>
      <c r="W563" s="81" t="s">
        <v>49</v>
      </c>
      <c r="X563" s="81" t="s">
        <v>48</v>
      </c>
      <c r="Y563" s="81" t="s">
        <v>48</v>
      </c>
    </row>
    <row r="564" spans="1:25" x14ac:dyDescent="0.3">
      <c r="A564" s="16">
        <v>7501072310378</v>
      </c>
      <c r="B564" s="81" t="s">
        <v>43</v>
      </c>
      <c r="C564" s="81" t="s">
        <v>1938</v>
      </c>
      <c r="D564" s="81" t="s">
        <v>45</v>
      </c>
      <c r="E564" s="81" t="s">
        <v>2412</v>
      </c>
      <c r="F564" s="81" t="s">
        <v>2412</v>
      </c>
      <c r="G564" s="81" t="s">
        <v>3112</v>
      </c>
      <c r="H564" s="81" t="s">
        <v>3113</v>
      </c>
      <c r="I564" s="81" t="s">
        <v>3114</v>
      </c>
      <c r="J564" s="81" t="s">
        <v>2186</v>
      </c>
      <c r="K564" s="81" t="s">
        <v>3115</v>
      </c>
      <c r="L564" s="81" t="s">
        <v>2392</v>
      </c>
      <c r="M564" s="81" t="s">
        <v>2553</v>
      </c>
      <c r="N564" s="81" t="s">
        <v>2231</v>
      </c>
      <c r="O564" s="81" t="s">
        <v>2187</v>
      </c>
      <c r="P564" s="81" t="s">
        <v>2187</v>
      </c>
      <c r="Q564" s="81" t="s">
        <v>43</v>
      </c>
      <c r="R564" s="81" t="s">
        <v>203</v>
      </c>
      <c r="S564" s="81" t="s">
        <v>203</v>
      </c>
      <c r="T564" s="81" t="s">
        <v>48</v>
      </c>
      <c r="U564" s="81" t="s">
        <v>48</v>
      </c>
      <c r="V564" s="81" t="s">
        <v>48</v>
      </c>
      <c r="W564" s="81" t="s">
        <v>49</v>
      </c>
      <c r="X564" s="81" t="s">
        <v>48</v>
      </c>
      <c r="Y564" s="81" t="s">
        <v>48</v>
      </c>
    </row>
    <row r="565" spans="1:25" x14ac:dyDescent="0.3">
      <c r="A565" s="16">
        <v>7501072310392</v>
      </c>
      <c r="B565" s="81" t="s">
        <v>43</v>
      </c>
      <c r="C565" s="81" t="s">
        <v>1939</v>
      </c>
      <c r="D565" s="81" t="s">
        <v>45</v>
      </c>
      <c r="E565" s="81" t="s">
        <v>2179</v>
      </c>
      <c r="F565" s="81" t="s">
        <v>2191</v>
      </c>
      <c r="G565" s="81" t="s">
        <v>3116</v>
      </c>
      <c r="H565" s="81" t="s">
        <v>2560</v>
      </c>
      <c r="I565" s="81" t="s">
        <v>5974</v>
      </c>
      <c r="J565" s="81" t="s">
        <v>2186</v>
      </c>
      <c r="K565" s="81" t="s">
        <v>5974</v>
      </c>
      <c r="L565" s="81" t="s">
        <v>2392</v>
      </c>
      <c r="M565" s="81" t="s">
        <v>5974</v>
      </c>
      <c r="N565" s="81" t="s">
        <v>2231</v>
      </c>
      <c r="O565" s="81" t="s">
        <v>2187</v>
      </c>
      <c r="P565" s="81" t="s">
        <v>2187</v>
      </c>
      <c r="Q565" s="81" t="s">
        <v>43</v>
      </c>
      <c r="R565" s="81" t="s">
        <v>203</v>
      </c>
      <c r="S565" s="81" t="s">
        <v>203</v>
      </c>
      <c r="T565" s="81" t="s">
        <v>48</v>
      </c>
      <c r="U565" s="81" t="s">
        <v>48</v>
      </c>
      <c r="V565" s="81" t="s">
        <v>48</v>
      </c>
      <c r="W565" s="81" t="s">
        <v>49</v>
      </c>
      <c r="X565" s="81" t="s">
        <v>48</v>
      </c>
      <c r="Y565" s="81" t="s">
        <v>48</v>
      </c>
    </row>
    <row r="566" spans="1:25" x14ac:dyDescent="0.3">
      <c r="A566" s="16">
        <v>7502240450025</v>
      </c>
      <c r="B566" s="81" t="s">
        <v>43</v>
      </c>
      <c r="C566" s="81" t="s">
        <v>626</v>
      </c>
      <c r="D566" s="81" t="s">
        <v>45</v>
      </c>
      <c r="E566" s="81" t="s">
        <v>2447</v>
      </c>
      <c r="F566" s="81" t="s">
        <v>2448</v>
      </c>
      <c r="G566" s="81" t="s">
        <v>4998</v>
      </c>
      <c r="H566" s="81" t="s">
        <v>2259</v>
      </c>
      <c r="I566" s="81" t="s">
        <v>5580</v>
      </c>
      <c r="J566" s="81" t="s">
        <v>2186</v>
      </c>
      <c r="K566" s="81" t="s">
        <v>5580</v>
      </c>
      <c r="L566" s="81" t="s">
        <v>2392</v>
      </c>
      <c r="M566" s="81" t="s">
        <v>5580</v>
      </c>
      <c r="N566" s="81" t="s">
        <v>2231</v>
      </c>
      <c r="O566" s="81" t="s">
        <v>2187</v>
      </c>
      <c r="P566" s="81" t="s">
        <v>2187</v>
      </c>
      <c r="Q566" s="81" t="s">
        <v>43</v>
      </c>
      <c r="R566" s="81" t="s">
        <v>51</v>
      </c>
      <c r="S566" s="81" t="s">
        <v>47</v>
      </c>
      <c r="T566" s="81" t="s">
        <v>49</v>
      </c>
      <c r="U566" s="81" t="s">
        <v>48</v>
      </c>
      <c r="V566" s="81" t="s">
        <v>48</v>
      </c>
      <c r="W566" s="81" t="s">
        <v>49</v>
      </c>
      <c r="X566" s="81" t="s">
        <v>48</v>
      </c>
      <c r="Y566" s="81" t="s">
        <v>48</v>
      </c>
    </row>
    <row r="567" spans="1:25" x14ac:dyDescent="0.3">
      <c r="A567" s="16">
        <v>7501058792792</v>
      </c>
      <c r="B567" s="81" t="s">
        <v>43</v>
      </c>
      <c r="C567" s="81" t="s">
        <v>1940</v>
      </c>
      <c r="D567" s="81" t="s">
        <v>45</v>
      </c>
      <c r="E567" s="81" t="s">
        <v>2369</v>
      </c>
      <c r="F567" s="81" t="s">
        <v>2180</v>
      </c>
      <c r="G567" s="81" t="s">
        <v>4782</v>
      </c>
      <c r="H567" s="81" t="s">
        <v>2400</v>
      </c>
      <c r="I567" s="81" t="s">
        <v>5785</v>
      </c>
      <c r="J567" s="81" t="s">
        <v>2186</v>
      </c>
      <c r="K567" s="81" t="s">
        <v>5785</v>
      </c>
      <c r="L567" s="81" t="s">
        <v>2392</v>
      </c>
      <c r="M567" s="81" t="s">
        <v>5785</v>
      </c>
      <c r="N567" s="81" t="s">
        <v>2231</v>
      </c>
      <c r="O567" s="81" t="s">
        <v>2187</v>
      </c>
      <c r="P567" s="81" t="s">
        <v>2187</v>
      </c>
      <c r="Q567" s="81" t="s">
        <v>43</v>
      </c>
      <c r="R567" s="81" t="s">
        <v>46</v>
      </c>
      <c r="S567" s="81" t="s">
        <v>47</v>
      </c>
      <c r="T567" s="81" t="s">
        <v>48</v>
      </c>
      <c r="U567" s="81" t="s">
        <v>48</v>
      </c>
      <c r="V567" s="81" t="s">
        <v>48</v>
      </c>
      <c r="W567" s="81" t="s">
        <v>49</v>
      </c>
      <c r="X567" s="81" t="s">
        <v>48</v>
      </c>
      <c r="Y567" s="81" t="s">
        <v>48</v>
      </c>
    </row>
    <row r="568" spans="1:25" x14ac:dyDescent="0.3">
      <c r="A568" s="16">
        <v>354312225140</v>
      </c>
      <c r="B568" s="81" t="s">
        <v>43</v>
      </c>
      <c r="C568" s="81" t="s">
        <v>1941</v>
      </c>
      <c r="D568" s="81" t="s">
        <v>45</v>
      </c>
      <c r="E568" s="81" t="s">
        <v>2371</v>
      </c>
      <c r="F568" s="81" t="s">
        <v>3117</v>
      </c>
      <c r="G568" s="81" t="s">
        <v>3118</v>
      </c>
      <c r="H568" s="81" t="s">
        <v>2243</v>
      </c>
      <c r="I568" s="81" t="s">
        <v>5975</v>
      </c>
      <c r="J568" s="81" t="s">
        <v>2186</v>
      </c>
      <c r="K568" s="81" t="s">
        <v>5975</v>
      </c>
      <c r="L568" s="81" t="s">
        <v>2392</v>
      </c>
      <c r="M568" s="81" t="s">
        <v>5975</v>
      </c>
      <c r="N568" s="81" t="s">
        <v>2231</v>
      </c>
      <c r="O568" s="81" t="s">
        <v>2187</v>
      </c>
      <c r="P568" s="81" t="s">
        <v>2187</v>
      </c>
      <c r="Q568" s="81" t="s">
        <v>43</v>
      </c>
      <c r="R568" s="81" t="s">
        <v>203</v>
      </c>
      <c r="S568" s="81" t="s">
        <v>203</v>
      </c>
      <c r="T568" s="81" t="s">
        <v>48</v>
      </c>
      <c r="U568" s="81" t="s">
        <v>48</v>
      </c>
      <c r="V568" s="81" t="s">
        <v>48</v>
      </c>
      <c r="W568" s="81" t="s">
        <v>49</v>
      </c>
      <c r="X568" s="81" t="s">
        <v>48</v>
      </c>
      <c r="Y568" s="81" t="s">
        <v>48</v>
      </c>
    </row>
    <row r="569" spans="1:25" x14ac:dyDescent="0.3">
      <c r="A569" s="16">
        <v>354312225133</v>
      </c>
      <c r="B569" s="81" t="s">
        <v>43</v>
      </c>
      <c r="C569" s="81" t="s">
        <v>2134</v>
      </c>
      <c r="D569" s="81" t="s">
        <v>45</v>
      </c>
      <c r="E569" s="81" t="s">
        <v>2433</v>
      </c>
      <c r="F569" s="81" t="s">
        <v>3002</v>
      </c>
      <c r="G569" s="81" t="s">
        <v>3119</v>
      </c>
      <c r="H569" s="81" t="s">
        <v>2208</v>
      </c>
      <c r="I569" s="81" t="s">
        <v>5558</v>
      </c>
      <c r="J569" s="81" t="s">
        <v>2186</v>
      </c>
      <c r="K569" s="81" t="s">
        <v>5558</v>
      </c>
      <c r="L569" s="81" t="s">
        <v>2392</v>
      </c>
      <c r="M569" s="81" t="s">
        <v>5558</v>
      </c>
      <c r="N569" s="81" t="s">
        <v>2231</v>
      </c>
      <c r="O569" s="81" t="s">
        <v>2187</v>
      </c>
      <c r="P569" s="81" t="s">
        <v>2187</v>
      </c>
      <c r="Q569" s="81" t="s">
        <v>43</v>
      </c>
      <c r="R569" s="81" t="s">
        <v>203</v>
      </c>
      <c r="S569" s="81" t="s">
        <v>203</v>
      </c>
      <c r="T569" s="81" t="s">
        <v>48</v>
      </c>
      <c r="U569" s="81" t="s">
        <v>48</v>
      </c>
      <c r="V569" s="81" t="s">
        <v>48</v>
      </c>
      <c r="W569" s="81" t="s">
        <v>49</v>
      </c>
      <c r="X569" s="81" t="s">
        <v>48</v>
      </c>
      <c r="Y569" s="81" t="s">
        <v>48</v>
      </c>
    </row>
    <row r="570" spans="1:25" x14ac:dyDescent="0.3">
      <c r="A570" s="16">
        <v>7502208891235</v>
      </c>
      <c r="B570" s="81" t="s">
        <v>43</v>
      </c>
      <c r="C570" s="81" t="s">
        <v>3120</v>
      </c>
      <c r="D570" s="81" t="s">
        <v>45</v>
      </c>
      <c r="E570" s="81" t="s">
        <v>2481</v>
      </c>
      <c r="F570" s="81" t="s">
        <v>2679</v>
      </c>
      <c r="G570" s="81" t="s">
        <v>4903</v>
      </c>
      <c r="H570" s="81" t="s">
        <v>2218</v>
      </c>
      <c r="I570" s="81" t="s">
        <v>5976</v>
      </c>
      <c r="J570" s="81" t="s">
        <v>2186</v>
      </c>
      <c r="K570" s="81" t="s">
        <v>5976</v>
      </c>
      <c r="L570" s="81" t="s">
        <v>2392</v>
      </c>
      <c r="M570" s="81" t="s">
        <v>5976</v>
      </c>
      <c r="N570" s="81" t="s">
        <v>2231</v>
      </c>
      <c r="O570" s="81" t="s">
        <v>2187</v>
      </c>
      <c r="P570" s="81" t="s">
        <v>2187</v>
      </c>
      <c r="Q570" s="81" t="s">
        <v>43</v>
      </c>
      <c r="R570" s="81" t="s">
        <v>51</v>
      </c>
      <c r="S570" s="81" t="s">
        <v>73</v>
      </c>
      <c r="T570" s="81" t="s">
        <v>49</v>
      </c>
      <c r="U570" s="81" t="s">
        <v>48</v>
      </c>
      <c r="V570" s="81" t="s">
        <v>48</v>
      </c>
      <c r="W570" s="81" t="s">
        <v>49</v>
      </c>
      <c r="X570" s="81" t="s">
        <v>48</v>
      </c>
      <c r="Y570" s="81" t="s">
        <v>48</v>
      </c>
    </row>
    <row r="571" spans="1:25" x14ac:dyDescent="0.3">
      <c r="A571" s="16">
        <v>7502009745409</v>
      </c>
      <c r="B571" s="81" t="s">
        <v>43</v>
      </c>
      <c r="C571" s="81" t="s">
        <v>627</v>
      </c>
      <c r="D571" s="81" t="s">
        <v>45</v>
      </c>
      <c r="E571" s="81" t="s">
        <v>2313</v>
      </c>
      <c r="F571" s="81" t="s">
        <v>2352</v>
      </c>
      <c r="G571" s="81" t="s">
        <v>3121</v>
      </c>
      <c r="H571" s="81" t="s">
        <v>2209</v>
      </c>
      <c r="I571" s="81" t="s">
        <v>5602</v>
      </c>
      <c r="J571" s="81" t="s">
        <v>2186</v>
      </c>
      <c r="K571" s="81" t="s">
        <v>5602</v>
      </c>
      <c r="L571" s="81" t="s">
        <v>2392</v>
      </c>
      <c r="M571" s="81" t="s">
        <v>5602</v>
      </c>
      <c r="N571" s="81" t="s">
        <v>2231</v>
      </c>
      <c r="O571" s="81" t="s">
        <v>2187</v>
      </c>
      <c r="P571" s="81" t="s">
        <v>2187</v>
      </c>
      <c r="Q571" s="81" t="s">
        <v>43</v>
      </c>
      <c r="R571" s="81" t="s">
        <v>46</v>
      </c>
      <c r="S571" s="81" t="s">
        <v>164</v>
      </c>
      <c r="T571" s="81" t="s">
        <v>48</v>
      </c>
      <c r="U571" s="81" t="s">
        <v>48</v>
      </c>
      <c r="V571" s="81" t="s">
        <v>48</v>
      </c>
      <c r="W571" s="81" t="s">
        <v>49</v>
      </c>
      <c r="X571" s="81" t="s">
        <v>48</v>
      </c>
      <c r="Y571" s="81" t="s">
        <v>48</v>
      </c>
    </row>
    <row r="572" spans="1:25" x14ac:dyDescent="0.3">
      <c r="A572" s="16">
        <v>7501095409059</v>
      </c>
      <c r="B572" s="81" t="s">
        <v>43</v>
      </c>
      <c r="C572" s="81" t="s">
        <v>628</v>
      </c>
      <c r="D572" s="81" t="s">
        <v>45</v>
      </c>
      <c r="E572" s="81" t="s">
        <v>2893</v>
      </c>
      <c r="F572" s="81" t="s">
        <v>2894</v>
      </c>
      <c r="G572" s="81" t="s">
        <v>4902</v>
      </c>
      <c r="H572" s="81" t="s">
        <v>2669</v>
      </c>
      <c r="I572" s="81" t="s">
        <v>5977</v>
      </c>
      <c r="J572" s="81" t="s">
        <v>2186</v>
      </c>
      <c r="K572" s="81" t="s">
        <v>5977</v>
      </c>
      <c r="L572" s="81" t="s">
        <v>2392</v>
      </c>
      <c r="M572" s="81" t="s">
        <v>5977</v>
      </c>
      <c r="N572" s="81" t="s">
        <v>2231</v>
      </c>
      <c r="O572" s="81" t="s">
        <v>2187</v>
      </c>
      <c r="P572" s="81" t="s">
        <v>2187</v>
      </c>
      <c r="Q572" s="81" t="s">
        <v>43</v>
      </c>
      <c r="R572" s="81" t="s">
        <v>203</v>
      </c>
      <c r="S572" s="81" t="s">
        <v>203</v>
      </c>
      <c r="T572" s="81" t="s">
        <v>48</v>
      </c>
      <c r="U572" s="81" t="s">
        <v>48</v>
      </c>
      <c r="V572" s="81" t="s">
        <v>48</v>
      </c>
      <c r="W572" s="81" t="s">
        <v>49</v>
      </c>
      <c r="X572" s="81" t="s">
        <v>48</v>
      </c>
      <c r="Y572" s="81" t="s">
        <v>48</v>
      </c>
    </row>
    <row r="573" spans="1:25" x14ac:dyDescent="0.3">
      <c r="A573" s="16">
        <v>7501417515956</v>
      </c>
      <c r="B573" s="81" t="s">
        <v>43</v>
      </c>
      <c r="C573" s="81" t="s">
        <v>629</v>
      </c>
      <c r="D573" s="81" t="s">
        <v>45</v>
      </c>
      <c r="E573" s="81" t="s">
        <v>2180</v>
      </c>
      <c r="F573" s="81" t="s">
        <v>2363</v>
      </c>
      <c r="G573" s="81" t="s">
        <v>3122</v>
      </c>
      <c r="H573" s="81" t="s">
        <v>3123</v>
      </c>
      <c r="I573" s="81" t="s">
        <v>5978</v>
      </c>
      <c r="J573" s="81" t="s">
        <v>2186</v>
      </c>
      <c r="K573" s="81" t="s">
        <v>5978</v>
      </c>
      <c r="L573" s="81" t="s">
        <v>2392</v>
      </c>
      <c r="M573" s="81" t="s">
        <v>5978</v>
      </c>
      <c r="N573" s="81" t="s">
        <v>2231</v>
      </c>
      <c r="O573" s="81" t="s">
        <v>2187</v>
      </c>
      <c r="P573" s="81" t="s">
        <v>2187</v>
      </c>
      <c r="Q573" s="81" t="s">
        <v>43</v>
      </c>
      <c r="R573" s="81" t="s">
        <v>203</v>
      </c>
      <c r="S573" s="81" t="s">
        <v>203</v>
      </c>
      <c r="T573" s="81" t="s">
        <v>48</v>
      </c>
      <c r="U573" s="81" t="s">
        <v>48</v>
      </c>
      <c r="V573" s="81" t="s">
        <v>49</v>
      </c>
      <c r="W573" s="81" t="s">
        <v>48</v>
      </c>
      <c r="X573" s="81" t="s">
        <v>48</v>
      </c>
      <c r="Y573" s="81" t="s">
        <v>48</v>
      </c>
    </row>
    <row r="574" spans="1:25" x14ac:dyDescent="0.3">
      <c r="A574" s="16">
        <v>7501048922208</v>
      </c>
      <c r="B574" s="81" t="s">
        <v>43</v>
      </c>
      <c r="C574" s="81" t="s">
        <v>630</v>
      </c>
      <c r="D574" s="81" t="s">
        <v>45</v>
      </c>
      <c r="E574" s="81" t="s">
        <v>2227</v>
      </c>
      <c r="F574" s="81" t="s">
        <v>2227</v>
      </c>
      <c r="G574" s="81" t="s">
        <v>3124</v>
      </c>
      <c r="H574" s="81" t="s">
        <v>3125</v>
      </c>
      <c r="I574" s="81" t="s">
        <v>5979</v>
      </c>
      <c r="J574" s="81" t="s">
        <v>2186</v>
      </c>
      <c r="K574" s="81" t="s">
        <v>5979</v>
      </c>
      <c r="L574" s="81" t="s">
        <v>2392</v>
      </c>
      <c r="M574" s="81" t="s">
        <v>5979</v>
      </c>
      <c r="N574" s="81" t="s">
        <v>2231</v>
      </c>
      <c r="O574" s="81" t="s">
        <v>2187</v>
      </c>
      <c r="P574" s="81" t="s">
        <v>2187</v>
      </c>
      <c r="Q574" s="81" t="s">
        <v>43</v>
      </c>
      <c r="R574" s="81" t="s">
        <v>122</v>
      </c>
      <c r="S574" s="81" t="s">
        <v>123</v>
      </c>
      <c r="T574" s="81" t="s">
        <v>48</v>
      </c>
      <c r="U574" s="81" t="s">
        <v>48</v>
      </c>
      <c r="V574" s="81" t="s">
        <v>49</v>
      </c>
      <c r="W574" s="81" t="s">
        <v>48</v>
      </c>
      <c r="X574" s="81" t="s">
        <v>48</v>
      </c>
      <c r="Y574" s="81" t="s">
        <v>48</v>
      </c>
    </row>
    <row r="575" spans="1:25" x14ac:dyDescent="0.3">
      <c r="A575" s="16">
        <v>7501349028036</v>
      </c>
      <c r="B575" s="81" t="s">
        <v>43</v>
      </c>
      <c r="C575" s="81" t="s">
        <v>631</v>
      </c>
      <c r="D575" s="81" t="s">
        <v>45</v>
      </c>
      <c r="E575" s="81" t="s">
        <v>2298</v>
      </c>
      <c r="F575" s="81" t="s">
        <v>2545</v>
      </c>
      <c r="G575" s="81" t="s">
        <v>5245</v>
      </c>
      <c r="H575" s="81" t="s">
        <v>2668</v>
      </c>
      <c r="I575" s="81" t="s">
        <v>5980</v>
      </c>
      <c r="J575" s="81" t="s">
        <v>2186</v>
      </c>
      <c r="K575" s="81" t="s">
        <v>5980</v>
      </c>
      <c r="L575" s="81" t="s">
        <v>2392</v>
      </c>
      <c r="M575" s="81" t="s">
        <v>5980</v>
      </c>
      <c r="N575" s="81" t="s">
        <v>2231</v>
      </c>
      <c r="O575" s="81" t="s">
        <v>2187</v>
      </c>
      <c r="P575" s="81" t="s">
        <v>2187</v>
      </c>
      <c r="Q575" s="81" t="s">
        <v>43</v>
      </c>
      <c r="R575" s="81" t="s">
        <v>46</v>
      </c>
      <c r="S575" s="81" t="s">
        <v>46</v>
      </c>
      <c r="T575" s="81" t="s">
        <v>48</v>
      </c>
      <c r="U575" s="81" t="s">
        <v>48</v>
      </c>
      <c r="V575" s="81" t="s">
        <v>48</v>
      </c>
      <c r="W575" s="81" t="s">
        <v>49</v>
      </c>
      <c r="X575" s="81" t="s">
        <v>48</v>
      </c>
      <c r="Y575" s="81" t="s">
        <v>48</v>
      </c>
    </row>
    <row r="576" spans="1:25" x14ac:dyDescent="0.3">
      <c r="A576" s="16">
        <v>75049638</v>
      </c>
      <c r="B576" s="81" t="s">
        <v>43</v>
      </c>
      <c r="C576" s="81" t="s">
        <v>2135</v>
      </c>
      <c r="D576" s="81" t="s">
        <v>45</v>
      </c>
      <c r="E576" s="81" t="s">
        <v>2338</v>
      </c>
      <c r="F576" s="81" t="s">
        <v>2526</v>
      </c>
      <c r="G576" s="81" t="s">
        <v>5022</v>
      </c>
      <c r="H576" s="81" t="s">
        <v>2401</v>
      </c>
      <c r="I576" s="81" t="s">
        <v>5919</v>
      </c>
      <c r="J576" s="81" t="s">
        <v>2186</v>
      </c>
      <c r="K576" s="81" t="s">
        <v>5919</v>
      </c>
      <c r="L576" s="81" t="s">
        <v>2392</v>
      </c>
      <c r="M576" s="81" t="s">
        <v>5919</v>
      </c>
      <c r="N576" s="81" t="s">
        <v>2231</v>
      </c>
      <c r="O576" s="81" t="s">
        <v>2187</v>
      </c>
      <c r="P576" s="81" t="s">
        <v>2187</v>
      </c>
      <c r="Q576" s="81" t="s">
        <v>43</v>
      </c>
      <c r="R576" s="81" t="s">
        <v>112</v>
      </c>
      <c r="S576" s="81" t="s">
        <v>112</v>
      </c>
      <c r="T576" s="81" t="s">
        <v>48</v>
      </c>
      <c r="U576" s="81" t="s">
        <v>48</v>
      </c>
      <c r="V576" s="81" t="s">
        <v>48</v>
      </c>
      <c r="W576" s="81" t="s">
        <v>49</v>
      </c>
      <c r="X576" s="81" t="s">
        <v>48</v>
      </c>
      <c r="Y576" s="81" t="s">
        <v>48</v>
      </c>
    </row>
    <row r="577" spans="1:25" x14ac:dyDescent="0.3">
      <c r="A577" s="16">
        <v>7501006842104</v>
      </c>
      <c r="B577" s="81" t="s">
        <v>43</v>
      </c>
      <c r="C577" s="81" t="s">
        <v>632</v>
      </c>
      <c r="D577" s="81" t="s">
        <v>45</v>
      </c>
      <c r="E577" s="81" t="s">
        <v>2465</v>
      </c>
      <c r="F577" s="81" t="s">
        <v>2257</v>
      </c>
      <c r="G577" s="81" t="s">
        <v>3128</v>
      </c>
      <c r="H577" s="81" t="s">
        <v>3129</v>
      </c>
      <c r="I577" s="81" t="s">
        <v>5981</v>
      </c>
      <c r="J577" s="81" t="s">
        <v>2186</v>
      </c>
      <c r="K577" s="81" t="s">
        <v>5981</v>
      </c>
      <c r="L577" s="81" t="s">
        <v>2392</v>
      </c>
      <c r="M577" s="81" t="s">
        <v>5981</v>
      </c>
      <c r="N577" s="81" t="s">
        <v>2231</v>
      </c>
      <c r="O577" s="81" t="s">
        <v>2187</v>
      </c>
      <c r="P577" s="81" t="s">
        <v>2187</v>
      </c>
      <c r="Q577" s="81" t="s">
        <v>43</v>
      </c>
      <c r="R577" s="81" t="s">
        <v>122</v>
      </c>
      <c r="S577" s="81" t="s">
        <v>123</v>
      </c>
      <c r="T577" s="81" t="s">
        <v>48</v>
      </c>
      <c r="U577" s="81" t="s">
        <v>48</v>
      </c>
      <c r="V577" s="81" t="s">
        <v>49</v>
      </c>
      <c r="W577" s="81" t="s">
        <v>48</v>
      </c>
      <c r="X577" s="81" t="s">
        <v>48</v>
      </c>
      <c r="Y577" s="81" t="s">
        <v>48</v>
      </c>
    </row>
    <row r="578" spans="1:25" x14ac:dyDescent="0.3">
      <c r="A578" s="16">
        <v>7501165010673</v>
      </c>
      <c r="B578" s="81" t="s">
        <v>43</v>
      </c>
      <c r="C578" s="81" t="s">
        <v>633</v>
      </c>
      <c r="D578" s="81" t="s">
        <v>45</v>
      </c>
      <c r="E578" s="81" t="s">
        <v>2528</v>
      </c>
      <c r="F578" s="81" t="s">
        <v>3130</v>
      </c>
      <c r="G578" s="81" t="s">
        <v>3131</v>
      </c>
      <c r="H578" s="81" t="s">
        <v>2680</v>
      </c>
      <c r="I578" s="81" t="s">
        <v>5982</v>
      </c>
      <c r="J578" s="81" t="s">
        <v>2186</v>
      </c>
      <c r="K578" s="81" t="s">
        <v>5982</v>
      </c>
      <c r="L578" s="81" t="s">
        <v>2392</v>
      </c>
      <c r="M578" s="81" t="s">
        <v>5982</v>
      </c>
      <c r="N578" s="81" t="s">
        <v>2231</v>
      </c>
      <c r="O578" s="81" t="s">
        <v>2187</v>
      </c>
      <c r="P578" s="81" t="s">
        <v>2187</v>
      </c>
      <c r="Q578" s="81" t="s">
        <v>43</v>
      </c>
      <c r="R578" s="81" t="s">
        <v>203</v>
      </c>
      <c r="S578" s="81" t="s">
        <v>203</v>
      </c>
      <c r="T578" s="81" t="s">
        <v>48</v>
      </c>
      <c r="U578" s="81" t="s">
        <v>48</v>
      </c>
      <c r="V578" s="81" t="s">
        <v>48</v>
      </c>
      <c r="W578" s="81" t="s">
        <v>49</v>
      </c>
      <c r="X578" s="81" t="s">
        <v>48</v>
      </c>
      <c r="Y578" s="81" t="s">
        <v>48</v>
      </c>
    </row>
    <row r="579" spans="1:25" x14ac:dyDescent="0.3">
      <c r="A579" s="16">
        <v>7501165010727</v>
      </c>
      <c r="B579" s="81" t="s">
        <v>43</v>
      </c>
      <c r="C579" s="81" t="s">
        <v>634</v>
      </c>
      <c r="D579" s="81" t="s">
        <v>45</v>
      </c>
      <c r="E579" s="81" t="s">
        <v>2457</v>
      </c>
      <c r="F579" s="81" t="s">
        <v>2458</v>
      </c>
      <c r="G579" s="81" t="s">
        <v>3132</v>
      </c>
      <c r="H579" s="81" t="s">
        <v>3133</v>
      </c>
      <c r="I579" s="81" t="s">
        <v>5679</v>
      </c>
      <c r="J579" s="81" t="s">
        <v>2186</v>
      </c>
      <c r="K579" s="81" t="s">
        <v>5679</v>
      </c>
      <c r="L579" s="81" t="s">
        <v>2392</v>
      </c>
      <c r="M579" s="81" t="s">
        <v>5679</v>
      </c>
      <c r="N579" s="81" t="s">
        <v>2231</v>
      </c>
      <c r="O579" s="81" t="s">
        <v>2187</v>
      </c>
      <c r="P579" s="81" t="s">
        <v>2187</v>
      </c>
      <c r="Q579" s="81" t="s">
        <v>43</v>
      </c>
      <c r="R579" s="81" t="s">
        <v>203</v>
      </c>
      <c r="S579" s="81" t="s">
        <v>203</v>
      </c>
      <c r="T579" s="81" t="s">
        <v>48</v>
      </c>
      <c r="U579" s="81" t="s">
        <v>48</v>
      </c>
      <c r="V579" s="81" t="s">
        <v>48</v>
      </c>
      <c r="W579" s="81" t="s">
        <v>49</v>
      </c>
      <c r="X579" s="81" t="s">
        <v>48</v>
      </c>
      <c r="Y579" s="81" t="s">
        <v>48</v>
      </c>
    </row>
    <row r="580" spans="1:25" x14ac:dyDescent="0.3">
      <c r="A580" s="16">
        <v>7501033956133</v>
      </c>
      <c r="B580" s="81" t="s">
        <v>43</v>
      </c>
      <c r="C580" s="81" t="s">
        <v>2136</v>
      </c>
      <c r="D580" s="81" t="s">
        <v>45</v>
      </c>
      <c r="E580" s="81" t="s">
        <v>2355</v>
      </c>
      <c r="F580" s="81" t="s">
        <v>2427</v>
      </c>
      <c r="G580" s="81" t="s">
        <v>4743</v>
      </c>
      <c r="H580" s="81" t="s">
        <v>3134</v>
      </c>
      <c r="I580" s="81" t="s">
        <v>5983</v>
      </c>
      <c r="J580" s="81" t="s">
        <v>2186</v>
      </c>
      <c r="K580" s="81" t="s">
        <v>5983</v>
      </c>
      <c r="L580" s="81" t="s">
        <v>2392</v>
      </c>
      <c r="M580" s="81" t="s">
        <v>5983</v>
      </c>
      <c r="N580" s="81" t="s">
        <v>2231</v>
      </c>
      <c r="O580" s="81" t="s">
        <v>2187</v>
      </c>
      <c r="P580" s="81" t="s">
        <v>2187</v>
      </c>
      <c r="Q580" s="81" t="s">
        <v>43</v>
      </c>
      <c r="R580" s="81" t="s">
        <v>506</v>
      </c>
      <c r="S580" s="81" t="s">
        <v>506</v>
      </c>
      <c r="T580" s="81" t="s">
        <v>48</v>
      </c>
      <c r="U580" s="81" t="s">
        <v>48</v>
      </c>
      <c r="V580" s="81" t="s">
        <v>49</v>
      </c>
      <c r="W580" s="81" t="s">
        <v>48</v>
      </c>
      <c r="X580" s="81" t="s">
        <v>48</v>
      </c>
      <c r="Y580" s="81" t="s">
        <v>48</v>
      </c>
    </row>
    <row r="581" spans="1:25" x14ac:dyDescent="0.3">
      <c r="A581" s="16">
        <v>7501033954085</v>
      </c>
      <c r="B581" s="81" t="s">
        <v>43</v>
      </c>
      <c r="C581" s="81" t="s">
        <v>635</v>
      </c>
      <c r="D581" s="81" t="s">
        <v>45</v>
      </c>
      <c r="E581" s="81" t="s">
        <v>2374</v>
      </c>
      <c r="F581" s="81" t="s">
        <v>3136</v>
      </c>
      <c r="G581" s="81" t="s">
        <v>5105</v>
      </c>
      <c r="H581" s="81" t="s">
        <v>3287</v>
      </c>
      <c r="I581" s="81" t="s">
        <v>5984</v>
      </c>
      <c r="J581" s="81" t="s">
        <v>2186</v>
      </c>
      <c r="K581" s="81" t="s">
        <v>5984</v>
      </c>
      <c r="L581" s="81" t="s">
        <v>2392</v>
      </c>
      <c r="M581" s="81" t="s">
        <v>5984</v>
      </c>
      <c r="N581" s="81" t="s">
        <v>2231</v>
      </c>
      <c r="O581" s="81" t="s">
        <v>2187</v>
      </c>
      <c r="P581" s="81" t="s">
        <v>2187</v>
      </c>
      <c r="Q581" s="81" t="s">
        <v>43</v>
      </c>
      <c r="R581" s="81" t="s">
        <v>506</v>
      </c>
      <c r="S581" s="81" t="s">
        <v>506</v>
      </c>
      <c r="T581" s="81" t="s">
        <v>48</v>
      </c>
      <c r="U581" s="81" t="s">
        <v>48</v>
      </c>
      <c r="V581" s="81" t="s">
        <v>49</v>
      </c>
      <c r="W581" s="81" t="s">
        <v>48</v>
      </c>
      <c r="X581" s="81" t="s">
        <v>48</v>
      </c>
      <c r="Y581" s="81" t="s">
        <v>48</v>
      </c>
    </row>
    <row r="582" spans="1:25" x14ac:dyDescent="0.3">
      <c r="A582" s="16">
        <v>7501165000230</v>
      </c>
      <c r="B582" s="81" t="s">
        <v>43</v>
      </c>
      <c r="C582" s="81" t="s">
        <v>636</v>
      </c>
      <c r="D582" s="81" t="s">
        <v>45</v>
      </c>
      <c r="E582" s="81" t="s">
        <v>2481</v>
      </c>
      <c r="F582" s="81" t="s">
        <v>2679</v>
      </c>
      <c r="G582" s="81" t="s">
        <v>4904</v>
      </c>
      <c r="H582" s="81" t="s">
        <v>2480</v>
      </c>
      <c r="I582" s="81" t="s">
        <v>5902</v>
      </c>
      <c r="J582" s="81" t="s">
        <v>2186</v>
      </c>
      <c r="K582" s="81" t="s">
        <v>5902</v>
      </c>
      <c r="L582" s="81" t="s">
        <v>2392</v>
      </c>
      <c r="M582" s="81" t="s">
        <v>5902</v>
      </c>
      <c r="N582" s="81" t="s">
        <v>2231</v>
      </c>
      <c r="O582" s="81" t="s">
        <v>2187</v>
      </c>
      <c r="P582" s="81" t="s">
        <v>2187</v>
      </c>
      <c r="Q582" s="81" t="s">
        <v>43</v>
      </c>
      <c r="R582" s="81" t="s">
        <v>203</v>
      </c>
      <c r="S582" s="81" t="s">
        <v>47</v>
      </c>
      <c r="T582" s="81" t="s">
        <v>48</v>
      </c>
      <c r="U582" s="81" t="s">
        <v>48</v>
      </c>
      <c r="V582" s="81" t="s">
        <v>48</v>
      </c>
      <c r="W582" s="81" t="s">
        <v>49</v>
      </c>
      <c r="X582" s="81" t="s">
        <v>48</v>
      </c>
      <c r="Y582" s="81" t="s">
        <v>48</v>
      </c>
    </row>
    <row r="583" spans="1:25" x14ac:dyDescent="0.3">
      <c r="A583" s="16">
        <v>7501326004176</v>
      </c>
      <c r="B583" s="81" t="s">
        <v>43</v>
      </c>
      <c r="C583" s="81" t="s">
        <v>637</v>
      </c>
      <c r="D583" s="81" t="s">
        <v>45</v>
      </c>
      <c r="E583" s="81" t="s">
        <v>2308</v>
      </c>
      <c r="F583" s="81" t="s">
        <v>2179</v>
      </c>
      <c r="G583" s="81" t="s">
        <v>3137</v>
      </c>
      <c r="H583" s="81" t="s">
        <v>2932</v>
      </c>
      <c r="I583" s="81" t="s">
        <v>3138</v>
      </c>
      <c r="J583" s="81" t="s">
        <v>2186</v>
      </c>
      <c r="K583" s="81" t="s">
        <v>3139</v>
      </c>
      <c r="L583" s="81" t="s">
        <v>2392</v>
      </c>
      <c r="M583" s="81" t="s">
        <v>3140</v>
      </c>
      <c r="N583" s="81" t="s">
        <v>2231</v>
      </c>
      <c r="O583" s="81" t="s">
        <v>2187</v>
      </c>
      <c r="P583" s="81" t="s">
        <v>2187</v>
      </c>
      <c r="Q583" s="81" t="s">
        <v>43</v>
      </c>
      <c r="R583" s="81" t="s">
        <v>374</v>
      </c>
      <c r="S583" s="81" t="s">
        <v>374</v>
      </c>
      <c r="T583" s="81" t="s">
        <v>48</v>
      </c>
      <c r="U583" s="81" t="s">
        <v>48</v>
      </c>
      <c r="V583" s="81" t="s">
        <v>48</v>
      </c>
      <c r="W583" s="81" t="s">
        <v>49</v>
      </c>
      <c r="X583" s="81" t="s">
        <v>48</v>
      </c>
      <c r="Y583" s="81" t="s">
        <v>48</v>
      </c>
    </row>
    <row r="584" spans="1:25" x14ac:dyDescent="0.3">
      <c r="A584" s="16">
        <v>7502227426715</v>
      </c>
      <c r="B584" s="81" t="s">
        <v>43</v>
      </c>
      <c r="C584" s="81" t="s">
        <v>638</v>
      </c>
      <c r="D584" s="81" t="s">
        <v>45</v>
      </c>
      <c r="E584" s="81" t="s">
        <v>3141</v>
      </c>
      <c r="F584" s="81" t="s">
        <v>3142</v>
      </c>
      <c r="G584" s="81" t="s">
        <v>5331</v>
      </c>
      <c r="H584" s="81" t="s">
        <v>2259</v>
      </c>
      <c r="I584" s="81" t="s">
        <v>5531</v>
      </c>
      <c r="J584" s="81" t="s">
        <v>2186</v>
      </c>
      <c r="K584" s="81" t="s">
        <v>5531</v>
      </c>
      <c r="L584" s="81" t="s">
        <v>2392</v>
      </c>
      <c r="M584" s="81" t="s">
        <v>5531</v>
      </c>
      <c r="N584" s="81" t="s">
        <v>2231</v>
      </c>
      <c r="O584" s="81" t="s">
        <v>2187</v>
      </c>
      <c r="P584" s="81" t="s">
        <v>2187</v>
      </c>
      <c r="Q584" s="81" t="s">
        <v>43</v>
      </c>
      <c r="R584" s="81" t="s">
        <v>46</v>
      </c>
      <c r="S584" s="81" t="s">
        <v>46</v>
      </c>
      <c r="T584" s="81" t="s">
        <v>48</v>
      </c>
      <c r="U584" s="81" t="s">
        <v>48</v>
      </c>
      <c r="V584" s="81" t="s">
        <v>48</v>
      </c>
      <c r="W584" s="81" t="s">
        <v>49</v>
      </c>
      <c r="X584" s="81" t="s">
        <v>48</v>
      </c>
      <c r="Y584" s="81" t="s">
        <v>48</v>
      </c>
    </row>
    <row r="585" spans="1:25" x14ac:dyDescent="0.3">
      <c r="A585" s="16">
        <v>7502224227360</v>
      </c>
      <c r="B585" s="81" t="s">
        <v>43</v>
      </c>
      <c r="C585" s="81" t="s">
        <v>639</v>
      </c>
      <c r="D585" s="81" t="s">
        <v>45</v>
      </c>
      <c r="E585" s="81" t="s">
        <v>2368</v>
      </c>
      <c r="F585" s="81" t="s">
        <v>2308</v>
      </c>
      <c r="G585" s="81" t="s">
        <v>3143</v>
      </c>
      <c r="H585" s="81" t="s">
        <v>3144</v>
      </c>
      <c r="I585" s="81" t="s">
        <v>5985</v>
      </c>
      <c r="J585" s="81" t="s">
        <v>2186</v>
      </c>
      <c r="K585" s="81" t="s">
        <v>5985</v>
      </c>
      <c r="L585" s="81" t="s">
        <v>2392</v>
      </c>
      <c r="M585" s="81" t="s">
        <v>5985</v>
      </c>
      <c r="N585" s="81" t="s">
        <v>2231</v>
      </c>
      <c r="O585" s="81" t="s">
        <v>2187</v>
      </c>
      <c r="P585" s="81" t="s">
        <v>2187</v>
      </c>
      <c r="Q585" s="81" t="s">
        <v>43</v>
      </c>
      <c r="R585" s="81" t="s">
        <v>203</v>
      </c>
      <c r="S585" s="81" t="s">
        <v>203</v>
      </c>
      <c r="T585" s="81" t="s">
        <v>48</v>
      </c>
      <c r="U585" s="81" t="s">
        <v>48</v>
      </c>
      <c r="V585" s="81" t="s">
        <v>48</v>
      </c>
      <c r="W585" s="81" t="s">
        <v>49</v>
      </c>
      <c r="X585" s="81" t="s">
        <v>48</v>
      </c>
      <c r="Y585" s="81" t="s">
        <v>48</v>
      </c>
    </row>
    <row r="586" spans="1:25" x14ac:dyDescent="0.3">
      <c r="A586" s="16">
        <v>637420440828</v>
      </c>
      <c r="B586" s="81" t="s">
        <v>43</v>
      </c>
      <c r="C586" s="81" t="s">
        <v>3145</v>
      </c>
      <c r="D586" s="81" t="s">
        <v>45</v>
      </c>
      <c r="E586" s="81" t="s">
        <v>3146</v>
      </c>
      <c r="F586" s="81" t="s">
        <v>3147</v>
      </c>
      <c r="G586" s="81" t="s">
        <v>4951</v>
      </c>
      <c r="H586" s="81" t="s">
        <v>5986</v>
      </c>
      <c r="I586" s="81" t="s">
        <v>5987</v>
      </c>
      <c r="J586" s="81" t="s">
        <v>2186</v>
      </c>
      <c r="K586" s="81" t="s">
        <v>5987</v>
      </c>
      <c r="L586" s="81" t="s">
        <v>2392</v>
      </c>
      <c r="M586" s="81" t="s">
        <v>5987</v>
      </c>
      <c r="N586" s="81" t="s">
        <v>2231</v>
      </c>
      <c r="O586" s="81" t="s">
        <v>2187</v>
      </c>
      <c r="P586" s="81" t="s">
        <v>2187</v>
      </c>
      <c r="Q586" s="81" t="s">
        <v>43</v>
      </c>
      <c r="R586" s="81" t="s">
        <v>46</v>
      </c>
      <c r="S586" s="81" t="s">
        <v>46</v>
      </c>
      <c r="T586" s="81" t="s">
        <v>48</v>
      </c>
      <c r="U586" s="81" t="s">
        <v>48</v>
      </c>
      <c r="V586" s="81" t="s">
        <v>48</v>
      </c>
      <c r="W586" s="81" t="s">
        <v>49</v>
      </c>
      <c r="X586" s="81" t="s">
        <v>48</v>
      </c>
      <c r="Y586" s="81" t="s">
        <v>48</v>
      </c>
    </row>
    <row r="587" spans="1:25" x14ac:dyDescent="0.3">
      <c r="A587" s="16">
        <v>637420440835</v>
      </c>
      <c r="B587" s="81" t="s">
        <v>43</v>
      </c>
      <c r="C587" s="81" t="s">
        <v>1942</v>
      </c>
      <c r="D587" s="81" t="s">
        <v>45</v>
      </c>
      <c r="E587" s="81" t="s">
        <v>3149</v>
      </c>
      <c r="F587" s="81" t="s">
        <v>3150</v>
      </c>
      <c r="G587" s="81" t="s">
        <v>4952</v>
      </c>
      <c r="H587" s="81" t="s">
        <v>2259</v>
      </c>
      <c r="I587" s="81" t="s">
        <v>5988</v>
      </c>
      <c r="J587" s="81" t="s">
        <v>2186</v>
      </c>
      <c r="K587" s="81" t="s">
        <v>5988</v>
      </c>
      <c r="L587" s="81" t="s">
        <v>2392</v>
      </c>
      <c r="M587" s="81" t="s">
        <v>5988</v>
      </c>
      <c r="N587" s="81" t="s">
        <v>2231</v>
      </c>
      <c r="O587" s="81" t="s">
        <v>2187</v>
      </c>
      <c r="P587" s="81" t="s">
        <v>2187</v>
      </c>
      <c r="Q587" s="81" t="s">
        <v>43</v>
      </c>
      <c r="R587" s="81" t="s">
        <v>46</v>
      </c>
      <c r="S587" s="81" t="s">
        <v>46</v>
      </c>
      <c r="T587" s="81" t="s">
        <v>48</v>
      </c>
      <c r="U587" s="81" t="s">
        <v>48</v>
      </c>
      <c r="V587" s="81" t="s">
        <v>48</v>
      </c>
      <c r="W587" s="81" t="s">
        <v>49</v>
      </c>
      <c r="X587" s="81" t="s">
        <v>48</v>
      </c>
      <c r="Y587" s="81" t="s">
        <v>48</v>
      </c>
    </row>
    <row r="588" spans="1:25" x14ac:dyDescent="0.3">
      <c r="A588" s="16">
        <v>7501165011786</v>
      </c>
      <c r="B588" s="81" t="s">
        <v>43</v>
      </c>
      <c r="C588" s="81" t="s">
        <v>640</v>
      </c>
      <c r="D588" s="81" t="s">
        <v>45</v>
      </c>
      <c r="E588" s="81" t="s">
        <v>2465</v>
      </c>
      <c r="F588" s="81" t="s">
        <v>2210</v>
      </c>
      <c r="G588" s="81" t="s">
        <v>3151</v>
      </c>
      <c r="H588" s="81" t="s">
        <v>2667</v>
      </c>
      <c r="I588" s="81" t="s">
        <v>5989</v>
      </c>
      <c r="J588" s="81" t="s">
        <v>2186</v>
      </c>
      <c r="K588" s="81" t="s">
        <v>5989</v>
      </c>
      <c r="L588" s="81" t="s">
        <v>2392</v>
      </c>
      <c r="M588" s="81" t="s">
        <v>5989</v>
      </c>
      <c r="N588" s="81" t="s">
        <v>2231</v>
      </c>
      <c r="O588" s="81" t="s">
        <v>2187</v>
      </c>
      <c r="P588" s="81" t="s">
        <v>2187</v>
      </c>
      <c r="Q588" s="81" t="s">
        <v>43</v>
      </c>
      <c r="R588" s="81" t="s">
        <v>203</v>
      </c>
      <c r="S588" s="81" t="s">
        <v>203</v>
      </c>
      <c r="T588" s="81" t="s">
        <v>48</v>
      </c>
      <c r="U588" s="81" t="s">
        <v>48</v>
      </c>
      <c r="V588" s="81" t="s">
        <v>48</v>
      </c>
      <c r="W588" s="81" t="s">
        <v>49</v>
      </c>
      <c r="X588" s="81" t="s">
        <v>48</v>
      </c>
      <c r="Y588" s="81" t="s">
        <v>48</v>
      </c>
    </row>
    <row r="589" spans="1:25" x14ac:dyDescent="0.3">
      <c r="A589" s="16">
        <v>7501033956126</v>
      </c>
      <c r="B589" s="81" t="s">
        <v>43</v>
      </c>
      <c r="C589" s="81" t="s">
        <v>1943</v>
      </c>
      <c r="D589" s="81" t="s">
        <v>45</v>
      </c>
      <c r="E589" s="81" t="s">
        <v>2363</v>
      </c>
      <c r="F589" s="81" t="s">
        <v>2364</v>
      </c>
      <c r="G589" s="81" t="s">
        <v>2505</v>
      </c>
      <c r="H589" s="81" t="s">
        <v>5990</v>
      </c>
      <c r="I589" s="81" t="s">
        <v>5991</v>
      </c>
      <c r="J589" s="81" t="s">
        <v>2186</v>
      </c>
      <c r="K589" s="81" t="s">
        <v>5991</v>
      </c>
      <c r="L589" s="81" t="s">
        <v>2392</v>
      </c>
      <c r="M589" s="81" t="s">
        <v>5991</v>
      </c>
      <c r="N589" s="81" t="s">
        <v>2231</v>
      </c>
      <c r="O589" s="81" t="s">
        <v>2187</v>
      </c>
      <c r="P589" s="81" t="s">
        <v>2187</v>
      </c>
      <c r="Q589" s="81" t="s">
        <v>43</v>
      </c>
      <c r="R589" s="81" t="s">
        <v>506</v>
      </c>
      <c r="S589" s="81" t="s">
        <v>506</v>
      </c>
      <c r="T589" s="81" t="s">
        <v>48</v>
      </c>
      <c r="U589" s="81" t="s">
        <v>48</v>
      </c>
      <c r="V589" s="81" t="s">
        <v>49</v>
      </c>
      <c r="W589" s="81" t="s">
        <v>48</v>
      </c>
      <c r="X589" s="81" t="s">
        <v>48</v>
      </c>
      <c r="Y589" s="81" t="s">
        <v>48</v>
      </c>
    </row>
    <row r="590" spans="1:25" x14ac:dyDescent="0.3">
      <c r="A590" s="16">
        <v>7501298215099</v>
      </c>
      <c r="B590" s="81" t="s">
        <v>43</v>
      </c>
      <c r="C590" s="81" t="s">
        <v>1944</v>
      </c>
      <c r="D590" s="81" t="s">
        <v>45</v>
      </c>
      <c r="E590" s="81" t="s">
        <v>2227</v>
      </c>
      <c r="F590" s="81" t="s">
        <v>2227</v>
      </c>
      <c r="G590" s="81" t="s">
        <v>4363</v>
      </c>
      <c r="H590" s="81" t="s">
        <v>2981</v>
      </c>
      <c r="I590" s="81" t="s">
        <v>5992</v>
      </c>
      <c r="J590" s="81" t="s">
        <v>2186</v>
      </c>
      <c r="K590" s="81" t="s">
        <v>5992</v>
      </c>
      <c r="L590" s="81" t="s">
        <v>2392</v>
      </c>
      <c r="M590" s="81" t="s">
        <v>5992</v>
      </c>
      <c r="N590" s="81" t="s">
        <v>2231</v>
      </c>
      <c r="O590" s="81" t="s">
        <v>2187</v>
      </c>
      <c r="P590" s="81" t="s">
        <v>2187</v>
      </c>
      <c r="Q590" s="81" t="s">
        <v>43</v>
      </c>
      <c r="R590" s="81" t="s">
        <v>203</v>
      </c>
      <c r="S590" s="81" t="s">
        <v>203</v>
      </c>
      <c r="T590" s="81" t="s">
        <v>48</v>
      </c>
      <c r="U590" s="81" t="s">
        <v>48</v>
      </c>
      <c r="V590" s="81" t="s">
        <v>48</v>
      </c>
      <c r="W590" s="81" t="s">
        <v>49</v>
      </c>
      <c r="X590" s="81" t="s">
        <v>48</v>
      </c>
      <c r="Y590" s="81" t="s">
        <v>48</v>
      </c>
    </row>
    <row r="591" spans="1:25" x14ac:dyDescent="0.3">
      <c r="A591" s="16">
        <v>7502009741326</v>
      </c>
      <c r="B591" s="81" t="s">
        <v>43</v>
      </c>
      <c r="C591" s="81" t="s">
        <v>3152</v>
      </c>
      <c r="D591" s="81" t="s">
        <v>45</v>
      </c>
      <c r="E591" s="81" t="s">
        <v>2316</v>
      </c>
      <c r="F591" s="81" t="s">
        <v>2332</v>
      </c>
      <c r="G591" s="81" t="s">
        <v>5110</v>
      </c>
      <c r="H591" s="81" t="s">
        <v>2365</v>
      </c>
      <c r="I591" s="81" t="s">
        <v>5993</v>
      </c>
      <c r="J591" s="81" t="s">
        <v>2186</v>
      </c>
      <c r="K591" s="81" t="s">
        <v>5993</v>
      </c>
      <c r="L591" s="81" t="s">
        <v>2392</v>
      </c>
      <c r="M591" s="81" t="s">
        <v>5993</v>
      </c>
      <c r="N591" s="81" t="s">
        <v>2231</v>
      </c>
      <c r="O591" s="81" t="s">
        <v>2187</v>
      </c>
      <c r="P591" s="81" t="s">
        <v>2187</v>
      </c>
      <c r="Q591" s="81" t="s">
        <v>43</v>
      </c>
      <c r="R591" s="81" t="s">
        <v>46</v>
      </c>
      <c r="S591" s="81" t="s">
        <v>73</v>
      </c>
      <c r="T591" s="81" t="s">
        <v>48</v>
      </c>
      <c r="U591" s="81" t="s">
        <v>48</v>
      </c>
      <c r="V591" s="81" t="s">
        <v>48</v>
      </c>
      <c r="W591" s="81" t="s">
        <v>49</v>
      </c>
      <c r="X591" s="81" t="s">
        <v>48</v>
      </c>
      <c r="Y591" s="81" t="s">
        <v>48</v>
      </c>
    </row>
    <row r="592" spans="1:25" x14ac:dyDescent="0.3">
      <c r="A592" s="16">
        <v>7501130713158</v>
      </c>
      <c r="B592" s="81" t="s">
        <v>43</v>
      </c>
      <c r="C592" s="81" t="s">
        <v>1945</v>
      </c>
      <c r="D592" s="81" t="s">
        <v>45</v>
      </c>
      <c r="E592" s="81" t="s">
        <v>2362</v>
      </c>
      <c r="F592" s="81" t="s">
        <v>2274</v>
      </c>
      <c r="G592" s="81" t="s">
        <v>5023</v>
      </c>
      <c r="H592" s="81" t="s">
        <v>2535</v>
      </c>
      <c r="I592" s="81" t="s">
        <v>5994</v>
      </c>
      <c r="J592" s="81" t="s">
        <v>2186</v>
      </c>
      <c r="K592" s="81" t="s">
        <v>5994</v>
      </c>
      <c r="L592" s="81" t="s">
        <v>2392</v>
      </c>
      <c r="M592" s="81" t="s">
        <v>5994</v>
      </c>
      <c r="N592" s="81" t="s">
        <v>2231</v>
      </c>
      <c r="O592" s="81" t="s">
        <v>2187</v>
      </c>
      <c r="P592" s="81" t="s">
        <v>2187</v>
      </c>
      <c r="Q592" s="81" t="s">
        <v>43</v>
      </c>
      <c r="R592" s="81" t="s">
        <v>46</v>
      </c>
      <c r="S592" s="81" t="s">
        <v>46</v>
      </c>
      <c r="T592" s="81" t="s">
        <v>48</v>
      </c>
      <c r="U592" s="81" t="s">
        <v>48</v>
      </c>
      <c r="V592" s="81" t="s">
        <v>48</v>
      </c>
      <c r="W592" s="81" t="s">
        <v>49</v>
      </c>
      <c r="X592" s="81" t="s">
        <v>48</v>
      </c>
      <c r="Y592" s="81" t="s">
        <v>48</v>
      </c>
    </row>
    <row r="593" spans="1:25" x14ac:dyDescent="0.3">
      <c r="A593" s="16">
        <v>7502211784036</v>
      </c>
      <c r="B593" s="81" t="s">
        <v>43</v>
      </c>
      <c r="C593" s="81" t="s">
        <v>641</v>
      </c>
      <c r="D593" s="81" t="s">
        <v>45</v>
      </c>
      <c r="E593" s="81" t="s">
        <v>2433</v>
      </c>
      <c r="F593" s="81" t="s">
        <v>3002</v>
      </c>
      <c r="G593" s="81" t="s">
        <v>5396</v>
      </c>
      <c r="H593" s="81" t="s">
        <v>2193</v>
      </c>
      <c r="I593" s="81" t="s">
        <v>5995</v>
      </c>
      <c r="J593" s="81" t="s">
        <v>2186</v>
      </c>
      <c r="K593" s="81" t="s">
        <v>5995</v>
      </c>
      <c r="L593" s="81" t="s">
        <v>2392</v>
      </c>
      <c r="M593" s="81" t="s">
        <v>5995</v>
      </c>
      <c r="N593" s="81" t="s">
        <v>2231</v>
      </c>
      <c r="O593" s="81" t="s">
        <v>2187</v>
      </c>
      <c r="P593" s="81" t="s">
        <v>2187</v>
      </c>
      <c r="Q593" s="81" t="s">
        <v>43</v>
      </c>
      <c r="R593" s="81" t="s">
        <v>46</v>
      </c>
      <c r="S593" s="81" t="s">
        <v>47</v>
      </c>
      <c r="T593" s="81" t="s">
        <v>48</v>
      </c>
      <c r="U593" s="81" t="s">
        <v>48</v>
      </c>
      <c r="V593" s="81" t="s">
        <v>48</v>
      </c>
      <c r="W593" s="81" t="s">
        <v>49</v>
      </c>
      <c r="X593" s="81" t="s">
        <v>48</v>
      </c>
      <c r="Y593" s="81" t="s">
        <v>48</v>
      </c>
    </row>
    <row r="594" spans="1:25" x14ac:dyDescent="0.3">
      <c r="A594" s="16">
        <v>7501124815851</v>
      </c>
      <c r="B594" s="81" t="s">
        <v>43</v>
      </c>
      <c r="C594" s="81" t="s">
        <v>642</v>
      </c>
      <c r="D594" s="81" t="s">
        <v>45</v>
      </c>
      <c r="E594" s="81" t="s">
        <v>2179</v>
      </c>
      <c r="F594" s="81" t="s">
        <v>2191</v>
      </c>
      <c r="G594" s="81" t="s">
        <v>3153</v>
      </c>
      <c r="H594" s="81" t="s">
        <v>3154</v>
      </c>
      <c r="I594" s="81" t="s">
        <v>5996</v>
      </c>
      <c r="J594" s="81" t="s">
        <v>2186</v>
      </c>
      <c r="K594" s="81" t="s">
        <v>5996</v>
      </c>
      <c r="L594" s="81" t="s">
        <v>2392</v>
      </c>
      <c r="M594" s="81" t="s">
        <v>5996</v>
      </c>
      <c r="N594" s="81" t="s">
        <v>2231</v>
      </c>
      <c r="O594" s="81" t="s">
        <v>2187</v>
      </c>
      <c r="P594" s="81" t="s">
        <v>2187</v>
      </c>
      <c r="Q594" s="81" t="s">
        <v>43</v>
      </c>
      <c r="R594" s="81" t="s">
        <v>374</v>
      </c>
      <c r="S594" s="81" t="s">
        <v>374</v>
      </c>
      <c r="T594" s="81" t="s">
        <v>48</v>
      </c>
      <c r="U594" s="81" t="s">
        <v>48</v>
      </c>
      <c r="V594" s="81" t="s">
        <v>48</v>
      </c>
      <c r="W594" s="81" t="s">
        <v>49</v>
      </c>
      <c r="X594" s="81" t="s">
        <v>48</v>
      </c>
      <c r="Y594" s="81" t="s">
        <v>48</v>
      </c>
    </row>
    <row r="595" spans="1:25" x14ac:dyDescent="0.3">
      <c r="A595" s="16">
        <v>637420223803</v>
      </c>
      <c r="B595" s="81" t="s">
        <v>43</v>
      </c>
      <c r="C595" s="81" t="s">
        <v>643</v>
      </c>
      <c r="D595" s="81" t="s">
        <v>45</v>
      </c>
      <c r="E595" s="81" t="s">
        <v>2457</v>
      </c>
      <c r="F595" s="81" t="s">
        <v>2458</v>
      </c>
      <c r="G595" s="81" t="s">
        <v>5072</v>
      </c>
      <c r="H595" s="81" t="s">
        <v>3192</v>
      </c>
      <c r="I595" s="81" t="s">
        <v>5997</v>
      </c>
      <c r="J595" s="81" t="s">
        <v>2186</v>
      </c>
      <c r="K595" s="81" t="s">
        <v>5997</v>
      </c>
      <c r="L595" s="81" t="s">
        <v>2392</v>
      </c>
      <c r="M595" s="81" t="s">
        <v>5997</v>
      </c>
      <c r="N595" s="81" t="s">
        <v>2231</v>
      </c>
      <c r="O595" s="81" t="s">
        <v>2187</v>
      </c>
      <c r="P595" s="81" t="s">
        <v>2187</v>
      </c>
      <c r="Q595" s="81" t="s">
        <v>43</v>
      </c>
      <c r="R595" s="81" t="s">
        <v>46</v>
      </c>
      <c r="S595" s="81" t="s">
        <v>46</v>
      </c>
      <c r="T595" s="81" t="s">
        <v>48</v>
      </c>
      <c r="U595" s="81" t="s">
        <v>48</v>
      </c>
      <c r="V595" s="81" t="s">
        <v>49</v>
      </c>
      <c r="W595" s="81" t="s">
        <v>48</v>
      </c>
      <c r="X595" s="81" t="s">
        <v>48</v>
      </c>
      <c r="Y595" s="81" t="s">
        <v>48</v>
      </c>
    </row>
    <row r="596" spans="1:25" x14ac:dyDescent="0.3">
      <c r="A596" s="16">
        <v>7502009746222</v>
      </c>
      <c r="B596" s="81" t="s">
        <v>43</v>
      </c>
      <c r="C596" s="81" t="s">
        <v>644</v>
      </c>
      <c r="D596" s="81" t="s">
        <v>45</v>
      </c>
      <c r="E596" s="81" t="s">
        <v>2227</v>
      </c>
      <c r="F596" s="81" t="s">
        <v>2227</v>
      </c>
      <c r="G596" s="81" t="s">
        <v>5111</v>
      </c>
      <c r="H596" s="81" t="s">
        <v>3157</v>
      </c>
      <c r="I596" s="81" t="s">
        <v>2699</v>
      </c>
      <c r="J596" s="81" t="s">
        <v>2186</v>
      </c>
      <c r="K596" s="81" t="s">
        <v>2206</v>
      </c>
      <c r="L596" s="81" t="s">
        <v>2392</v>
      </c>
      <c r="M596" s="81" t="s">
        <v>2482</v>
      </c>
      <c r="N596" s="81" t="s">
        <v>2231</v>
      </c>
      <c r="O596" s="81" t="s">
        <v>2187</v>
      </c>
      <c r="P596" s="81" t="s">
        <v>2187</v>
      </c>
      <c r="Q596" s="81" t="s">
        <v>43</v>
      </c>
      <c r="R596" s="81" t="s">
        <v>46</v>
      </c>
      <c r="S596" s="81" t="s">
        <v>46</v>
      </c>
      <c r="T596" s="81" t="s">
        <v>48</v>
      </c>
      <c r="U596" s="81" t="s">
        <v>48</v>
      </c>
      <c r="V596" s="81" t="s">
        <v>48</v>
      </c>
      <c r="W596" s="81" t="s">
        <v>49</v>
      </c>
      <c r="X596" s="81" t="s">
        <v>48</v>
      </c>
      <c r="Y596" s="81" t="s">
        <v>48</v>
      </c>
    </row>
    <row r="597" spans="1:25" x14ac:dyDescent="0.3">
      <c r="A597" s="16">
        <v>7502216931220</v>
      </c>
      <c r="B597" s="81" t="s">
        <v>43</v>
      </c>
      <c r="C597" s="81" t="s">
        <v>645</v>
      </c>
      <c r="D597" s="81" t="s">
        <v>45</v>
      </c>
      <c r="E597" s="81" t="s">
        <v>2620</v>
      </c>
      <c r="F597" s="81" t="s">
        <v>2362</v>
      </c>
      <c r="G597" s="81" t="s">
        <v>3158</v>
      </c>
      <c r="H597" s="81" t="s">
        <v>5998</v>
      </c>
      <c r="I597" s="81" t="s">
        <v>5999</v>
      </c>
      <c r="J597" s="81" t="s">
        <v>2186</v>
      </c>
      <c r="K597" s="81" t="s">
        <v>5999</v>
      </c>
      <c r="L597" s="81" t="s">
        <v>2392</v>
      </c>
      <c r="M597" s="81" t="s">
        <v>5999</v>
      </c>
      <c r="N597" s="81" t="s">
        <v>2231</v>
      </c>
      <c r="O597" s="81" t="s">
        <v>2187</v>
      </c>
      <c r="P597" s="81" t="s">
        <v>2187</v>
      </c>
      <c r="Q597" s="81" t="s">
        <v>43</v>
      </c>
      <c r="R597" s="81" t="s">
        <v>46</v>
      </c>
      <c r="S597" s="81" t="s">
        <v>47</v>
      </c>
      <c r="T597" s="81" t="s">
        <v>48</v>
      </c>
      <c r="U597" s="81" t="s">
        <v>48</v>
      </c>
      <c r="V597" s="81" t="s">
        <v>48</v>
      </c>
      <c r="W597" s="81" t="s">
        <v>49</v>
      </c>
      <c r="X597" s="81" t="s">
        <v>48</v>
      </c>
      <c r="Y597" s="81" t="s">
        <v>48</v>
      </c>
    </row>
    <row r="598" spans="1:25" x14ac:dyDescent="0.3">
      <c r="A598" s="16">
        <v>7501075717914</v>
      </c>
      <c r="B598" s="81" t="s">
        <v>43</v>
      </c>
      <c r="C598" s="81" t="s">
        <v>1946</v>
      </c>
      <c r="D598" s="81" t="s">
        <v>45</v>
      </c>
      <c r="E598" s="81" t="s">
        <v>2494</v>
      </c>
      <c r="F598" s="81" t="s">
        <v>2574</v>
      </c>
      <c r="G598" s="81" t="s">
        <v>2403</v>
      </c>
      <c r="H598" s="81" t="s">
        <v>2243</v>
      </c>
      <c r="I598" s="81" t="s">
        <v>5662</v>
      </c>
      <c r="J598" s="81" t="s">
        <v>2186</v>
      </c>
      <c r="K598" s="81" t="s">
        <v>5662</v>
      </c>
      <c r="L598" s="81" t="s">
        <v>2392</v>
      </c>
      <c r="M598" s="81" t="s">
        <v>5662</v>
      </c>
      <c r="N598" s="81" t="s">
        <v>2231</v>
      </c>
      <c r="O598" s="81" t="s">
        <v>2187</v>
      </c>
      <c r="P598" s="81" t="s">
        <v>2187</v>
      </c>
      <c r="Q598" s="81" t="s">
        <v>43</v>
      </c>
      <c r="R598" s="81" t="s">
        <v>46</v>
      </c>
      <c r="S598" s="81" t="s">
        <v>46</v>
      </c>
      <c r="T598" s="81" t="s">
        <v>48</v>
      </c>
      <c r="U598" s="81" t="s">
        <v>48</v>
      </c>
      <c r="V598" s="81" t="s">
        <v>48</v>
      </c>
      <c r="W598" s="81" t="s">
        <v>49</v>
      </c>
      <c r="X598" s="81" t="s">
        <v>48</v>
      </c>
      <c r="Y598" s="81" t="s">
        <v>48</v>
      </c>
    </row>
    <row r="599" spans="1:25" x14ac:dyDescent="0.3">
      <c r="A599" s="16">
        <v>7501033956140</v>
      </c>
      <c r="B599" s="81" t="s">
        <v>43</v>
      </c>
      <c r="C599" s="81" t="s">
        <v>1947</v>
      </c>
      <c r="D599" s="81" t="s">
        <v>45</v>
      </c>
      <c r="E599" s="81" t="s">
        <v>2369</v>
      </c>
      <c r="F599" s="81" t="s">
        <v>2357</v>
      </c>
      <c r="G599" s="81" t="s">
        <v>2505</v>
      </c>
      <c r="H599" s="81" t="s">
        <v>4577</v>
      </c>
      <c r="I599" s="81" t="s">
        <v>6000</v>
      </c>
      <c r="J599" s="81" t="s">
        <v>2186</v>
      </c>
      <c r="K599" s="81" t="s">
        <v>6000</v>
      </c>
      <c r="L599" s="81" t="s">
        <v>2392</v>
      </c>
      <c r="M599" s="81" t="s">
        <v>6000</v>
      </c>
      <c r="N599" s="81" t="s">
        <v>2231</v>
      </c>
      <c r="O599" s="81" t="s">
        <v>2187</v>
      </c>
      <c r="P599" s="81" t="s">
        <v>2187</v>
      </c>
      <c r="Q599" s="81" t="s">
        <v>43</v>
      </c>
      <c r="R599" s="81" t="s">
        <v>506</v>
      </c>
      <c r="S599" s="81" t="s">
        <v>506</v>
      </c>
      <c r="T599" s="81" t="s">
        <v>48</v>
      </c>
      <c r="U599" s="81" t="s">
        <v>48</v>
      </c>
      <c r="V599" s="81" t="s">
        <v>49</v>
      </c>
      <c r="W599" s="81" t="s">
        <v>48</v>
      </c>
      <c r="X599" s="81" t="s">
        <v>48</v>
      </c>
      <c r="Y599" s="81" t="s">
        <v>48</v>
      </c>
    </row>
    <row r="600" spans="1:25" x14ac:dyDescent="0.3">
      <c r="A600" s="16">
        <v>7502208894557</v>
      </c>
      <c r="B600" s="81" t="s">
        <v>43</v>
      </c>
      <c r="C600" s="81" t="s">
        <v>646</v>
      </c>
      <c r="D600" s="81" t="s">
        <v>45</v>
      </c>
      <c r="E600" s="81" t="s">
        <v>3163</v>
      </c>
      <c r="F600" s="81" t="s">
        <v>3164</v>
      </c>
      <c r="G600" s="81" t="s">
        <v>2811</v>
      </c>
      <c r="H600" s="81" t="s">
        <v>2243</v>
      </c>
      <c r="I600" s="81" t="s">
        <v>4578</v>
      </c>
      <c r="J600" s="81" t="s">
        <v>2186</v>
      </c>
      <c r="K600" s="81" t="s">
        <v>4578</v>
      </c>
      <c r="L600" s="81" t="s">
        <v>2392</v>
      </c>
      <c r="M600" s="81" t="s">
        <v>4578</v>
      </c>
      <c r="N600" s="81" t="s">
        <v>2231</v>
      </c>
      <c r="O600" s="81" t="s">
        <v>2187</v>
      </c>
      <c r="P600" s="81" t="s">
        <v>2187</v>
      </c>
      <c r="Q600" s="81" t="s">
        <v>43</v>
      </c>
      <c r="R600" s="81" t="s">
        <v>51</v>
      </c>
      <c r="S600" s="81" t="s">
        <v>73</v>
      </c>
      <c r="T600" s="81" t="s">
        <v>49</v>
      </c>
      <c r="U600" s="81" t="s">
        <v>48</v>
      </c>
      <c r="V600" s="81" t="s">
        <v>48</v>
      </c>
      <c r="W600" s="81" t="s">
        <v>49</v>
      </c>
      <c r="X600" s="81" t="s">
        <v>48</v>
      </c>
      <c r="Y600" s="81" t="s">
        <v>48</v>
      </c>
    </row>
    <row r="601" spans="1:25" x14ac:dyDescent="0.3">
      <c r="A601" s="16">
        <v>7501349024922</v>
      </c>
      <c r="B601" s="81" t="s">
        <v>43</v>
      </c>
      <c r="C601" s="81" t="s">
        <v>647</v>
      </c>
      <c r="D601" s="81" t="s">
        <v>45</v>
      </c>
      <c r="E601" s="81" t="s">
        <v>2210</v>
      </c>
      <c r="F601" s="81" t="s">
        <v>2211</v>
      </c>
      <c r="G601" s="81" t="s">
        <v>2452</v>
      </c>
      <c r="H601" s="81" t="s">
        <v>2209</v>
      </c>
      <c r="I601" s="81" t="s">
        <v>5844</v>
      </c>
      <c r="J601" s="81" t="s">
        <v>2186</v>
      </c>
      <c r="K601" s="81" t="s">
        <v>5844</v>
      </c>
      <c r="L601" s="81" t="s">
        <v>2392</v>
      </c>
      <c r="M601" s="81" t="s">
        <v>5844</v>
      </c>
      <c r="N601" s="81" t="s">
        <v>2231</v>
      </c>
      <c r="O601" s="81" t="s">
        <v>2187</v>
      </c>
      <c r="P601" s="81" t="s">
        <v>2187</v>
      </c>
      <c r="Q601" s="81" t="s">
        <v>43</v>
      </c>
      <c r="R601" s="81" t="s">
        <v>46</v>
      </c>
      <c r="S601" s="81" t="s">
        <v>47</v>
      </c>
      <c r="T601" s="81" t="s">
        <v>48</v>
      </c>
      <c r="U601" s="81" t="s">
        <v>48</v>
      </c>
      <c r="V601" s="81" t="s">
        <v>48</v>
      </c>
      <c r="W601" s="81" t="s">
        <v>49</v>
      </c>
      <c r="X601" s="81" t="s">
        <v>48</v>
      </c>
      <c r="Y601" s="81" t="s">
        <v>48</v>
      </c>
    </row>
    <row r="602" spans="1:25" x14ac:dyDescent="0.3">
      <c r="A602" s="16">
        <v>7501369200016</v>
      </c>
      <c r="B602" s="81" t="s">
        <v>43</v>
      </c>
      <c r="C602" s="81" t="s">
        <v>1816</v>
      </c>
      <c r="D602" s="81" t="s">
        <v>45</v>
      </c>
      <c r="E602" s="81" t="s">
        <v>2312</v>
      </c>
      <c r="F602" s="81" t="s">
        <v>2419</v>
      </c>
      <c r="G602" s="81" t="s">
        <v>5246</v>
      </c>
      <c r="H602" s="81" t="s">
        <v>2552</v>
      </c>
      <c r="I602" s="81" t="s">
        <v>6001</v>
      </c>
      <c r="J602" s="81" t="s">
        <v>2186</v>
      </c>
      <c r="K602" s="81" t="s">
        <v>6001</v>
      </c>
      <c r="L602" s="81" t="s">
        <v>2392</v>
      </c>
      <c r="M602" s="81" t="s">
        <v>6001</v>
      </c>
      <c r="N602" s="81" t="s">
        <v>2231</v>
      </c>
      <c r="O602" s="81" t="s">
        <v>2187</v>
      </c>
      <c r="P602" s="81" t="s">
        <v>2187</v>
      </c>
      <c r="Q602" s="81" t="s">
        <v>43</v>
      </c>
      <c r="R602" s="81" t="s">
        <v>203</v>
      </c>
      <c r="S602" s="81" t="s">
        <v>203</v>
      </c>
      <c r="T602" s="81" t="s">
        <v>48</v>
      </c>
      <c r="U602" s="81" t="s">
        <v>48</v>
      </c>
      <c r="V602" s="81" t="s">
        <v>48</v>
      </c>
      <c r="W602" s="81" t="s">
        <v>49</v>
      </c>
      <c r="X602" s="81" t="s">
        <v>48</v>
      </c>
      <c r="Y602" s="81" t="s">
        <v>48</v>
      </c>
    </row>
    <row r="603" spans="1:25" x14ac:dyDescent="0.3">
      <c r="A603" s="16">
        <v>7501349024366</v>
      </c>
      <c r="B603" s="81" t="s">
        <v>43</v>
      </c>
      <c r="C603" s="81" t="s">
        <v>648</v>
      </c>
      <c r="D603" s="81" t="s">
        <v>45</v>
      </c>
      <c r="E603" s="81" t="s">
        <v>2545</v>
      </c>
      <c r="F603" s="81" t="s">
        <v>2248</v>
      </c>
      <c r="G603" s="81" t="s">
        <v>6002</v>
      </c>
      <c r="H603" s="81" t="s">
        <v>2279</v>
      </c>
      <c r="I603" s="81" t="s">
        <v>6003</v>
      </c>
      <c r="J603" s="81" t="s">
        <v>2186</v>
      </c>
      <c r="K603" s="81" t="s">
        <v>6003</v>
      </c>
      <c r="L603" s="81" t="s">
        <v>2392</v>
      </c>
      <c r="M603" s="81" t="s">
        <v>6003</v>
      </c>
      <c r="N603" s="81" t="s">
        <v>2231</v>
      </c>
      <c r="O603" s="81" t="s">
        <v>2187</v>
      </c>
      <c r="P603" s="81" t="s">
        <v>2187</v>
      </c>
      <c r="Q603" s="81" t="s">
        <v>43</v>
      </c>
      <c r="R603" s="81" t="s">
        <v>46</v>
      </c>
      <c r="S603" s="81" t="s">
        <v>47</v>
      </c>
      <c r="T603" s="81" t="s">
        <v>48</v>
      </c>
      <c r="U603" s="81" t="s">
        <v>48</v>
      </c>
      <c r="V603" s="81" t="s">
        <v>48</v>
      </c>
      <c r="W603" s="81" t="s">
        <v>49</v>
      </c>
      <c r="X603" s="81" t="s">
        <v>48</v>
      </c>
      <c r="Y603" s="81" t="s">
        <v>48</v>
      </c>
    </row>
    <row r="604" spans="1:25" x14ac:dyDescent="0.3">
      <c r="A604" s="16">
        <v>7502224240215</v>
      </c>
      <c r="B604" s="81" t="s">
        <v>43</v>
      </c>
      <c r="C604" s="81" t="s">
        <v>649</v>
      </c>
      <c r="D604" s="81" t="s">
        <v>45</v>
      </c>
      <c r="E604" s="81" t="s">
        <v>2412</v>
      </c>
      <c r="F604" s="81" t="s">
        <v>2368</v>
      </c>
      <c r="G604" s="81" t="s">
        <v>3165</v>
      </c>
      <c r="H604" s="81" t="s">
        <v>3125</v>
      </c>
      <c r="I604" s="81" t="s">
        <v>5979</v>
      </c>
      <c r="J604" s="81" t="s">
        <v>2186</v>
      </c>
      <c r="K604" s="81" t="s">
        <v>5979</v>
      </c>
      <c r="L604" s="81" t="s">
        <v>2392</v>
      </c>
      <c r="M604" s="81" t="s">
        <v>5979</v>
      </c>
      <c r="N604" s="81" t="s">
        <v>2231</v>
      </c>
      <c r="O604" s="81" t="s">
        <v>2187</v>
      </c>
      <c r="P604" s="81" t="s">
        <v>2187</v>
      </c>
      <c r="Q604" s="81" t="s">
        <v>43</v>
      </c>
      <c r="R604" s="81" t="s">
        <v>122</v>
      </c>
      <c r="S604" s="81" t="s">
        <v>123</v>
      </c>
      <c r="T604" s="81" t="s">
        <v>48</v>
      </c>
      <c r="U604" s="81" t="s">
        <v>48</v>
      </c>
      <c r="V604" s="81" t="s">
        <v>49</v>
      </c>
      <c r="W604" s="81" t="s">
        <v>48</v>
      </c>
      <c r="X604" s="81" t="s">
        <v>48</v>
      </c>
      <c r="Y604" s="81" t="s">
        <v>48</v>
      </c>
    </row>
    <row r="605" spans="1:25" x14ac:dyDescent="0.3">
      <c r="A605" s="16">
        <v>7703331157506</v>
      </c>
      <c r="B605" s="81" t="s">
        <v>43</v>
      </c>
      <c r="C605" s="81" t="s">
        <v>5332</v>
      </c>
      <c r="D605" s="81" t="s">
        <v>45</v>
      </c>
      <c r="E605" s="81" t="s">
        <v>2412</v>
      </c>
      <c r="F605" s="81" t="s">
        <v>2412</v>
      </c>
      <c r="G605" s="81" t="s">
        <v>5333</v>
      </c>
      <c r="H605" s="81" t="s">
        <v>5334</v>
      </c>
      <c r="I605" s="81" t="s">
        <v>5335</v>
      </c>
      <c r="J605" s="81" t="s">
        <v>5336</v>
      </c>
      <c r="K605" s="81" t="s">
        <v>5335</v>
      </c>
      <c r="L605" s="81" t="s">
        <v>2186</v>
      </c>
      <c r="M605" s="81" t="s">
        <v>5335</v>
      </c>
      <c r="N605" s="81" t="s">
        <v>2231</v>
      </c>
      <c r="O605" s="81" t="s">
        <v>2187</v>
      </c>
      <c r="P605" s="81" t="s">
        <v>2187</v>
      </c>
      <c r="Q605" s="81" t="s">
        <v>43</v>
      </c>
      <c r="R605" s="81" t="s">
        <v>203</v>
      </c>
      <c r="S605" s="81" t="s">
        <v>203</v>
      </c>
      <c r="T605" s="81" t="s">
        <v>48</v>
      </c>
      <c r="U605" s="81" t="s">
        <v>48</v>
      </c>
      <c r="V605" s="81" t="s">
        <v>48</v>
      </c>
      <c r="W605" s="81" t="s">
        <v>49</v>
      </c>
      <c r="X605" s="81" t="s">
        <v>48</v>
      </c>
      <c r="Y605" s="81" t="s">
        <v>48</v>
      </c>
    </row>
    <row r="606" spans="1:25" x14ac:dyDescent="0.3">
      <c r="A606" s="16">
        <v>7501349020771</v>
      </c>
      <c r="B606" s="81" t="s">
        <v>43</v>
      </c>
      <c r="C606" s="81" t="s">
        <v>1948</v>
      </c>
      <c r="D606" s="81" t="s">
        <v>45</v>
      </c>
      <c r="E606" s="81" t="s">
        <v>2490</v>
      </c>
      <c r="F606" s="81" t="s">
        <v>3013</v>
      </c>
      <c r="G606" s="81" t="s">
        <v>5491</v>
      </c>
      <c r="H606" s="81" t="s">
        <v>6004</v>
      </c>
      <c r="I606" s="81" t="s">
        <v>5525</v>
      </c>
      <c r="J606" s="81" t="s">
        <v>2186</v>
      </c>
      <c r="K606" s="81" t="s">
        <v>5525</v>
      </c>
      <c r="L606" s="81" t="s">
        <v>2392</v>
      </c>
      <c r="M606" s="81" t="s">
        <v>5525</v>
      </c>
      <c r="N606" s="81" t="s">
        <v>2231</v>
      </c>
      <c r="O606" s="81" t="s">
        <v>2187</v>
      </c>
      <c r="P606" s="81" t="s">
        <v>2187</v>
      </c>
      <c r="Q606" s="81" t="s">
        <v>43</v>
      </c>
      <c r="R606" s="81" t="s">
        <v>51</v>
      </c>
      <c r="S606" s="81" t="s">
        <v>81</v>
      </c>
      <c r="T606" s="81" t="s">
        <v>49</v>
      </c>
      <c r="U606" s="81" t="s">
        <v>48</v>
      </c>
      <c r="V606" s="81" t="s">
        <v>48</v>
      </c>
      <c r="W606" s="81" t="s">
        <v>49</v>
      </c>
      <c r="X606" s="81" t="s">
        <v>48</v>
      </c>
      <c r="Y606" s="81" t="s">
        <v>48</v>
      </c>
    </row>
    <row r="607" spans="1:25" x14ac:dyDescent="0.3">
      <c r="A607" s="16">
        <v>7502009745393</v>
      </c>
      <c r="B607" s="81" t="s">
        <v>43</v>
      </c>
      <c r="C607" s="81" t="s">
        <v>650</v>
      </c>
      <c r="D607" s="81" t="s">
        <v>45</v>
      </c>
      <c r="E607" s="81" t="s">
        <v>2294</v>
      </c>
      <c r="F607" s="81" t="s">
        <v>2490</v>
      </c>
      <c r="G607" s="81" t="s">
        <v>3166</v>
      </c>
      <c r="H607" s="81" t="s">
        <v>6005</v>
      </c>
      <c r="I607" s="81" t="s">
        <v>6006</v>
      </c>
      <c r="J607" s="81" t="s">
        <v>2186</v>
      </c>
      <c r="K607" s="81" t="s">
        <v>6006</v>
      </c>
      <c r="L607" s="81" t="s">
        <v>2392</v>
      </c>
      <c r="M607" s="81" t="s">
        <v>6006</v>
      </c>
      <c r="N607" s="81" t="s">
        <v>2231</v>
      </c>
      <c r="O607" s="81" t="s">
        <v>2187</v>
      </c>
      <c r="P607" s="81" t="s">
        <v>2187</v>
      </c>
      <c r="Q607" s="81" t="s">
        <v>43</v>
      </c>
      <c r="R607" s="81" t="s">
        <v>46</v>
      </c>
      <c r="S607" s="81" t="s">
        <v>164</v>
      </c>
      <c r="T607" s="81" t="s">
        <v>48</v>
      </c>
      <c r="U607" s="81" t="s">
        <v>48</v>
      </c>
      <c r="V607" s="81" t="s">
        <v>48</v>
      </c>
      <c r="W607" s="81" t="s">
        <v>49</v>
      </c>
      <c r="X607" s="81" t="s">
        <v>48</v>
      </c>
      <c r="Y607" s="81" t="s">
        <v>48</v>
      </c>
    </row>
    <row r="608" spans="1:25" x14ac:dyDescent="0.3">
      <c r="A608" s="16">
        <v>7501109760886</v>
      </c>
      <c r="B608" s="81" t="s">
        <v>43</v>
      </c>
      <c r="C608" s="81" t="s">
        <v>4714</v>
      </c>
      <c r="D608" s="81" t="s">
        <v>45</v>
      </c>
      <c r="E608" s="81" t="s">
        <v>2303</v>
      </c>
      <c r="F608" s="81" t="s">
        <v>2233</v>
      </c>
      <c r="G608" s="81" t="s">
        <v>4664</v>
      </c>
      <c r="H608" s="81" t="s">
        <v>2467</v>
      </c>
      <c r="I608" s="81" t="s">
        <v>6007</v>
      </c>
      <c r="J608" s="81" t="s">
        <v>2186</v>
      </c>
      <c r="K608" s="81" t="s">
        <v>6007</v>
      </c>
      <c r="L608" s="81" t="s">
        <v>2392</v>
      </c>
      <c r="M608" s="81" t="s">
        <v>6007</v>
      </c>
      <c r="N608" s="81" t="s">
        <v>2231</v>
      </c>
      <c r="O608" s="81" t="s">
        <v>2187</v>
      </c>
      <c r="P608" s="81" t="s">
        <v>2187</v>
      </c>
      <c r="Q608" s="81" t="s">
        <v>43</v>
      </c>
      <c r="R608" s="81" t="s">
        <v>122</v>
      </c>
      <c r="S608" s="81" t="s">
        <v>123</v>
      </c>
      <c r="T608" s="81" t="s">
        <v>48</v>
      </c>
      <c r="U608" s="81" t="s">
        <v>48</v>
      </c>
      <c r="V608" s="81" t="s">
        <v>49</v>
      </c>
      <c r="W608" s="81" t="s">
        <v>48</v>
      </c>
      <c r="X608" s="81" t="s">
        <v>48</v>
      </c>
      <c r="Y608" s="81" t="s">
        <v>48</v>
      </c>
    </row>
    <row r="609" spans="1:25" x14ac:dyDescent="0.3">
      <c r="A609" s="16">
        <v>7501258206563</v>
      </c>
      <c r="B609" s="81" t="s">
        <v>43</v>
      </c>
      <c r="C609" s="81" t="s">
        <v>1949</v>
      </c>
      <c r="D609" s="81" t="s">
        <v>45</v>
      </c>
      <c r="E609" s="81" t="s">
        <v>2465</v>
      </c>
      <c r="F609" s="81" t="s">
        <v>2257</v>
      </c>
      <c r="G609" s="81" t="s">
        <v>6008</v>
      </c>
      <c r="H609" s="81" t="s">
        <v>2290</v>
      </c>
      <c r="I609" s="81" t="s">
        <v>6009</v>
      </c>
      <c r="J609" s="81" t="s">
        <v>2186</v>
      </c>
      <c r="K609" s="81" t="s">
        <v>6009</v>
      </c>
      <c r="L609" s="81" t="s">
        <v>2392</v>
      </c>
      <c r="M609" s="81" t="s">
        <v>6009</v>
      </c>
      <c r="N609" s="81" t="s">
        <v>2231</v>
      </c>
      <c r="O609" s="81" t="s">
        <v>2187</v>
      </c>
      <c r="P609" s="81" t="s">
        <v>2187</v>
      </c>
      <c r="Q609" s="81" t="s">
        <v>43</v>
      </c>
      <c r="R609" s="81" t="s">
        <v>46</v>
      </c>
      <c r="S609" s="81" t="s">
        <v>46</v>
      </c>
      <c r="T609" s="81" t="s">
        <v>48</v>
      </c>
      <c r="U609" s="81" t="s">
        <v>48</v>
      </c>
      <c r="V609" s="81" t="s">
        <v>48</v>
      </c>
      <c r="W609" s="81" t="s">
        <v>49</v>
      </c>
      <c r="X609" s="81" t="s">
        <v>48</v>
      </c>
      <c r="Y609" s="81" t="s">
        <v>48</v>
      </c>
    </row>
    <row r="610" spans="1:25" x14ac:dyDescent="0.3">
      <c r="A610" s="16">
        <v>7501125142994</v>
      </c>
      <c r="B610" s="81" t="s">
        <v>43</v>
      </c>
      <c r="C610" s="81" t="s">
        <v>651</v>
      </c>
      <c r="D610" s="81" t="s">
        <v>45</v>
      </c>
      <c r="E610" s="81" t="s">
        <v>2368</v>
      </c>
      <c r="F610" s="81" t="s">
        <v>2369</v>
      </c>
      <c r="G610" s="81" t="s">
        <v>3167</v>
      </c>
      <c r="H610" s="81" t="s">
        <v>2535</v>
      </c>
      <c r="I610" s="81" t="s">
        <v>6010</v>
      </c>
      <c r="J610" s="81" t="s">
        <v>2186</v>
      </c>
      <c r="K610" s="81" t="s">
        <v>6010</v>
      </c>
      <c r="L610" s="81" t="s">
        <v>2392</v>
      </c>
      <c r="M610" s="81" t="s">
        <v>6010</v>
      </c>
      <c r="N610" s="81" t="s">
        <v>2231</v>
      </c>
      <c r="O610" s="81" t="s">
        <v>2187</v>
      </c>
      <c r="P610" s="81" t="s">
        <v>2187</v>
      </c>
      <c r="Q610" s="81" t="s">
        <v>43</v>
      </c>
      <c r="R610" s="81" t="s">
        <v>122</v>
      </c>
      <c r="S610" s="81" t="s">
        <v>123</v>
      </c>
      <c r="T610" s="81" t="s">
        <v>48</v>
      </c>
      <c r="U610" s="81" t="s">
        <v>48</v>
      </c>
      <c r="V610" s="81" t="s">
        <v>48</v>
      </c>
      <c r="W610" s="81" t="s">
        <v>49</v>
      </c>
      <c r="X610" s="81" t="s">
        <v>48</v>
      </c>
      <c r="Y610" s="81" t="s">
        <v>48</v>
      </c>
    </row>
    <row r="611" spans="1:25" x14ac:dyDescent="0.3">
      <c r="A611" s="16">
        <v>7502240450827</v>
      </c>
      <c r="B611" s="81" t="s">
        <v>43</v>
      </c>
      <c r="C611" s="81" t="s">
        <v>652</v>
      </c>
      <c r="D611" s="81" t="s">
        <v>45</v>
      </c>
      <c r="E611" s="81" t="s">
        <v>2227</v>
      </c>
      <c r="F611" s="81" t="s">
        <v>2227</v>
      </c>
      <c r="G611" s="81" t="s">
        <v>3168</v>
      </c>
      <c r="H611" s="81" t="s">
        <v>2400</v>
      </c>
      <c r="I611" s="81" t="s">
        <v>5993</v>
      </c>
      <c r="J611" s="81" t="s">
        <v>2186</v>
      </c>
      <c r="K611" s="81" t="s">
        <v>5993</v>
      </c>
      <c r="L611" s="81" t="s">
        <v>2392</v>
      </c>
      <c r="M611" s="81" t="s">
        <v>5993</v>
      </c>
      <c r="N611" s="81" t="s">
        <v>2231</v>
      </c>
      <c r="O611" s="81" t="s">
        <v>2187</v>
      </c>
      <c r="P611" s="81" t="s">
        <v>2187</v>
      </c>
      <c r="Q611" s="81" t="s">
        <v>43</v>
      </c>
      <c r="R611" s="81" t="s">
        <v>46</v>
      </c>
      <c r="S611" s="81" t="s">
        <v>46</v>
      </c>
      <c r="T611" s="81" t="s">
        <v>48</v>
      </c>
      <c r="U611" s="81" t="s">
        <v>48</v>
      </c>
      <c r="V611" s="81" t="s">
        <v>48</v>
      </c>
      <c r="W611" s="81" t="s">
        <v>49</v>
      </c>
      <c r="X611" s="81" t="s">
        <v>48</v>
      </c>
      <c r="Y611" s="81" t="s">
        <v>48</v>
      </c>
    </row>
    <row r="612" spans="1:25" x14ac:dyDescent="0.3">
      <c r="A612" s="16">
        <v>7613427011776</v>
      </c>
      <c r="B612" s="81" t="s">
        <v>43</v>
      </c>
      <c r="C612" s="81" t="s">
        <v>4813</v>
      </c>
      <c r="D612" s="81" t="s">
        <v>45</v>
      </c>
      <c r="E612" s="81" t="s">
        <v>2412</v>
      </c>
      <c r="F612" s="81" t="s">
        <v>2368</v>
      </c>
      <c r="G612" s="81" t="s">
        <v>4814</v>
      </c>
      <c r="H612" s="81" t="s">
        <v>6011</v>
      </c>
      <c r="I612" s="81" t="s">
        <v>6012</v>
      </c>
      <c r="J612" s="81" t="s">
        <v>2186</v>
      </c>
      <c r="K612" s="81" t="s">
        <v>6012</v>
      </c>
      <c r="L612" s="81" t="s">
        <v>2392</v>
      </c>
      <c r="M612" s="81" t="s">
        <v>6012</v>
      </c>
      <c r="N612" s="81" t="s">
        <v>2231</v>
      </c>
      <c r="O612" s="81" t="s">
        <v>2187</v>
      </c>
      <c r="P612" s="81" t="s">
        <v>2187</v>
      </c>
      <c r="Q612" s="81" t="s">
        <v>43</v>
      </c>
      <c r="R612" s="81" t="s">
        <v>122</v>
      </c>
      <c r="S612" s="81" t="s">
        <v>123</v>
      </c>
      <c r="T612" s="81" t="s">
        <v>48</v>
      </c>
      <c r="U612" s="81" t="s">
        <v>48</v>
      </c>
      <c r="V612" s="81" t="s">
        <v>49</v>
      </c>
      <c r="W612" s="81" t="s">
        <v>48</v>
      </c>
      <c r="X612" s="81" t="s">
        <v>48</v>
      </c>
      <c r="Y612" s="81" t="s">
        <v>48</v>
      </c>
    </row>
    <row r="613" spans="1:25" x14ac:dyDescent="0.3">
      <c r="A613" s="16">
        <v>650240035395</v>
      </c>
      <c r="B613" s="81" t="s">
        <v>43</v>
      </c>
      <c r="C613" s="81" t="s">
        <v>653</v>
      </c>
      <c r="D613" s="81" t="s">
        <v>45</v>
      </c>
      <c r="E613" s="81" t="s">
        <v>2793</v>
      </c>
      <c r="F613" s="81" t="s">
        <v>3169</v>
      </c>
      <c r="G613" s="81" t="s">
        <v>2186</v>
      </c>
      <c r="H613" s="81" t="s">
        <v>4724</v>
      </c>
      <c r="I613" s="81" t="s">
        <v>4725</v>
      </c>
      <c r="J613" s="81" t="s">
        <v>2186</v>
      </c>
      <c r="K613" s="81" t="s">
        <v>4726</v>
      </c>
      <c r="L613" s="81" t="s">
        <v>2392</v>
      </c>
      <c r="M613" s="81" t="s">
        <v>4727</v>
      </c>
      <c r="N613" s="81" t="s">
        <v>2231</v>
      </c>
      <c r="O613" s="81" t="s">
        <v>2187</v>
      </c>
      <c r="P613" s="81" t="s">
        <v>2187</v>
      </c>
      <c r="Q613" s="81" t="s">
        <v>43</v>
      </c>
      <c r="R613" s="81" t="s">
        <v>462</v>
      </c>
      <c r="S613" s="81" t="s">
        <v>462</v>
      </c>
      <c r="T613" s="81" t="s">
        <v>48</v>
      </c>
      <c r="U613" s="81" t="s">
        <v>48</v>
      </c>
      <c r="V613" s="81" t="s">
        <v>49</v>
      </c>
      <c r="W613" s="81" t="s">
        <v>48</v>
      </c>
      <c r="X613" s="81" t="s">
        <v>48</v>
      </c>
      <c r="Y613" s="81" t="s">
        <v>48</v>
      </c>
    </row>
    <row r="614" spans="1:25" x14ac:dyDescent="0.3">
      <c r="A614" s="16" t="s">
        <v>654</v>
      </c>
      <c r="B614" s="81" t="s">
        <v>43</v>
      </c>
      <c r="C614" s="81" t="s">
        <v>655</v>
      </c>
      <c r="D614" s="81" t="s">
        <v>45</v>
      </c>
      <c r="E614" s="81" t="s">
        <v>2419</v>
      </c>
      <c r="F614" s="81" t="s">
        <v>2420</v>
      </c>
      <c r="G614" s="81" t="s">
        <v>3170</v>
      </c>
      <c r="H614" s="81" t="s">
        <v>3171</v>
      </c>
      <c r="I614" s="81" t="s">
        <v>6013</v>
      </c>
      <c r="J614" s="81" t="s">
        <v>2186</v>
      </c>
      <c r="K614" s="81" t="s">
        <v>6013</v>
      </c>
      <c r="L614" s="81" t="s">
        <v>2392</v>
      </c>
      <c r="M614" s="81" t="s">
        <v>6013</v>
      </c>
      <c r="N614" s="81" t="s">
        <v>2231</v>
      </c>
      <c r="O614" s="81" t="s">
        <v>2187</v>
      </c>
      <c r="P614" s="81" t="s">
        <v>2187</v>
      </c>
      <c r="Q614" s="81" t="s">
        <v>43</v>
      </c>
      <c r="R614" s="81" t="s">
        <v>462</v>
      </c>
      <c r="S614" s="81" t="s">
        <v>462</v>
      </c>
      <c r="T614" s="81" t="s">
        <v>48</v>
      </c>
      <c r="U614" s="81" t="s">
        <v>48</v>
      </c>
      <c r="V614" s="81" t="s">
        <v>49</v>
      </c>
      <c r="W614" s="81" t="s">
        <v>48</v>
      </c>
      <c r="X614" s="81" t="s">
        <v>48</v>
      </c>
      <c r="Y614" s="81" t="s">
        <v>48</v>
      </c>
    </row>
    <row r="615" spans="1:25" x14ac:dyDescent="0.3">
      <c r="A615" s="16">
        <v>650240032257</v>
      </c>
      <c r="B615" s="81" t="s">
        <v>43</v>
      </c>
      <c r="C615" s="81" t="s">
        <v>656</v>
      </c>
      <c r="D615" s="81" t="s">
        <v>45</v>
      </c>
      <c r="E615" s="81" t="s">
        <v>2486</v>
      </c>
      <c r="F615" s="81" t="s">
        <v>3173</v>
      </c>
      <c r="G615" s="81" t="s">
        <v>2186</v>
      </c>
      <c r="H615" s="81" t="s">
        <v>2843</v>
      </c>
      <c r="I615" s="81" t="s">
        <v>2844</v>
      </c>
      <c r="J615" s="81" t="s">
        <v>2186</v>
      </c>
      <c r="K615" s="81" t="s">
        <v>2845</v>
      </c>
      <c r="L615" s="81" t="s">
        <v>2392</v>
      </c>
      <c r="M615" s="81" t="s">
        <v>2846</v>
      </c>
      <c r="N615" s="81" t="s">
        <v>2231</v>
      </c>
      <c r="O615" s="81" t="s">
        <v>2187</v>
      </c>
      <c r="P615" s="81" t="s">
        <v>2187</v>
      </c>
      <c r="Q615" s="81" t="s">
        <v>43</v>
      </c>
      <c r="R615" s="81" t="s">
        <v>462</v>
      </c>
      <c r="S615" s="81" t="s">
        <v>462</v>
      </c>
      <c r="T615" s="81" t="s">
        <v>48</v>
      </c>
      <c r="U615" s="81" t="s">
        <v>48</v>
      </c>
      <c r="V615" s="81" t="s">
        <v>49</v>
      </c>
      <c r="W615" s="81" t="s">
        <v>48</v>
      </c>
      <c r="X615" s="81" t="s">
        <v>48</v>
      </c>
      <c r="Y615" s="81" t="s">
        <v>48</v>
      </c>
    </row>
    <row r="616" spans="1:25" x14ac:dyDescent="0.3">
      <c r="A616" s="16" t="s">
        <v>657</v>
      </c>
      <c r="B616" s="81" t="s">
        <v>43</v>
      </c>
      <c r="C616" s="81" t="s">
        <v>658</v>
      </c>
      <c r="D616" s="81" t="s">
        <v>45</v>
      </c>
      <c r="E616" s="81" t="s">
        <v>3175</v>
      </c>
      <c r="F616" s="81" t="s">
        <v>3176</v>
      </c>
      <c r="G616" s="81" t="s">
        <v>3177</v>
      </c>
      <c r="H616" s="81" t="s">
        <v>3171</v>
      </c>
      <c r="I616" s="81" t="s">
        <v>6013</v>
      </c>
      <c r="J616" s="81" t="s">
        <v>2186</v>
      </c>
      <c r="K616" s="81" t="s">
        <v>6013</v>
      </c>
      <c r="L616" s="81" t="s">
        <v>2392</v>
      </c>
      <c r="M616" s="81" t="s">
        <v>6013</v>
      </c>
      <c r="N616" s="81" t="s">
        <v>2231</v>
      </c>
      <c r="O616" s="81" t="s">
        <v>2187</v>
      </c>
      <c r="P616" s="81" t="s">
        <v>2187</v>
      </c>
      <c r="Q616" s="81" t="s">
        <v>43</v>
      </c>
      <c r="R616" s="81" t="s">
        <v>462</v>
      </c>
      <c r="S616" s="81" t="s">
        <v>462</v>
      </c>
      <c r="T616" s="81" t="s">
        <v>48</v>
      </c>
      <c r="U616" s="81" t="s">
        <v>48</v>
      </c>
      <c r="V616" s="81" t="s">
        <v>49</v>
      </c>
      <c r="W616" s="81" t="s">
        <v>48</v>
      </c>
      <c r="X616" s="81" t="s">
        <v>48</v>
      </c>
      <c r="Y616" s="81" t="s">
        <v>48</v>
      </c>
    </row>
    <row r="617" spans="1:25" x14ac:dyDescent="0.3">
      <c r="A617" s="16" t="s">
        <v>659</v>
      </c>
      <c r="B617" s="81" t="s">
        <v>43</v>
      </c>
      <c r="C617" s="81" t="s">
        <v>660</v>
      </c>
      <c r="D617" s="81" t="s">
        <v>45</v>
      </c>
      <c r="E617" s="81" t="s">
        <v>2412</v>
      </c>
      <c r="F617" s="81" t="s">
        <v>2369</v>
      </c>
      <c r="G617" s="81" t="s">
        <v>3170</v>
      </c>
      <c r="H617" s="81" t="s">
        <v>3171</v>
      </c>
      <c r="I617" s="81" t="s">
        <v>6013</v>
      </c>
      <c r="J617" s="81" t="s">
        <v>2186</v>
      </c>
      <c r="K617" s="81" t="s">
        <v>6013</v>
      </c>
      <c r="L617" s="81" t="s">
        <v>2392</v>
      </c>
      <c r="M617" s="81" t="s">
        <v>6013</v>
      </c>
      <c r="N617" s="81" t="s">
        <v>2231</v>
      </c>
      <c r="O617" s="81" t="s">
        <v>2187</v>
      </c>
      <c r="P617" s="81" t="s">
        <v>2187</v>
      </c>
      <c r="Q617" s="81" t="s">
        <v>43</v>
      </c>
      <c r="R617" s="81" t="s">
        <v>462</v>
      </c>
      <c r="S617" s="81" t="s">
        <v>462</v>
      </c>
      <c r="T617" s="81" t="s">
        <v>48</v>
      </c>
      <c r="U617" s="81" t="s">
        <v>48</v>
      </c>
      <c r="V617" s="81" t="s">
        <v>49</v>
      </c>
      <c r="W617" s="81" t="s">
        <v>48</v>
      </c>
      <c r="X617" s="81" t="s">
        <v>48</v>
      </c>
      <c r="Y617" s="81" t="s">
        <v>48</v>
      </c>
    </row>
    <row r="618" spans="1:25" x14ac:dyDescent="0.3">
      <c r="A618" s="16">
        <v>7501825300724</v>
      </c>
      <c r="B618" s="81" t="s">
        <v>43</v>
      </c>
      <c r="C618" s="81" t="s">
        <v>2137</v>
      </c>
      <c r="D618" s="81" t="s">
        <v>45</v>
      </c>
      <c r="E618" s="81" t="s">
        <v>3178</v>
      </c>
      <c r="F618" s="81" t="s">
        <v>3179</v>
      </c>
      <c r="G618" s="81" t="s">
        <v>3473</v>
      </c>
      <c r="H618" s="81" t="s">
        <v>2232</v>
      </c>
      <c r="I618" s="81" t="s">
        <v>6014</v>
      </c>
      <c r="J618" s="81" t="s">
        <v>2186</v>
      </c>
      <c r="K618" s="81" t="s">
        <v>6014</v>
      </c>
      <c r="L618" s="81" t="s">
        <v>2392</v>
      </c>
      <c r="M618" s="81" t="s">
        <v>6014</v>
      </c>
      <c r="N618" s="81" t="s">
        <v>2231</v>
      </c>
      <c r="O618" s="81" t="s">
        <v>2187</v>
      </c>
      <c r="P618" s="81" t="s">
        <v>2187</v>
      </c>
      <c r="Q618" s="81" t="s">
        <v>43</v>
      </c>
      <c r="R618" s="81" t="s">
        <v>46</v>
      </c>
      <c r="S618" s="81" t="s">
        <v>47</v>
      </c>
      <c r="T618" s="81" t="s">
        <v>48</v>
      </c>
      <c r="U618" s="81" t="s">
        <v>48</v>
      </c>
      <c r="V618" s="81" t="s">
        <v>48</v>
      </c>
      <c r="W618" s="81" t="s">
        <v>49</v>
      </c>
      <c r="X618" s="81" t="s">
        <v>48</v>
      </c>
      <c r="Y618" s="81" t="s">
        <v>48</v>
      </c>
    </row>
    <row r="619" spans="1:25" x14ac:dyDescent="0.3">
      <c r="A619" s="16">
        <v>354312225027</v>
      </c>
      <c r="B619" s="81" t="s">
        <v>43</v>
      </c>
      <c r="C619" s="81" t="s">
        <v>2138</v>
      </c>
      <c r="D619" s="81" t="s">
        <v>45</v>
      </c>
      <c r="E619" s="81" t="s">
        <v>2475</v>
      </c>
      <c r="F619" s="81" t="s">
        <v>3180</v>
      </c>
      <c r="G619" s="81" t="s">
        <v>2561</v>
      </c>
      <c r="H619" s="81" t="s">
        <v>2503</v>
      </c>
      <c r="I619" s="81" t="s">
        <v>5611</v>
      </c>
      <c r="J619" s="81" t="s">
        <v>2186</v>
      </c>
      <c r="K619" s="81" t="s">
        <v>5611</v>
      </c>
      <c r="L619" s="81" t="s">
        <v>2392</v>
      </c>
      <c r="M619" s="81" t="s">
        <v>5611</v>
      </c>
      <c r="N619" s="81" t="s">
        <v>2231</v>
      </c>
      <c r="O619" s="81" t="s">
        <v>2187</v>
      </c>
      <c r="P619" s="81" t="s">
        <v>2187</v>
      </c>
      <c r="Q619" s="81" t="s">
        <v>43</v>
      </c>
      <c r="R619" s="81" t="s">
        <v>203</v>
      </c>
      <c r="S619" s="81" t="s">
        <v>203</v>
      </c>
      <c r="T619" s="81" t="s">
        <v>48</v>
      </c>
      <c r="U619" s="81" t="s">
        <v>48</v>
      </c>
      <c r="V619" s="81" t="s">
        <v>48</v>
      </c>
      <c r="W619" s="81" t="s">
        <v>49</v>
      </c>
      <c r="X619" s="81" t="s">
        <v>48</v>
      </c>
      <c r="Y619" s="81" t="s">
        <v>48</v>
      </c>
    </row>
    <row r="620" spans="1:25" x14ac:dyDescent="0.3">
      <c r="A620" s="16">
        <v>17501073025414</v>
      </c>
      <c r="B620" s="81" t="s">
        <v>43</v>
      </c>
      <c r="C620" s="81" t="s">
        <v>661</v>
      </c>
      <c r="D620" s="81" t="s">
        <v>45</v>
      </c>
      <c r="E620" s="81" t="s">
        <v>2368</v>
      </c>
      <c r="F620" s="81" t="s">
        <v>2308</v>
      </c>
      <c r="G620" s="81" t="s">
        <v>3182</v>
      </c>
      <c r="H620" s="81" t="s">
        <v>3125</v>
      </c>
      <c r="I620" s="81" t="s">
        <v>6015</v>
      </c>
      <c r="J620" s="81" t="s">
        <v>2186</v>
      </c>
      <c r="K620" s="81" t="s">
        <v>6015</v>
      </c>
      <c r="L620" s="81" t="s">
        <v>2392</v>
      </c>
      <c r="M620" s="81" t="s">
        <v>6015</v>
      </c>
      <c r="N620" s="81" t="s">
        <v>2231</v>
      </c>
      <c r="O620" s="81" t="s">
        <v>2187</v>
      </c>
      <c r="P620" s="81" t="s">
        <v>2187</v>
      </c>
      <c r="Q620" s="81" t="s">
        <v>43</v>
      </c>
      <c r="R620" s="81" t="s">
        <v>106</v>
      </c>
      <c r="S620" s="81" t="s">
        <v>106</v>
      </c>
      <c r="T620" s="81" t="s">
        <v>48</v>
      </c>
      <c r="U620" s="81" t="s">
        <v>48</v>
      </c>
      <c r="V620" s="81" t="s">
        <v>49</v>
      </c>
      <c r="W620" s="81" t="s">
        <v>48</v>
      </c>
      <c r="X620" s="81" t="s">
        <v>48</v>
      </c>
      <c r="Y620" s="81" t="s">
        <v>48</v>
      </c>
    </row>
    <row r="621" spans="1:25" x14ac:dyDescent="0.3">
      <c r="A621" s="16">
        <v>7502001165724</v>
      </c>
      <c r="B621" s="81" t="s">
        <v>43</v>
      </c>
      <c r="C621" s="81" t="s">
        <v>1950</v>
      </c>
      <c r="D621" s="81" t="s">
        <v>45</v>
      </c>
      <c r="E621" s="81" t="s">
        <v>2263</v>
      </c>
      <c r="F621" s="81" t="s">
        <v>2335</v>
      </c>
      <c r="G621" s="81" t="s">
        <v>2340</v>
      </c>
      <c r="H621" s="81" t="s">
        <v>2264</v>
      </c>
      <c r="I621" s="81" t="s">
        <v>2202</v>
      </c>
      <c r="J621" s="81" t="s">
        <v>2186</v>
      </c>
      <c r="K621" s="81" t="s">
        <v>2202</v>
      </c>
      <c r="L621" s="81" t="s">
        <v>2392</v>
      </c>
      <c r="M621" s="81" t="s">
        <v>2202</v>
      </c>
      <c r="N621" s="81" t="s">
        <v>2231</v>
      </c>
      <c r="O621" s="81" t="s">
        <v>2187</v>
      </c>
      <c r="P621" s="81" t="s">
        <v>2187</v>
      </c>
      <c r="Q621" s="81" t="s">
        <v>662</v>
      </c>
      <c r="R621" s="81" t="s">
        <v>46</v>
      </c>
      <c r="S621" s="81" t="s">
        <v>46</v>
      </c>
      <c r="T621" s="81" t="s">
        <v>48</v>
      </c>
      <c r="U621" s="81" t="s">
        <v>48</v>
      </c>
      <c r="V621" s="81" t="s">
        <v>48</v>
      </c>
      <c r="W621" s="81" t="s">
        <v>49</v>
      </c>
      <c r="X621" s="81" t="s">
        <v>48</v>
      </c>
      <c r="Y621" s="81" t="s">
        <v>48</v>
      </c>
    </row>
    <row r="622" spans="1:25" x14ac:dyDescent="0.3">
      <c r="A622" s="16">
        <v>7502253600516</v>
      </c>
      <c r="B622" s="81" t="s">
        <v>43</v>
      </c>
      <c r="C622" s="81" t="s">
        <v>663</v>
      </c>
      <c r="D622" s="81" t="s">
        <v>45</v>
      </c>
      <c r="E622" s="81" t="s">
        <v>2704</v>
      </c>
      <c r="F622" s="81" t="s">
        <v>2312</v>
      </c>
      <c r="G622" s="81" t="s">
        <v>4347</v>
      </c>
      <c r="H622" s="81" t="s">
        <v>2467</v>
      </c>
      <c r="I622" s="81" t="s">
        <v>6016</v>
      </c>
      <c r="J622" s="81" t="s">
        <v>2186</v>
      </c>
      <c r="K622" s="81" t="s">
        <v>6016</v>
      </c>
      <c r="L622" s="81" t="s">
        <v>2392</v>
      </c>
      <c r="M622" s="81" t="s">
        <v>6016</v>
      </c>
      <c r="N622" s="81" t="s">
        <v>2231</v>
      </c>
      <c r="O622" s="81" t="s">
        <v>2187</v>
      </c>
      <c r="P622" s="81" t="s">
        <v>2187</v>
      </c>
      <c r="Q622" s="81" t="s">
        <v>43</v>
      </c>
      <c r="R622" s="81" t="s">
        <v>46</v>
      </c>
      <c r="S622" s="81" t="s">
        <v>46</v>
      </c>
      <c r="T622" s="81" t="s">
        <v>48</v>
      </c>
      <c r="U622" s="81" t="s">
        <v>48</v>
      </c>
      <c r="V622" s="81" t="s">
        <v>49</v>
      </c>
      <c r="W622" s="81" t="s">
        <v>48</v>
      </c>
      <c r="X622" s="81" t="s">
        <v>48</v>
      </c>
      <c r="Y622" s="81" t="s">
        <v>48</v>
      </c>
    </row>
    <row r="623" spans="1:25" x14ac:dyDescent="0.3">
      <c r="A623" s="16">
        <v>7502253602282</v>
      </c>
      <c r="B623" s="81" t="s">
        <v>43</v>
      </c>
      <c r="C623" s="81" t="s">
        <v>3183</v>
      </c>
      <c r="D623" s="81" t="s">
        <v>45</v>
      </c>
      <c r="E623" s="81" t="s">
        <v>2191</v>
      </c>
      <c r="F623" s="81" t="s">
        <v>2192</v>
      </c>
      <c r="G623" s="81" t="s">
        <v>4795</v>
      </c>
      <c r="H623" s="81" t="s">
        <v>2816</v>
      </c>
      <c r="I623" s="81" t="s">
        <v>6017</v>
      </c>
      <c r="J623" s="81" t="s">
        <v>2186</v>
      </c>
      <c r="K623" s="81" t="s">
        <v>6017</v>
      </c>
      <c r="L623" s="81" t="s">
        <v>2392</v>
      </c>
      <c r="M623" s="81" t="s">
        <v>6017</v>
      </c>
      <c r="N623" s="81" t="s">
        <v>2231</v>
      </c>
      <c r="O623" s="81" t="s">
        <v>2187</v>
      </c>
      <c r="P623" s="81" t="s">
        <v>2187</v>
      </c>
      <c r="Q623" s="81" t="s">
        <v>43</v>
      </c>
      <c r="R623" s="81" t="s">
        <v>46</v>
      </c>
      <c r="S623" s="81" t="s">
        <v>46</v>
      </c>
      <c r="T623" s="81" t="s">
        <v>48</v>
      </c>
      <c r="U623" s="81" t="s">
        <v>48</v>
      </c>
      <c r="V623" s="81" t="s">
        <v>49</v>
      </c>
      <c r="W623" s="81" t="s">
        <v>48</v>
      </c>
      <c r="X623" s="81" t="s">
        <v>48</v>
      </c>
      <c r="Y623" s="81" t="s">
        <v>48</v>
      </c>
    </row>
    <row r="624" spans="1:25" x14ac:dyDescent="0.3">
      <c r="A624" s="16">
        <v>7502253600486</v>
      </c>
      <c r="B624" s="81" t="s">
        <v>43</v>
      </c>
      <c r="C624" s="81" t="s">
        <v>664</v>
      </c>
      <c r="D624" s="81" t="s">
        <v>45</v>
      </c>
      <c r="E624" s="81" t="s">
        <v>2191</v>
      </c>
      <c r="F624" s="81" t="s">
        <v>2303</v>
      </c>
      <c r="G624" s="81" t="s">
        <v>4858</v>
      </c>
      <c r="H624" s="81" t="s">
        <v>4081</v>
      </c>
      <c r="I624" s="81" t="s">
        <v>3203</v>
      </c>
      <c r="J624" s="81" t="s">
        <v>2186</v>
      </c>
      <c r="K624" s="81" t="s">
        <v>3203</v>
      </c>
      <c r="L624" s="81" t="s">
        <v>2392</v>
      </c>
      <c r="M624" s="81" t="s">
        <v>3203</v>
      </c>
      <c r="N624" s="81" t="s">
        <v>2231</v>
      </c>
      <c r="O624" s="81" t="s">
        <v>2187</v>
      </c>
      <c r="P624" s="81" t="s">
        <v>2187</v>
      </c>
      <c r="Q624" s="81" t="s">
        <v>43</v>
      </c>
      <c r="R624" s="81" t="s">
        <v>46</v>
      </c>
      <c r="S624" s="81" t="s">
        <v>46</v>
      </c>
      <c r="T624" s="81" t="s">
        <v>48</v>
      </c>
      <c r="U624" s="81" t="s">
        <v>48</v>
      </c>
      <c r="V624" s="81" t="s">
        <v>49</v>
      </c>
      <c r="W624" s="81" t="s">
        <v>48</v>
      </c>
      <c r="X624" s="81" t="s">
        <v>48</v>
      </c>
      <c r="Y624" s="81" t="s">
        <v>48</v>
      </c>
    </row>
    <row r="625" spans="1:25" x14ac:dyDescent="0.3">
      <c r="A625" s="16">
        <v>7502253600493</v>
      </c>
      <c r="B625" s="81" t="s">
        <v>43</v>
      </c>
      <c r="C625" s="81" t="s">
        <v>665</v>
      </c>
      <c r="D625" s="81" t="s">
        <v>45</v>
      </c>
      <c r="E625" s="81" t="s">
        <v>2179</v>
      </c>
      <c r="F625" s="81" t="s">
        <v>2704</v>
      </c>
      <c r="G625" s="81" t="s">
        <v>4728</v>
      </c>
      <c r="H625" s="81" t="s">
        <v>3187</v>
      </c>
      <c r="I625" s="81" t="s">
        <v>3188</v>
      </c>
      <c r="J625" s="81" t="s">
        <v>2186</v>
      </c>
      <c r="K625" s="81" t="s">
        <v>2315</v>
      </c>
      <c r="L625" s="81" t="s">
        <v>2392</v>
      </c>
      <c r="M625" s="81" t="s">
        <v>3189</v>
      </c>
      <c r="N625" s="81" t="s">
        <v>2231</v>
      </c>
      <c r="O625" s="81" t="s">
        <v>2187</v>
      </c>
      <c r="P625" s="81" t="s">
        <v>2187</v>
      </c>
      <c r="Q625" s="81" t="s">
        <v>43</v>
      </c>
      <c r="R625" s="81" t="s">
        <v>46</v>
      </c>
      <c r="S625" s="81" t="s">
        <v>46</v>
      </c>
      <c r="T625" s="81" t="s">
        <v>48</v>
      </c>
      <c r="U625" s="81" t="s">
        <v>48</v>
      </c>
      <c r="V625" s="81" t="s">
        <v>49</v>
      </c>
      <c r="W625" s="81" t="s">
        <v>48</v>
      </c>
      <c r="X625" s="81" t="s">
        <v>48</v>
      </c>
      <c r="Y625" s="81" t="s">
        <v>48</v>
      </c>
    </row>
    <row r="626" spans="1:25" x14ac:dyDescent="0.3">
      <c r="A626" s="16">
        <v>7502211783657</v>
      </c>
      <c r="B626" s="81" t="s">
        <v>43</v>
      </c>
      <c r="C626" s="81" t="s">
        <v>666</v>
      </c>
      <c r="D626" s="81" t="s">
        <v>45</v>
      </c>
      <c r="E626" s="81" t="s">
        <v>2191</v>
      </c>
      <c r="F626" s="81" t="s">
        <v>2192</v>
      </c>
      <c r="G626" s="81" t="s">
        <v>3190</v>
      </c>
      <c r="H626" s="81" t="s">
        <v>2190</v>
      </c>
      <c r="I626" s="81" t="s">
        <v>6018</v>
      </c>
      <c r="J626" s="81" t="s">
        <v>2186</v>
      </c>
      <c r="K626" s="81" t="s">
        <v>6018</v>
      </c>
      <c r="L626" s="81" t="s">
        <v>2392</v>
      </c>
      <c r="M626" s="81" t="s">
        <v>6018</v>
      </c>
      <c r="N626" s="81" t="s">
        <v>2231</v>
      </c>
      <c r="O626" s="81" t="s">
        <v>2187</v>
      </c>
      <c r="P626" s="81" t="s">
        <v>2187</v>
      </c>
      <c r="Q626" s="81" t="s">
        <v>43</v>
      </c>
      <c r="R626" s="81" t="s">
        <v>46</v>
      </c>
      <c r="S626" s="81" t="s">
        <v>47</v>
      </c>
      <c r="T626" s="81" t="s">
        <v>48</v>
      </c>
      <c r="U626" s="81" t="s">
        <v>48</v>
      </c>
      <c r="V626" s="81" t="s">
        <v>48</v>
      </c>
      <c r="W626" s="81" t="s">
        <v>49</v>
      </c>
      <c r="X626" s="81" t="s">
        <v>48</v>
      </c>
      <c r="Y626" s="81" t="s">
        <v>48</v>
      </c>
    </row>
    <row r="627" spans="1:25" x14ac:dyDescent="0.3">
      <c r="A627" s="16">
        <v>7501035908123</v>
      </c>
      <c r="B627" s="81" t="s">
        <v>43</v>
      </c>
      <c r="C627" s="81" t="s">
        <v>3191</v>
      </c>
      <c r="D627" s="81" t="s">
        <v>45</v>
      </c>
      <c r="E627" s="81" t="s">
        <v>2704</v>
      </c>
      <c r="F627" s="81" t="s">
        <v>2465</v>
      </c>
      <c r="G627" s="81" t="s">
        <v>4665</v>
      </c>
      <c r="H627" s="81" t="s">
        <v>3192</v>
      </c>
      <c r="I627" s="81" t="s">
        <v>6019</v>
      </c>
      <c r="J627" s="81" t="s">
        <v>2186</v>
      </c>
      <c r="K627" s="81" t="s">
        <v>6019</v>
      </c>
      <c r="L627" s="81" t="s">
        <v>2392</v>
      </c>
      <c r="M627" s="81" t="s">
        <v>6019</v>
      </c>
      <c r="N627" s="81" t="s">
        <v>2231</v>
      </c>
      <c r="O627" s="81" t="s">
        <v>2187</v>
      </c>
      <c r="P627" s="81" t="s">
        <v>2187</v>
      </c>
      <c r="Q627" s="81" t="s">
        <v>43</v>
      </c>
      <c r="R627" s="81" t="s">
        <v>122</v>
      </c>
      <c r="S627" s="81" t="s">
        <v>123</v>
      </c>
      <c r="T627" s="81" t="s">
        <v>48</v>
      </c>
      <c r="U627" s="81" t="s">
        <v>48</v>
      </c>
      <c r="V627" s="81" t="s">
        <v>49</v>
      </c>
      <c r="W627" s="81" t="s">
        <v>48</v>
      </c>
      <c r="X627" s="81" t="s">
        <v>48</v>
      </c>
      <c r="Y627" s="81" t="s">
        <v>48</v>
      </c>
    </row>
    <row r="628" spans="1:25" x14ac:dyDescent="0.3">
      <c r="A628" s="16">
        <v>7501035908116</v>
      </c>
      <c r="B628" s="81" t="s">
        <v>43</v>
      </c>
      <c r="C628" s="81" t="s">
        <v>667</v>
      </c>
      <c r="D628" s="81" t="s">
        <v>45</v>
      </c>
      <c r="E628" s="81" t="s">
        <v>2465</v>
      </c>
      <c r="F628" s="81" t="s">
        <v>2257</v>
      </c>
      <c r="G628" s="81" t="s">
        <v>4665</v>
      </c>
      <c r="H628" s="81" t="s">
        <v>3250</v>
      </c>
      <c r="I628" s="81" t="s">
        <v>6020</v>
      </c>
      <c r="J628" s="81" t="s">
        <v>2186</v>
      </c>
      <c r="K628" s="81" t="s">
        <v>6020</v>
      </c>
      <c r="L628" s="81" t="s">
        <v>2392</v>
      </c>
      <c r="M628" s="81" t="s">
        <v>6020</v>
      </c>
      <c r="N628" s="81" t="s">
        <v>2231</v>
      </c>
      <c r="O628" s="81" t="s">
        <v>2187</v>
      </c>
      <c r="P628" s="81" t="s">
        <v>2187</v>
      </c>
      <c r="Q628" s="81" t="s">
        <v>43</v>
      </c>
      <c r="R628" s="81" t="s">
        <v>122</v>
      </c>
      <c r="S628" s="81" t="s">
        <v>123</v>
      </c>
      <c r="T628" s="81" t="s">
        <v>48</v>
      </c>
      <c r="U628" s="81" t="s">
        <v>48</v>
      </c>
      <c r="V628" s="81" t="s">
        <v>49</v>
      </c>
      <c r="W628" s="81" t="s">
        <v>48</v>
      </c>
      <c r="X628" s="81" t="s">
        <v>48</v>
      </c>
      <c r="Y628" s="81" t="s">
        <v>48</v>
      </c>
    </row>
    <row r="629" spans="1:25" x14ac:dyDescent="0.3">
      <c r="A629" s="16">
        <v>7509546058962</v>
      </c>
      <c r="B629" s="81" t="s">
        <v>43</v>
      </c>
      <c r="C629" s="81" t="s">
        <v>3194</v>
      </c>
      <c r="D629" s="81" t="s">
        <v>45</v>
      </c>
      <c r="E629" s="81" t="s">
        <v>2227</v>
      </c>
      <c r="F629" s="81" t="s">
        <v>2227</v>
      </c>
      <c r="G629" s="81" t="s">
        <v>4414</v>
      </c>
      <c r="H629" s="81" t="s">
        <v>3162</v>
      </c>
      <c r="I629" s="81" t="s">
        <v>6021</v>
      </c>
      <c r="J629" s="81" t="s">
        <v>2186</v>
      </c>
      <c r="K629" s="81" t="s">
        <v>6021</v>
      </c>
      <c r="L629" s="81" t="s">
        <v>2392</v>
      </c>
      <c r="M629" s="81" t="s">
        <v>6021</v>
      </c>
      <c r="N629" s="81" t="s">
        <v>2231</v>
      </c>
      <c r="O629" s="81" t="s">
        <v>2187</v>
      </c>
      <c r="P629" s="81" t="s">
        <v>2187</v>
      </c>
      <c r="Q629" s="81" t="s">
        <v>43</v>
      </c>
      <c r="R629" s="81" t="s">
        <v>524</v>
      </c>
      <c r="S629" s="81" t="s">
        <v>525</v>
      </c>
      <c r="T629" s="81" t="s">
        <v>48</v>
      </c>
      <c r="U629" s="81" t="s">
        <v>48</v>
      </c>
      <c r="V629" s="81" t="s">
        <v>49</v>
      </c>
      <c r="W629" s="81" t="s">
        <v>48</v>
      </c>
      <c r="X629" s="81" t="s">
        <v>48</v>
      </c>
      <c r="Y629" s="81" t="s">
        <v>48</v>
      </c>
    </row>
    <row r="630" spans="1:25" x14ac:dyDescent="0.3">
      <c r="A630" s="16">
        <v>7501070600556</v>
      </c>
      <c r="B630" s="81" t="s">
        <v>43</v>
      </c>
      <c r="C630" s="81" t="s">
        <v>668</v>
      </c>
      <c r="D630" s="81" t="s">
        <v>45</v>
      </c>
      <c r="E630" s="81" t="s">
        <v>2780</v>
      </c>
      <c r="F630" s="81" t="s">
        <v>2678</v>
      </c>
      <c r="G630" s="81" t="s">
        <v>5112</v>
      </c>
      <c r="H630" s="81" t="s">
        <v>2993</v>
      </c>
      <c r="I630" s="81" t="s">
        <v>5899</v>
      </c>
      <c r="J630" s="81" t="s">
        <v>2186</v>
      </c>
      <c r="K630" s="81" t="s">
        <v>5899</v>
      </c>
      <c r="L630" s="81" t="s">
        <v>2392</v>
      </c>
      <c r="M630" s="81" t="s">
        <v>5899</v>
      </c>
      <c r="N630" s="81" t="s">
        <v>2231</v>
      </c>
      <c r="O630" s="81" t="s">
        <v>2187</v>
      </c>
      <c r="P630" s="81" t="s">
        <v>2187</v>
      </c>
      <c r="Q630" s="81" t="s">
        <v>43</v>
      </c>
      <c r="R630" s="81" t="s">
        <v>203</v>
      </c>
      <c r="S630" s="81" t="s">
        <v>47</v>
      </c>
      <c r="T630" s="81" t="s">
        <v>48</v>
      </c>
      <c r="U630" s="81" t="s">
        <v>48</v>
      </c>
      <c r="V630" s="81" t="s">
        <v>48</v>
      </c>
      <c r="W630" s="81" t="s">
        <v>49</v>
      </c>
      <c r="X630" s="81" t="s">
        <v>48</v>
      </c>
      <c r="Y630" s="81" t="s">
        <v>48</v>
      </c>
    </row>
    <row r="631" spans="1:25" x14ac:dyDescent="0.3">
      <c r="A631" s="16">
        <v>7501070600730</v>
      </c>
      <c r="B631" s="81" t="s">
        <v>43</v>
      </c>
      <c r="C631" s="81" t="s">
        <v>3195</v>
      </c>
      <c r="D631" s="81" t="s">
        <v>45</v>
      </c>
      <c r="E631" s="81" t="s">
        <v>2313</v>
      </c>
      <c r="F631" s="81" t="s">
        <v>2352</v>
      </c>
      <c r="G631" s="81" t="s">
        <v>5113</v>
      </c>
      <c r="H631" s="81" t="s">
        <v>2385</v>
      </c>
      <c r="I631" s="81" t="s">
        <v>2387</v>
      </c>
      <c r="J631" s="81" t="s">
        <v>2186</v>
      </c>
      <c r="K631" s="81" t="s">
        <v>2941</v>
      </c>
      <c r="L631" s="81" t="s">
        <v>2392</v>
      </c>
      <c r="M631" s="81" t="s">
        <v>3196</v>
      </c>
      <c r="N631" s="81" t="s">
        <v>2231</v>
      </c>
      <c r="O631" s="81" t="s">
        <v>2187</v>
      </c>
      <c r="P631" s="81" t="s">
        <v>2187</v>
      </c>
      <c r="Q631" s="81" t="s">
        <v>43</v>
      </c>
      <c r="R631" s="81" t="s">
        <v>203</v>
      </c>
      <c r="S631" s="81" t="s">
        <v>47</v>
      </c>
      <c r="T631" s="81" t="s">
        <v>48</v>
      </c>
      <c r="U631" s="81" t="s">
        <v>48</v>
      </c>
      <c r="V631" s="81" t="s">
        <v>48</v>
      </c>
      <c r="W631" s="81" t="s">
        <v>49</v>
      </c>
      <c r="X631" s="81" t="s">
        <v>48</v>
      </c>
      <c r="Y631" s="81" t="s">
        <v>48</v>
      </c>
    </row>
    <row r="632" spans="1:25" x14ac:dyDescent="0.3">
      <c r="A632" s="16">
        <v>7501057002663</v>
      </c>
      <c r="B632" s="81" t="s">
        <v>43</v>
      </c>
      <c r="C632" s="81" t="s">
        <v>669</v>
      </c>
      <c r="D632" s="81" t="s">
        <v>45</v>
      </c>
      <c r="E632" s="81" t="s">
        <v>2191</v>
      </c>
      <c r="F632" s="81" t="s">
        <v>2303</v>
      </c>
      <c r="G632" s="81" t="s">
        <v>4796</v>
      </c>
      <c r="H632" s="81" t="s">
        <v>2905</v>
      </c>
      <c r="I632" s="81" t="s">
        <v>2668</v>
      </c>
      <c r="J632" s="81" t="s">
        <v>2186</v>
      </c>
      <c r="K632" s="81" t="s">
        <v>3020</v>
      </c>
      <c r="L632" s="81" t="s">
        <v>2392</v>
      </c>
      <c r="M632" s="81" t="s">
        <v>2669</v>
      </c>
      <c r="N632" s="81" t="s">
        <v>2231</v>
      </c>
      <c r="O632" s="81" t="s">
        <v>2187</v>
      </c>
      <c r="P632" s="81" t="s">
        <v>2187</v>
      </c>
      <c r="Q632" s="81" t="s">
        <v>43</v>
      </c>
      <c r="R632" s="81" t="s">
        <v>203</v>
      </c>
      <c r="S632" s="81" t="s">
        <v>47</v>
      </c>
      <c r="T632" s="81" t="s">
        <v>48</v>
      </c>
      <c r="U632" s="81" t="s">
        <v>48</v>
      </c>
      <c r="V632" s="81" t="s">
        <v>48</v>
      </c>
      <c r="W632" s="81" t="s">
        <v>49</v>
      </c>
      <c r="X632" s="81" t="s">
        <v>48</v>
      </c>
      <c r="Y632" s="81" t="s">
        <v>48</v>
      </c>
    </row>
    <row r="633" spans="1:25" x14ac:dyDescent="0.3">
      <c r="A633" s="16">
        <v>7501314704187</v>
      </c>
      <c r="B633" s="81" t="s">
        <v>43</v>
      </c>
      <c r="C633" s="81" t="s">
        <v>3197</v>
      </c>
      <c r="D633" s="81" t="s">
        <v>45</v>
      </c>
      <c r="E633" s="81" t="s">
        <v>2303</v>
      </c>
      <c r="F633" s="81" t="s">
        <v>2233</v>
      </c>
      <c r="G633" s="81" t="s">
        <v>3198</v>
      </c>
      <c r="H633" s="81" t="s">
        <v>2691</v>
      </c>
      <c r="I633" s="81" t="s">
        <v>6022</v>
      </c>
      <c r="J633" s="81" t="s">
        <v>2186</v>
      </c>
      <c r="K633" s="81" t="s">
        <v>6022</v>
      </c>
      <c r="L633" s="81" t="s">
        <v>2392</v>
      </c>
      <c r="M633" s="81" t="s">
        <v>6022</v>
      </c>
      <c r="N633" s="81" t="s">
        <v>2231</v>
      </c>
      <c r="O633" s="81" t="s">
        <v>2187</v>
      </c>
      <c r="P633" s="81" t="s">
        <v>2187</v>
      </c>
      <c r="Q633" s="81" t="s">
        <v>43</v>
      </c>
      <c r="R633" s="81" t="s">
        <v>46</v>
      </c>
      <c r="S633" s="81" t="s">
        <v>46</v>
      </c>
      <c r="T633" s="81" t="s">
        <v>48</v>
      </c>
      <c r="U633" s="81" t="s">
        <v>48</v>
      </c>
      <c r="V633" s="81" t="s">
        <v>48</v>
      </c>
      <c r="W633" s="81" t="s">
        <v>49</v>
      </c>
      <c r="X633" s="81" t="s">
        <v>48</v>
      </c>
      <c r="Y633" s="81" t="s">
        <v>48</v>
      </c>
    </row>
    <row r="634" spans="1:25" x14ac:dyDescent="0.3">
      <c r="A634" s="16">
        <v>7501314704156</v>
      </c>
      <c r="B634" s="81" t="s">
        <v>43</v>
      </c>
      <c r="C634" s="81" t="s">
        <v>3199</v>
      </c>
      <c r="D634" s="81" t="s">
        <v>45</v>
      </c>
      <c r="E634" s="81" t="s">
        <v>2233</v>
      </c>
      <c r="F634" s="81" t="s">
        <v>2234</v>
      </c>
      <c r="G634" s="81" t="s">
        <v>3198</v>
      </c>
      <c r="H634" s="81" t="s">
        <v>2279</v>
      </c>
      <c r="I634" s="81" t="s">
        <v>5993</v>
      </c>
      <c r="J634" s="81" t="s">
        <v>2186</v>
      </c>
      <c r="K634" s="81" t="s">
        <v>5993</v>
      </c>
      <c r="L634" s="81" t="s">
        <v>2392</v>
      </c>
      <c r="M634" s="81" t="s">
        <v>5993</v>
      </c>
      <c r="N634" s="81" t="s">
        <v>2231</v>
      </c>
      <c r="O634" s="81" t="s">
        <v>2187</v>
      </c>
      <c r="P634" s="81" t="s">
        <v>2187</v>
      </c>
      <c r="Q634" s="81" t="s">
        <v>43</v>
      </c>
      <c r="R634" s="81" t="s">
        <v>46</v>
      </c>
      <c r="S634" s="81" t="s">
        <v>46</v>
      </c>
      <c r="T634" s="81" t="s">
        <v>48</v>
      </c>
      <c r="U634" s="81" t="s">
        <v>48</v>
      </c>
      <c r="V634" s="81" t="s">
        <v>48</v>
      </c>
      <c r="W634" s="81" t="s">
        <v>49</v>
      </c>
      <c r="X634" s="81" t="s">
        <v>48</v>
      </c>
      <c r="Y634" s="81" t="s">
        <v>48</v>
      </c>
    </row>
    <row r="635" spans="1:25" x14ac:dyDescent="0.3">
      <c r="A635" s="16">
        <v>7501075717860</v>
      </c>
      <c r="B635" s="81" t="s">
        <v>43</v>
      </c>
      <c r="C635" s="81" t="s">
        <v>1951</v>
      </c>
      <c r="D635" s="81" t="s">
        <v>45</v>
      </c>
      <c r="E635" s="81" t="s">
        <v>2191</v>
      </c>
      <c r="F635" s="81" t="s">
        <v>2192</v>
      </c>
      <c r="G635" s="81" t="s">
        <v>6023</v>
      </c>
      <c r="H635" s="81" t="s">
        <v>2259</v>
      </c>
      <c r="I635" s="81" t="s">
        <v>5680</v>
      </c>
      <c r="J635" s="81" t="s">
        <v>2186</v>
      </c>
      <c r="K635" s="81" t="s">
        <v>5680</v>
      </c>
      <c r="L635" s="81" t="s">
        <v>2392</v>
      </c>
      <c r="M635" s="81" t="s">
        <v>5680</v>
      </c>
      <c r="N635" s="81" t="s">
        <v>2231</v>
      </c>
      <c r="O635" s="81" t="s">
        <v>2187</v>
      </c>
      <c r="P635" s="81" t="s">
        <v>2187</v>
      </c>
      <c r="Q635" s="81" t="s">
        <v>43</v>
      </c>
      <c r="R635" s="81" t="s">
        <v>46</v>
      </c>
      <c r="S635" s="81" t="s">
        <v>46</v>
      </c>
      <c r="T635" s="81" t="s">
        <v>48</v>
      </c>
      <c r="U635" s="81" t="s">
        <v>48</v>
      </c>
      <c r="V635" s="81" t="s">
        <v>48</v>
      </c>
      <c r="W635" s="81" t="s">
        <v>49</v>
      </c>
      <c r="X635" s="81" t="s">
        <v>48</v>
      </c>
      <c r="Y635" s="81" t="s">
        <v>48</v>
      </c>
    </row>
    <row r="636" spans="1:25" x14ac:dyDescent="0.3">
      <c r="A636" s="16">
        <v>7501349028234</v>
      </c>
      <c r="B636" s="81" t="s">
        <v>43</v>
      </c>
      <c r="C636" s="81" t="s">
        <v>670</v>
      </c>
      <c r="D636" s="81" t="s">
        <v>45</v>
      </c>
      <c r="E636" s="81" t="s">
        <v>2257</v>
      </c>
      <c r="F636" s="81" t="s">
        <v>2323</v>
      </c>
      <c r="G636" s="81" t="s">
        <v>5397</v>
      </c>
      <c r="H636" s="81" t="s">
        <v>2217</v>
      </c>
      <c r="I636" s="81" t="s">
        <v>6024</v>
      </c>
      <c r="J636" s="81" t="s">
        <v>2186</v>
      </c>
      <c r="K636" s="81" t="s">
        <v>6024</v>
      </c>
      <c r="L636" s="81" t="s">
        <v>2392</v>
      </c>
      <c r="M636" s="81" t="s">
        <v>6024</v>
      </c>
      <c r="N636" s="81" t="s">
        <v>2231</v>
      </c>
      <c r="O636" s="81" t="s">
        <v>2187</v>
      </c>
      <c r="P636" s="81" t="s">
        <v>2187</v>
      </c>
      <c r="Q636" s="81" t="s">
        <v>43</v>
      </c>
      <c r="R636" s="81" t="s">
        <v>46</v>
      </c>
      <c r="S636" s="81" t="s">
        <v>73</v>
      </c>
      <c r="T636" s="81" t="s">
        <v>48</v>
      </c>
      <c r="U636" s="81" t="s">
        <v>48</v>
      </c>
      <c r="V636" s="81" t="s">
        <v>48</v>
      </c>
      <c r="W636" s="81" t="s">
        <v>49</v>
      </c>
      <c r="X636" s="81" t="s">
        <v>48</v>
      </c>
      <c r="Y636" s="81" t="s">
        <v>48</v>
      </c>
    </row>
    <row r="637" spans="1:25" x14ac:dyDescent="0.3">
      <c r="A637" s="16">
        <v>5000174305449</v>
      </c>
      <c r="B637" s="81" t="s">
        <v>43</v>
      </c>
      <c r="C637" s="81" t="s">
        <v>671</v>
      </c>
      <c r="D637" s="81" t="s">
        <v>45</v>
      </c>
      <c r="E637" s="81" t="s">
        <v>2323</v>
      </c>
      <c r="F637" s="81" t="s">
        <v>2639</v>
      </c>
      <c r="G637" s="81" t="s">
        <v>5208</v>
      </c>
      <c r="H637" s="81" t="s">
        <v>2518</v>
      </c>
      <c r="I637" s="81" t="s">
        <v>5153</v>
      </c>
      <c r="J637" s="81" t="s">
        <v>2186</v>
      </c>
      <c r="K637" s="81" t="s">
        <v>5153</v>
      </c>
      <c r="L637" s="81" t="s">
        <v>2392</v>
      </c>
      <c r="M637" s="81" t="s">
        <v>5153</v>
      </c>
      <c r="N637" s="81" t="s">
        <v>2231</v>
      </c>
      <c r="O637" s="81" t="s">
        <v>2187</v>
      </c>
      <c r="P637" s="81" t="s">
        <v>2187</v>
      </c>
      <c r="Q637" s="81" t="s">
        <v>43</v>
      </c>
      <c r="R637" s="81" t="s">
        <v>203</v>
      </c>
      <c r="S637" s="81" t="s">
        <v>203</v>
      </c>
      <c r="T637" s="81" t="s">
        <v>48</v>
      </c>
      <c r="U637" s="81" t="s">
        <v>48</v>
      </c>
      <c r="V637" s="81" t="s">
        <v>49</v>
      </c>
      <c r="W637" s="81" t="s">
        <v>48</v>
      </c>
      <c r="X637" s="81" t="s">
        <v>48</v>
      </c>
      <c r="Y637" s="81" t="s">
        <v>48</v>
      </c>
    </row>
    <row r="638" spans="1:25" x14ac:dyDescent="0.3">
      <c r="A638" s="16">
        <v>5000174003963</v>
      </c>
      <c r="B638" s="81" t="s">
        <v>43</v>
      </c>
      <c r="C638" s="81" t="s">
        <v>672</v>
      </c>
      <c r="D638" s="81" t="s">
        <v>45</v>
      </c>
      <c r="E638" s="81" t="s">
        <v>2262</v>
      </c>
      <c r="F638" s="81" t="s">
        <v>2263</v>
      </c>
      <c r="G638" s="81" t="s">
        <v>5209</v>
      </c>
      <c r="H638" s="81" t="s">
        <v>3200</v>
      </c>
      <c r="I638" s="81" t="s">
        <v>5154</v>
      </c>
      <c r="J638" s="81" t="s">
        <v>2186</v>
      </c>
      <c r="K638" s="81" t="s">
        <v>5154</v>
      </c>
      <c r="L638" s="81" t="s">
        <v>2392</v>
      </c>
      <c r="M638" s="81" t="s">
        <v>5154</v>
      </c>
      <c r="N638" s="81" t="s">
        <v>2231</v>
      </c>
      <c r="O638" s="81" t="s">
        <v>2187</v>
      </c>
      <c r="P638" s="81" t="s">
        <v>2187</v>
      </c>
      <c r="Q638" s="81" t="s">
        <v>43</v>
      </c>
      <c r="R638" s="81" t="s">
        <v>203</v>
      </c>
      <c r="S638" s="81" t="s">
        <v>203</v>
      </c>
      <c r="T638" s="81" t="s">
        <v>48</v>
      </c>
      <c r="U638" s="81" t="s">
        <v>48</v>
      </c>
      <c r="V638" s="81" t="s">
        <v>49</v>
      </c>
      <c r="W638" s="81" t="s">
        <v>48</v>
      </c>
      <c r="X638" s="81" t="s">
        <v>48</v>
      </c>
      <c r="Y638" s="81" t="s">
        <v>48</v>
      </c>
    </row>
    <row r="639" spans="1:25" x14ac:dyDescent="0.3">
      <c r="A639" s="16">
        <v>7501008498798</v>
      </c>
      <c r="B639" s="81" t="s">
        <v>43</v>
      </c>
      <c r="C639" s="81" t="s">
        <v>673</v>
      </c>
      <c r="D639" s="81" t="s">
        <v>45</v>
      </c>
      <c r="E639" s="81" t="s">
        <v>2370</v>
      </c>
      <c r="F639" s="81" t="s">
        <v>2814</v>
      </c>
      <c r="G639" s="81" t="s">
        <v>5337</v>
      </c>
      <c r="H639" s="81" t="s">
        <v>2941</v>
      </c>
      <c r="I639" s="81" t="s">
        <v>5155</v>
      </c>
      <c r="J639" s="81" t="s">
        <v>2186</v>
      </c>
      <c r="K639" s="81" t="s">
        <v>5155</v>
      </c>
      <c r="L639" s="81" t="s">
        <v>2392</v>
      </c>
      <c r="M639" s="81" t="s">
        <v>5155</v>
      </c>
      <c r="N639" s="81" t="s">
        <v>2231</v>
      </c>
      <c r="O639" s="81" t="s">
        <v>2187</v>
      </c>
      <c r="P639" s="81" t="s">
        <v>2187</v>
      </c>
      <c r="Q639" s="81" t="s">
        <v>43</v>
      </c>
      <c r="R639" s="81" t="s">
        <v>203</v>
      </c>
      <c r="S639" s="81" t="s">
        <v>203</v>
      </c>
      <c r="T639" s="81" t="s">
        <v>48</v>
      </c>
      <c r="U639" s="81" t="s">
        <v>48</v>
      </c>
      <c r="V639" s="81" t="s">
        <v>48</v>
      </c>
      <c r="W639" s="81" t="s">
        <v>49</v>
      </c>
      <c r="X639" s="81" t="s">
        <v>48</v>
      </c>
      <c r="Y639" s="81" t="s">
        <v>48</v>
      </c>
    </row>
    <row r="640" spans="1:25" x14ac:dyDescent="0.3">
      <c r="A640" s="16">
        <v>7502253602367</v>
      </c>
      <c r="B640" s="81" t="s">
        <v>43</v>
      </c>
      <c r="C640" s="81" t="s">
        <v>674</v>
      </c>
      <c r="D640" s="81" t="s">
        <v>45</v>
      </c>
      <c r="E640" s="81" t="s">
        <v>2180</v>
      </c>
      <c r="F640" s="81" t="s">
        <v>2298</v>
      </c>
      <c r="G640" s="81" t="s">
        <v>4905</v>
      </c>
      <c r="H640" s="81" t="s">
        <v>3202</v>
      </c>
      <c r="I640" s="81" t="s">
        <v>3203</v>
      </c>
      <c r="J640" s="81" t="s">
        <v>2186</v>
      </c>
      <c r="K640" s="81" t="s">
        <v>3203</v>
      </c>
      <c r="L640" s="81" t="s">
        <v>2392</v>
      </c>
      <c r="M640" s="81" t="s">
        <v>3203</v>
      </c>
      <c r="N640" s="81" t="s">
        <v>2231</v>
      </c>
      <c r="O640" s="81" t="s">
        <v>2187</v>
      </c>
      <c r="P640" s="81" t="s">
        <v>2187</v>
      </c>
      <c r="Q640" s="81" t="s">
        <v>43</v>
      </c>
      <c r="R640" s="81" t="s">
        <v>46</v>
      </c>
      <c r="S640" s="81" t="s">
        <v>46</v>
      </c>
      <c r="T640" s="81" t="s">
        <v>48</v>
      </c>
      <c r="U640" s="81" t="s">
        <v>48</v>
      </c>
      <c r="V640" s="81" t="s">
        <v>49</v>
      </c>
      <c r="W640" s="81" t="s">
        <v>48</v>
      </c>
      <c r="X640" s="81" t="s">
        <v>48</v>
      </c>
      <c r="Y640" s="81" t="s">
        <v>48</v>
      </c>
    </row>
    <row r="641" spans="1:25" x14ac:dyDescent="0.3">
      <c r="A641" s="16">
        <v>7501537166311</v>
      </c>
      <c r="B641" s="81" t="s">
        <v>43</v>
      </c>
      <c r="C641" s="81" t="s">
        <v>675</v>
      </c>
      <c r="D641" s="81" t="s">
        <v>45</v>
      </c>
      <c r="E641" s="81" t="s">
        <v>3204</v>
      </c>
      <c r="F641" s="81" t="s">
        <v>3205</v>
      </c>
      <c r="G641" s="81" t="s">
        <v>3206</v>
      </c>
      <c r="H641" s="81" t="s">
        <v>2217</v>
      </c>
      <c r="I641" s="81" t="s">
        <v>2810</v>
      </c>
      <c r="J641" s="81" t="s">
        <v>2186</v>
      </c>
      <c r="K641" s="81" t="s">
        <v>2810</v>
      </c>
      <c r="L641" s="81" t="s">
        <v>2392</v>
      </c>
      <c r="M641" s="81" t="s">
        <v>2810</v>
      </c>
      <c r="N641" s="81" t="s">
        <v>2231</v>
      </c>
      <c r="O641" s="81" t="s">
        <v>2187</v>
      </c>
      <c r="P641" s="81" t="s">
        <v>2187</v>
      </c>
      <c r="Q641" s="81" t="s">
        <v>43</v>
      </c>
      <c r="R641" s="81" t="s">
        <v>46</v>
      </c>
      <c r="S641" s="81" t="s">
        <v>47</v>
      </c>
      <c r="T641" s="81" t="s">
        <v>48</v>
      </c>
      <c r="U641" s="81" t="s">
        <v>48</v>
      </c>
      <c r="V641" s="81" t="s">
        <v>48</v>
      </c>
      <c r="W641" s="81" t="s">
        <v>49</v>
      </c>
      <c r="X641" s="81" t="s">
        <v>48</v>
      </c>
      <c r="Y641" s="81" t="s">
        <v>48</v>
      </c>
    </row>
    <row r="642" spans="1:25" x14ac:dyDescent="0.3">
      <c r="A642" s="16">
        <v>7502001165588</v>
      </c>
      <c r="B642" s="81" t="s">
        <v>43</v>
      </c>
      <c r="C642" s="81" t="s">
        <v>676</v>
      </c>
      <c r="D642" s="81" t="s">
        <v>45</v>
      </c>
      <c r="E642" s="81" t="s">
        <v>2195</v>
      </c>
      <c r="F642" s="81" t="s">
        <v>2877</v>
      </c>
      <c r="G642" s="81" t="s">
        <v>2250</v>
      </c>
      <c r="H642" s="81" t="s">
        <v>2331</v>
      </c>
      <c r="I642" s="81" t="s">
        <v>6025</v>
      </c>
      <c r="J642" s="81" t="s">
        <v>2186</v>
      </c>
      <c r="K642" s="81" t="s">
        <v>6025</v>
      </c>
      <c r="L642" s="81" t="s">
        <v>2392</v>
      </c>
      <c r="M642" s="81" t="s">
        <v>6025</v>
      </c>
      <c r="N642" s="81" t="s">
        <v>2231</v>
      </c>
      <c r="O642" s="81" t="s">
        <v>2187</v>
      </c>
      <c r="P642" s="81" t="s">
        <v>2187</v>
      </c>
      <c r="Q642" s="81" t="s">
        <v>43</v>
      </c>
      <c r="R642" s="81" t="s">
        <v>46</v>
      </c>
      <c r="S642" s="81" t="s">
        <v>164</v>
      </c>
      <c r="T642" s="81" t="s">
        <v>48</v>
      </c>
      <c r="U642" s="81" t="s">
        <v>48</v>
      </c>
      <c r="V642" s="81" t="s">
        <v>48</v>
      </c>
      <c r="W642" s="81" t="s">
        <v>49</v>
      </c>
      <c r="X642" s="81" t="s">
        <v>48</v>
      </c>
      <c r="Y642" s="81" t="s">
        <v>48</v>
      </c>
    </row>
    <row r="643" spans="1:25" x14ac:dyDescent="0.3">
      <c r="A643" s="16">
        <v>7502211789352</v>
      </c>
      <c r="B643" s="81" t="s">
        <v>43</v>
      </c>
      <c r="C643" s="81" t="s">
        <v>677</v>
      </c>
      <c r="D643" s="81" t="s">
        <v>45</v>
      </c>
      <c r="E643" s="81" t="s">
        <v>2448</v>
      </c>
      <c r="F643" s="81" t="s">
        <v>3078</v>
      </c>
      <c r="G643" s="81" t="s">
        <v>3207</v>
      </c>
      <c r="H643" s="81" t="s">
        <v>2264</v>
      </c>
      <c r="I643" s="81" t="s">
        <v>6026</v>
      </c>
      <c r="J643" s="81" t="s">
        <v>2186</v>
      </c>
      <c r="K643" s="81" t="s">
        <v>6026</v>
      </c>
      <c r="L643" s="81" t="s">
        <v>2392</v>
      </c>
      <c r="M643" s="81" t="s">
        <v>6026</v>
      </c>
      <c r="N643" s="81" t="s">
        <v>2231</v>
      </c>
      <c r="O643" s="81" t="s">
        <v>2187</v>
      </c>
      <c r="P643" s="81" t="s">
        <v>2187</v>
      </c>
      <c r="Q643" s="81" t="s">
        <v>43</v>
      </c>
      <c r="R643" s="81" t="s">
        <v>46</v>
      </c>
      <c r="S643" s="81" t="s">
        <v>47</v>
      </c>
      <c r="T643" s="81" t="s">
        <v>48</v>
      </c>
      <c r="U643" s="81" t="s">
        <v>48</v>
      </c>
      <c r="V643" s="81" t="s">
        <v>48</v>
      </c>
      <c r="W643" s="81" t="s">
        <v>49</v>
      </c>
      <c r="X643" s="81" t="s">
        <v>48</v>
      </c>
      <c r="Y643" s="81" t="s">
        <v>48</v>
      </c>
    </row>
    <row r="644" spans="1:25" x14ac:dyDescent="0.3">
      <c r="A644" s="16">
        <v>7501258203395</v>
      </c>
      <c r="B644" s="81" t="s">
        <v>43</v>
      </c>
      <c r="C644" s="81" t="s">
        <v>678</v>
      </c>
      <c r="D644" s="81" t="s">
        <v>45</v>
      </c>
      <c r="E644" s="81" t="s">
        <v>2363</v>
      </c>
      <c r="F644" s="81" t="s">
        <v>2364</v>
      </c>
      <c r="G644" s="81" t="s">
        <v>3208</v>
      </c>
      <c r="H644" s="81" t="s">
        <v>2353</v>
      </c>
      <c r="I644" s="81" t="s">
        <v>2291</v>
      </c>
      <c r="J644" s="81" t="s">
        <v>2186</v>
      </c>
      <c r="K644" s="81" t="s">
        <v>2291</v>
      </c>
      <c r="L644" s="81" t="s">
        <v>2392</v>
      </c>
      <c r="M644" s="81" t="s">
        <v>2291</v>
      </c>
      <c r="N644" s="81" t="s">
        <v>2231</v>
      </c>
      <c r="O644" s="81" t="s">
        <v>2187</v>
      </c>
      <c r="P644" s="81" t="s">
        <v>2187</v>
      </c>
      <c r="Q644" s="81" t="s">
        <v>43</v>
      </c>
      <c r="R644" s="81" t="s">
        <v>46</v>
      </c>
      <c r="S644" s="81" t="s">
        <v>47</v>
      </c>
      <c r="T644" s="81" t="s">
        <v>48</v>
      </c>
      <c r="U644" s="81" t="s">
        <v>48</v>
      </c>
      <c r="V644" s="81" t="s">
        <v>48</v>
      </c>
      <c r="W644" s="81" t="s">
        <v>49</v>
      </c>
      <c r="X644" s="81" t="s">
        <v>48</v>
      </c>
      <c r="Y644" s="81" t="s">
        <v>48</v>
      </c>
    </row>
    <row r="645" spans="1:25" x14ac:dyDescent="0.3">
      <c r="A645" s="16">
        <v>7501384547912</v>
      </c>
      <c r="B645" s="81" t="s">
        <v>43</v>
      </c>
      <c r="C645" s="81" t="s">
        <v>679</v>
      </c>
      <c r="D645" s="81" t="s">
        <v>45</v>
      </c>
      <c r="E645" s="81" t="s">
        <v>2262</v>
      </c>
      <c r="F645" s="81" t="s">
        <v>2263</v>
      </c>
      <c r="G645" s="81" t="s">
        <v>5024</v>
      </c>
      <c r="H645" s="81" t="s">
        <v>2434</v>
      </c>
      <c r="I645" s="81" t="s">
        <v>6027</v>
      </c>
      <c r="J645" s="81" t="s">
        <v>2186</v>
      </c>
      <c r="K645" s="81" t="s">
        <v>6027</v>
      </c>
      <c r="L645" s="81" t="s">
        <v>2392</v>
      </c>
      <c r="M645" s="81" t="s">
        <v>6027</v>
      </c>
      <c r="N645" s="81" t="s">
        <v>2231</v>
      </c>
      <c r="O645" s="81" t="s">
        <v>2187</v>
      </c>
      <c r="P645" s="81" t="s">
        <v>2187</v>
      </c>
      <c r="Q645" s="81" t="s">
        <v>43</v>
      </c>
      <c r="R645" s="81" t="s">
        <v>46</v>
      </c>
      <c r="S645" s="81" t="s">
        <v>47</v>
      </c>
      <c r="T645" s="81" t="s">
        <v>48</v>
      </c>
      <c r="U645" s="81" t="s">
        <v>48</v>
      </c>
      <c r="V645" s="81" t="s">
        <v>48</v>
      </c>
      <c r="W645" s="81" t="s">
        <v>49</v>
      </c>
      <c r="X645" s="81" t="s">
        <v>48</v>
      </c>
      <c r="Y645" s="81" t="s">
        <v>48</v>
      </c>
    </row>
    <row r="646" spans="1:25" x14ac:dyDescent="0.3">
      <c r="A646" s="16">
        <v>7501008433553</v>
      </c>
      <c r="B646" s="81" t="s">
        <v>43</v>
      </c>
      <c r="C646" s="81" t="s">
        <v>1952</v>
      </c>
      <c r="D646" s="81" t="s">
        <v>45</v>
      </c>
      <c r="E646" s="81" t="s">
        <v>2370</v>
      </c>
      <c r="F646" s="81" t="s">
        <v>2814</v>
      </c>
      <c r="G646" s="81" t="s">
        <v>5338</v>
      </c>
      <c r="H646" s="81" t="s">
        <v>2315</v>
      </c>
      <c r="I646" s="81" t="s">
        <v>5492</v>
      </c>
      <c r="J646" s="81" t="s">
        <v>2186</v>
      </c>
      <c r="K646" s="81" t="s">
        <v>5492</v>
      </c>
      <c r="L646" s="81" t="s">
        <v>2392</v>
      </c>
      <c r="M646" s="81" t="s">
        <v>5492</v>
      </c>
      <c r="N646" s="81" t="s">
        <v>2231</v>
      </c>
      <c r="O646" s="81" t="s">
        <v>2187</v>
      </c>
      <c r="P646" s="81" t="s">
        <v>2187</v>
      </c>
      <c r="Q646" s="81" t="s">
        <v>43</v>
      </c>
      <c r="R646" s="81" t="s">
        <v>203</v>
      </c>
      <c r="S646" s="81" t="s">
        <v>47</v>
      </c>
      <c r="T646" s="81" t="s">
        <v>48</v>
      </c>
      <c r="U646" s="81" t="s">
        <v>48</v>
      </c>
      <c r="V646" s="81" t="s">
        <v>48</v>
      </c>
      <c r="W646" s="81" t="s">
        <v>49</v>
      </c>
      <c r="X646" s="81" t="s">
        <v>48</v>
      </c>
      <c r="Y646" s="81" t="s">
        <v>48</v>
      </c>
    </row>
    <row r="647" spans="1:25" x14ac:dyDescent="0.3">
      <c r="A647" s="16">
        <v>7502240450773</v>
      </c>
      <c r="B647" s="81" t="s">
        <v>43</v>
      </c>
      <c r="C647" s="81" t="s">
        <v>680</v>
      </c>
      <c r="D647" s="81" t="s">
        <v>45</v>
      </c>
      <c r="E647" s="81" t="s">
        <v>2338</v>
      </c>
      <c r="F647" s="81" t="s">
        <v>2526</v>
      </c>
      <c r="G647" s="81" t="s">
        <v>4859</v>
      </c>
      <c r="H647" s="81" t="s">
        <v>2217</v>
      </c>
      <c r="I647" s="81" t="s">
        <v>5575</v>
      </c>
      <c r="J647" s="81" t="s">
        <v>2186</v>
      </c>
      <c r="K647" s="81" t="s">
        <v>5575</v>
      </c>
      <c r="L647" s="81" t="s">
        <v>2392</v>
      </c>
      <c r="M647" s="81" t="s">
        <v>5575</v>
      </c>
      <c r="N647" s="81" t="s">
        <v>2231</v>
      </c>
      <c r="O647" s="81" t="s">
        <v>2187</v>
      </c>
      <c r="P647" s="81" t="s">
        <v>2187</v>
      </c>
      <c r="Q647" s="81" t="s">
        <v>43</v>
      </c>
      <c r="R647" s="81" t="s">
        <v>46</v>
      </c>
      <c r="S647" s="81" t="s">
        <v>46</v>
      </c>
      <c r="T647" s="81" t="s">
        <v>48</v>
      </c>
      <c r="U647" s="81" t="s">
        <v>48</v>
      </c>
      <c r="V647" s="81" t="s">
        <v>48</v>
      </c>
      <c r="W647" s="81" t="s">
        <v>49</v>
      </c>
      <c r="X647" s="81" t="s">
        <v>48</v>
      </c>
      <c r="Y647" s="81" t="s">
        <v>48</v>
      </c>
    </row>
    <row r="648" spans="1:25" x14ac:dyDescent="0.3">
      <c r="A648" s="16">
        <v>7501825300717</v>
      </c>
      <c r="B648" s="81" t="s">
        <v>43</v>
      </c>
      <c r="C648" s="81" t="s">
        <v>2139</v>
      </c>
      <c r="D648" s="81" t="s">
        <v>45</v>
      </c>
      <c r="E648" s="81" t="s">
        <v>3210</v>
      </c>
      <c r="F648" s="81" t="s">
        <v>3211</v>
      </c>
      <c r="G648" s="81" t="s">
        <v>4969</v>
      </c>
      <c r="H648" s="81" t="s">
        <v>2190</v>
      </c>
      <c r="I648" s="81" t="s">
        <v>6028</v>
      </c>
      <c r="J648" s="81" t="s">
        <v>2186</v>
      </c>
      <c r="K648" s="81" t="s">
        <v>6028</v>
      </c>
      <c r="L648" s="81" t="s">
        <v>2392</v>
      </c>
      <c r="M648" s="81" t="s">
        <v>6028</v>
      </c>
      <c r="N648" s="81" t="s">
        <v>2231</v>
      </c>
      <c r="O648" s="81" t="s">
        <v>2187</v>
      </c>
      <c r="P648" s="81" t="s">
        <v>2187</v>
      </c>
      <c r="Q648" s="81" t="s">
        <v>43</v>
      </c>
      <c r="R648" s="81" t="s">
        <v>46</v>
      </c>
      <c r="S648" s="81" t="s">
        <v>46</v>
      </c>
      <c r="T648" s="81" t="s">
        <v>48</v>
      </c>
      <c r="U648" s="81" t="s">
        <v>48</v>
      </c>
      <c r="V648" s="81" t="s">
        <v>48</v>
      </c>
      <c r="W648" s="81" t="s">
        <v>49</v>
      </c>
      <c r="X648" s="81" t="s">
        <v>48</v>
      </c>
      <c r="Y648" s="81" t="s">
        <v>48</v>
      </c>
    </row>
    <row r="649" spans="1:25" x14ac:dyDescent="0.3">
      <c r="A649" s="16">
        <v>7501088509766</v>
      </c>
      <c r="B649" s="81" t="s">
        <v>43</v>
      </c>
      <c r="C649" s="81" t="s">
        <v>3212</v>
      </c>
      <c r="D649" s="81" t="s">
        <v>45</v>
      </c>
      <c r="E649" s="81" t="s">
        <v>2448</v>
      </c>
      <c r="F649" s="81" t="s">
        <v>2540</v>
      </c>
      <c r="G649" s="81" t="s">
        <v>5210</v>
      </c>
      <c r="H649" s="81" t="s">
        <v>2397</v>
      </c>
      <c r="I649" s="81" t="s">
        <v>2667</v>
      </c>
      <c r="J649" s="81" t="s">
        <v>2186</v>
      </c>
      <c r="K649" s="81" t="s">
        <v>2789</v>
      </c>
      <c r="L649" s="81" t="s">
        <v>2392</v>
      </c>
      <c r="M649" s="81" t="s">
        <v>2552</v>
      </c>
      <c r="N649" s="81" t="s">
        <v>2231</v>
      </c>
      <c r="O649" s="81" t="s">
        <v>2187</v>
      </c>
      <c r="P649" s="81" t="s">
        <v>2187</v>
      </c>
      <c r="Q649" s="81" t="s">
        <v>43</v>
      </c>
      <c r="R649" s="81" t="s">
        <v>203</v>
      </c>
      <c r="S649" s="81" t="s">
        <v>164</v>
      </c>
      <c r="T649" s="81" t="s">
        <v>48</v>
      </c>
      <c r="U649" s="81" t="s">
        <v>48</v>
      </c>
      <c r="V649" s="81" t="s">
        <v>48</v>
      </c>
      <c r="W649" s="81" t="s">
        <v>49</v>
      </c>
      <c r="X649" s="81" t="s">
        <v>48</v>
      </c>
      <c r="Y649" s="81" t="s">
        <v>48</v>
      </c>
    </row>
    <row r="650" spans="1:25" x14ac:dyDescent="0.3">
      <c r="A650" s="16">
        <v>7501287630926</v>
      </c>
      <c r="B650" s="81" t="s">
        <v>43</v>
      </c>
      <c r="C650" s="81" t="s">
        <v>681</v>
      </c>
      <c r="D650" s="81" t="s">
        <v>45</v>
      </c>
      <c r="E650" s="81" t="s">
        <v>2248</v>
      </c>
      <c r="F650" s="81" t="s">
        <v>2405</v>
      </c>
      <c r="G650" s="81" t="s">
        <v>4729</v>
      </c>
      <c r="H650" s="81" t="s">
        <v>3213</v>
      </c>
      <c r="I650" s="81" t="s">
        <v>4415</v>
      </c>
      <c r="J650" s="81" t="s">
        <v>2186</v>
      </c>
      <c r="K650" s="81" t="s">
        <v>4416</v>
      </c>
      <c r="L650" s="81" t="s">
        <v>2392</v>
      </c>
      <c r="M650" s="81" t="s">
        <v>2928</v>
      </c>
      <c r="N650" s="81" t="s">
        <v>2231</v>
      </c>
      <c r="O650" s="81" t="s">
        <v>2187</v>
      </c>
      <c r="P650" s="81" t="s">
        <v>2187</v>
      </c>
      <c r="Q650" s="81" t="s">
        <v>43</v>
      </c>
      <c r="R650" s="81" t="s">
        <v>51</v>
      </c>
      <c r="S650" s="81" t="s">
        <v>81</v>
      </c>
      <c r="T650" s="81" t="s">
        <v>49</v>
      </c>
      <c r="U650" s="81" t="s">
        <v>48</v>
      </c>
      <c r="V650" s="81" t="s">
        <v>48</v>
      </c>
      <c r="W650" s="81" t="s">
        <v>49</v>
      </c>
      <c r="X650" s="81" t="s">
        <v>48</v>
      </c>
      <c r="Y650" s="81" t="s">
        <v>48</v>
      </c>
    </row>
    <row r="651" spans="1:25" x14ac:dyDescent="0.3">
      <c r="A651" s="16">
        <v>7502216792289</v>
      </c>
      <c r="B651" s="81" t="s">
        <v>43</v>
      </c>
      <c r="C651" s="81" t="s">
        <v>682</v>
      </c>
      <c r="D651" s="81" t="s">
        <v>45</v>
      </c>
      <c r="E651" s="81" t="s">
        <v>2645</v>
      </c>
      <c r="F651" s="81" t="s">
        <v>2431</v>
      </c>
      <c r="G651" s="81" t="s">
        <v>7111</v>
      </c>
      <c r="H651" s="81" t="s">
        <v>2206</v>
      </c>
      <c r="I651" s="81" t="s">
        <v>5695</v>
      </c>
      <c r="J651" s="81" t="s">
        <v>2186</v>
      </c>
      <c r="K651" s="81" t="s">
        <v>5695</v>
      </c>
      <c r="L651" s="81" t="s">
        <v>2392</v>
      </c>
      <c r="M651" s="81" t="s">
        <v>5695</v>
      </c>
      <c r="N651" s="81" t="s">
        <v>2231</v>
      </c>
      <c r="O651" s="81" t="s">
        <v>2187</v>
      </c>
      <c r="P651" s="81" t="s">
        <v>2187</v>
      </c>
      <c r="Q651" s="81" t="s">
        <v>43</v>
      </c>
      <c r="R651" s="81" t="s">
        <v>46</v>
      </c>
      <c r="S651" s="81" t="s">
        <v>46</v>
      </c>
      <c r="T651" s="81" t="s">
        <v>48</v>
      </c>
      <c r="U651" s="81" t="s">
        <v>48</v>
      </c>
      <c r="V651" s="81" t="s">
        <v>48</v>
      </c>
      <c r="W651" s="81" t="s">
        <v>49</v>
      </c>
      <c r="X651" s="81" t="s">
        <v>48</v>
      </c>
      <c r="Y651" s="81" t="s">
        <v>48</v>
      </c>
    </row>
    <row r="652" spans="1:25" x14ac:dyDescent="0.3">
      <c r="A652" s="16">
        <v>7501125195105</v>
      </c>
      <c r="B652" s="81" t="s">
        <v>43</v>
      </c>
      <c r="C652" s="81" t="s">
        <v>683</v>
      </c>
      <c r="D652" s="81" t="s">
        <v>45</v>
      </c>
      <c r="E652" s="81" t="s">
        <v>2324</v>
      </c>
      <c r="F652" s="81" t="s">
        <v>3214</v>
      </c>
      <c r="G652" s="81" t="s">
        <v>5193</v>
      </c>
      <c r="H652" s="81" t="s">
        <v>2193</v>
      </c>
      <c r="I652" s="81" t="s">
        <v>5735</v>
      </c>
      <c r="J652" s="81" t="s">
        <v>2186</v>
      </c>
      <c r="K652" s="81" t="s">
        <v>5735</v>
      </c>
      <c r="L652" s="81" t="s">
        <v>2392</v>
      </c>
      <c r="M652" s="81" t="s">
        <v>5735</v>
      </c>
      <c r="N652" s="81" t="s">
        <v>2231</v>
      </c>
      <c r="O652" s="81" t="s">
        <v>2187</v>
      </c>
      <c r="P652" s="81" t="s">
        <v>2187</v>
      </c>
      <c r="Q652" s="81" t="s">
        <v>43</v>
      </c>
      <c r="R652" s="81" t="s">
        <v>51</v>
      </c>
      <c r="S652" s="81" t="s">
        <v>73</v>
      </c>
      <c r="T652" s="81" t="s">
        <v>49</v>
      </c>
      <c r="U652" s="81" t="s">
        <v>48</v>
      </c>
      <c r="V652" s="81" t="s">
        <v>48</v>
      </c>
      <c r="W652" s="81" t="s">
        <v>49</v>
      </c>
      <c r="X652" s="81" t="s">
        <v>48</v>
      </c>
      <c r="Y652" s="81" t="s">
        <v>48</v>
      </c>
    </row>
    <row r="653" spans="1:25" x14ac:dyDescent="0.3">
      <c r="A653" s="16">
        <v>7501007532363</v>
      </c>
      <c r="B653" s="81" t="s">
        <v>43</v>
      </c>
      <c r="C653" s="81" t="s">
        <v>1953</v>
      </c>
      <c r="D653" s="81" t="s">
        <v>45</v>
      </c>
      <c r="E653" s="81" t="s">
        <v>2227</v>
      </c>
      <c r="F653" s="81" t="s">
        <v>2412</v>
      </c>
      <c r="G653" s="81" t="s">
        <v>5248</v>
      </c>
      <c r="H653" s="81" t="s">
        <v>2681</v>
      </c>
      <c r="I653" s="81" t="s">
        <v>2905</v>
      </c>
      <c r="J653" s="81" t="s">
        <v>2186</v>
      </c>
      <c r="K653" s="81" t="s">
        <v>2610</v>
      </c>
      <c r="L653" s="81" t="s">
        <v>2392</v>
      </c>
      <c r="M653" s="81" t="s">
        <v>3215</v>
      </c>
      <c r="N653" s="81" t="s">
        <v>2231</v>
      </c>
      <c r="O653" s="81" t="s">
        <v>2187</v>
      </c>
      <c r="P653" s="81" t="s">
        <v>2187</v>
      </c>
      <c r="Q653" s="81" t="s">
        <v>43</v>
      </c>
      <c r="R653" s="81" t="s">
        <v>203</v>
      </c>
      <c r="S653" s="81" t="s">
        <v>203</v>
      </c>
      <c r="T653" s="81" t="s">
        <v>48</v>
      </c>
      <c r="U653" s="81" t="s">
        <v>48</v>
      </c>
      <c r="V653" s="81" t="s">
        <v>48</v>
      </c>
      <c r="W653" s="81" t="s">
        <v>49</v>
      </c>
      <c r="X653" s="81" t="s">
        <v>48</v>
      </c>
      <c r="Y653" s="81" t="s">
        <v>48</v>
      </c>
    </row>
    <row r="654" spans="1:25" x14ac:dyDescent="0.3">
      <c r="A654" s="16">
        <v>7502001162600</v>
      </c>
      <c r="B654" s="81" t="s">
        <v>43</v>
      </c>
      <c r="C654" s="81" t="s">
        <v>1954</v>
      </c>
      <c r="D654" s="81" t="s">
        <v>45</v>
      </c>
      <c r="E654" s="81" t="s">
        <v>2358</v>
      </c>
      <c r="F654" s="81" t="s">
        <v>2557</v>
      </c>
      <c r="G654" s="81" t="s">
        <v>4400</v>
      </c>
      <c r="H654" s="81" t="s">
        <v>2360</v>
      </c>
      <c r="I654" s="81" t="s">
        <v>5619</v>
      </c>
      <c r="J654" s="81" t="s">
        <v>2186</v>
      </c>
      <c r="K654" s="81" t="s">
        <v>5619</v>
      </c>
      <c r="L654" s="81" t="s">
        <v>2392</v>
      </c>
      <c r="M654" s="81" t="s">
        <v>5619</v>
      </c>
      <c r="N654" s="81" t="s">
        <v>2231</v>
      </c>
      <c r="O654" s="81" t="s">
        <v>2187</v>
      </c>
      <c r="P654" s="81" t="s">
        <v>2187</v>
      </c>
      <c r="Q654" s="81" t="s">
        <v>43</v>
      </c>
      <c r="R654" s="81" t="s">
        <v>46</v>
      </c>
      <c r="S654" s="81" t="s">
        <v>46</v>
      </c>
      <c r="T654" s="81" t="s">
        <v>48</v>
      </c>
      <c r="U654" s="81" t="s">
        <v>48</v>
      </c>
      <c r="V654" s="81" t="s">
        <v>48</v>
      </c>
      <c r="W654" s="81" t="s">
        <v>49</v>
      </c>
      <c r="X654" s="81" t="s">
        <v>48</v>
      </c>
      <c r="Y654" s="81" t="s">
        <v>48</v>
      </c>
    </row>
    <row r="655" spans="1:25" x14ac:dyDescent="0.3">
      <c r="A655" s="16">
        <v>7501089804099</v>
      </c>
      <c r="B655" s="81" t="s">
        <v>43</v>
      </c>
      <c r="C655" s="81" t="s">
        <v>4749</v>
      </c>
      <c r="D655" s="81" t="s">
        <v>45</v>
      </c>
      <c r="E655" s="81" t="s">
        <v>2308</v>
      </c>
      <c r="F655" s="81" t="s">
        <v>2180</v>
      </c>
      <c r="G655" s="81" t="s">
        <v>4750</v>
      </c>
      <c r="H655" s="81" t="s">
        <v>6029</v>
      </c>
      <c r="I655" s="81" t="s">
        <v>6030</v>
      </c>
      <c r="J655" s="81" t="s">
        <v>2186</v>
      </c>
      <c r="K655" s="81" t="s">
        <v>6030</v>
      </c>
      <c r="L655" s="81" t="s">
        <v>2392</v>
      </c>
      <c r="M655" s="81" t="s">
        <v>6030</v>
      </c>
      <c r="N655" s="81" t="s">
        <v>2231</v>
      </c>
      <c r="O655" s="81" t="s">
        <v>2187</v>
      </c>
      <c r="P655" s="81" t="s">
        <v>2187</v>
      </c>
      <c r="Q655" s="81" t="s">
        <v>43</v>
      </c>
      <c r="R655" s="81" t="s">
        <v>374</v>
      </c>
      <c r="S655" s="81" t="s">
        <v>47</v>
      </c>
      <c r="T655" s="81" t="s">
        <v>48</v>
      </c>
      <c r="U655" s="81" t="s">
        <v>48</v>
      </c>
      <c r="V655" s="81" t="s">
        <v>48</v>
      </c>
      <c r="W655" s="81" t="s">
        <v>49</v>
      </c>
      <c r="X655" s="81" t="s">
        <v>48</v>
      </c>
      <c r="Y655" s="81" t="s">
        <v>48</v>
      </c>
    </row>
    <row r="656" spans="1:25" x14ac:dyDescent="0.3">
      <c r="A656" s="16">
        <v>7506022326737</v>
      </c>
      <c r="B656" s="81" t="s">
        <v>43</v>
      </c>
      <c r="C656" s="81" t="s">
        <v>684</v>
      </c>
      <c r="D656" s="81" t="s">
        <v>45</v>
      </c>
      <c r="E656" s="81" t="s">
        <v>2227</v>
      </c>
      <c r="F656" s="81" t="s">
        <v>2227</v>
      </c>
      <c r="G656" s="81" t="s">
        <v>3216</v>
      </c>
      <c r="H656" s="81" t="s">
        <v>3217</v>
      </c>
      <c r="I656" s="81" t="s">
        <v>6031</v>
      </c>
      <c r="J656" s="81" t="s">
        <v>2186</v>
      </c>
      <c r="K656" s="81" t="s">
        <v>6031</v>
      </c>
      <c r="L656" s="81" t="s">
        <v>2392</v>
      </c>
      <c r="M656" s="81" t="s">
        <v>6031</v>
      </c>
      <c r="N656" s="81" t="s">
        <v>2231</v>
      </c>
      <c r="O656" s="81" t="s">
        <v>2187</v>
      </c>
      <c r="P656" s="81" t="s">
        <v>2187</v>
      </c>
      <c r="Q656" s="81" t="s">
        <v>43</v>
      </c>
      <c r="R656" s="81" t="s">
        <v>122</v>
      </c>
      <c r="S656" s="81" t="s">
        <v>122</v>
      </c>
      <c r="T656" s="81" t="s">
        <v>48</v>
      </c>
      <c r="U656" s="81" t="s">
        <v>48</v>
      </c>
      <c r="V656" s="81" t="s">
        <v>49</v>
      </c>
      <c r="W656" s="81" t="s">
        <v>48</v>
      </c>
      <c r="X656" s="81" t="s">
        <v>48</v>
      </c>
      <c r="Y656" s="81" t="s">
        <v>48</v>
      </c>
    </row>
    <row r="657" spans="1:25" x14ac:dyDescent="0.3">
      <c r="A657" s="16">
        <v>7502208892737</v>
      </c>
      <c r="B657" s="81" t="s">
        <v>43</v>
      </c>
      <c r="C657" s="81" t="s">
        <v>5249</v>
      </c>
      <c r="D657" s="81" t="s">
        <v>45</v>
      </c>
      <c r="E657" s="81" t="s">
        <v>2191</v>
      </c>
      <c r="F657" s="81" t="s">
        <v>2192</v>
      </c>
      <c r="G657" s="81" t="s">
        <v>5250</v>
      </c>
      <c r="H657" s="81" t="s">
        <v>2511</v>
      </c>
      <c r="I657" s="81" t="s">
        <v>3001</v>
      </c>
      <c r="J657" s="81" t="s">
        <v>2231</v>
      </c>
      <c r="K657" s="81" t="s">
        <v>3001</v>
      </c>
      <c r="L657" s="81" t="s">
        <v>5251</v>
      </c>
      <c r="M657" s="81" t="s">
        <v>3001</v>
      </c>
      <c r="N657" s="81" t="s">
        <v>5252</v>
      </c>
      <c r="O657" s="81" t="s">
        <v>2187</v>
      </c>
      <c r="P657" s="81" t="s">
        <v>2187</v>
      </c>
      <c r="Q657" s="81" t="s">
        <v>43</v>
      </c>
      <c r="R657" s="81" t="s">
        <v>51</v>
      </c>
      <c r="S657" s="81" t="s">
        <v>81</v>
      </c>
      <c r="T657" s="81" t="s">
        <v>48</v>
      </c>
      <c r="U657" s="81" t="s">
        <v>48</v>
      </c>
      <c r="V657" s="81" t="s">
        <v>48</v>
      </c>
      <c r="W657" s="81" t="s">
        <v>49</v>
      </c>
      <c r="X657" s="81" t="s">
        <v>48</v>
      </c>
      <c r="Y657" s="81" t="s">
        <v>48</v>
      </c>
    </row>
    <row r="658" spans="1:25" x14ac:dyDescent="0.3">
      <c r="A658" s="16">
        <v>7501287630506</v>
      </c>
      <c r="B658" s="81" t="s">
        <v>43</v>
      </c>
      <c r="C658" s="81" t="s">
        <v>2140</v>
      </c>
      <c r="D658" s="81" t="s">
        <v>45</v>
      </c>
      <c r="E658" s="81" t="s">
        <v>2313</v>
      </c>
      <c r="F658" s="81" t="s">
        <v>2352</v>
      </c>
      <c r="G658" s="81" t="s">
        <v>5253</v>
      </c>
      <c r="H658" s="81" t="s">
        <v>3218</v>
      </c>
      <c r="I658" s="81" t="s">
        <v>6032</v>
      </c>
      <c r="J658" s="81" t="s">
        <v>2186</v>
      </c>
      <c r="K658" s="81" t="s">
        <v>6032</v>
      </c>
      <c r="L658" s="81" t="s">
        <v>2392</v>
      </c>
      <c r="M658" s="81" t="s">
        <v>6032</v>
      </c>
      <c r="N658" s="81" t="s">
        <v>2231</v>
      </c>
      <c r="O658" s="81" t="s">
        <v>2187</v>
      </c>
      <c r="P658" s="81" t="s">
        <v>2187</v>
      </c>
      <c r="Q658" s="81" t="s">
        <v>43</v>
      </c>
      <c r="R658" s="81" t="s">
        <v>51</v>
      </c>
      <c r="S658" s="81" t="s">
        <v>81</v>
      </c>
      <c r="T658" s="81" t="s">
        <v>49</v>
      </c>
      <c r="U658" s="81" t="s">
        <v>48</v>
      </c>
      <c r="V658" s="81" t="s">
        <v>48</v>
      </c>
      <c r="W658" s="81" t="s">
        <v>49</v>
      </c>
      <c r="X658" s="81" t="s">
        <v>48</v>
      </c>
      <c r="Y658" s="81" t="s">
        <v>48</v>
      </c>
    </row>
    <row r="659" spans="1:25" x14ac:dyDescent="0.3">
      <c r="A659" s="16">
        <v>7501825301288</v>
      </c>
      <c r="B659" s="81" t="s">
        <v>43</v>
      </c>
      <c r="C659" s="81" t="s">
        <v>1955</v>
      </c>
      <c r="D659" s="81" t="s">
        <v>45</v>
      </c>
      <c r="E659" s="81" t="s">
        <v>2308</v>
      </c>
      <c r="F659" s="81" t="s">
        <v>2179</v>
      </c>
      <c r="G659" s="81" t="s">
        <v>3221</v>
      </c>
      <c r="H659" s="81" t="s">
        <v>2343</v>
      </c>
      <c r="I659" s="81" t="s">
        <v>5531</v>
      </c>
      <c r="J659" s="81" t="s">
        <v>2186</v>
      </c>
      <c r="K659" s="81" t="s">
        <v>5531</v>
      </c>
      <c r="L659" s="81" t="s">
        <v>2392</v>
      </c>
      <c r="M659" s="81" t="s">
        <v>5531</v>
      </c>
      <c r="N659" s="81" t="s">
        <v>2231</v>
      </c>
      <c r="O659" s="81" t="s">
        <v>2187</v>
      </c>
      <c r="P659" s="81" t="s">
        <v>2187</v>
      </c>
      <c r="Q659" s="81" t="s">
        <v>43</v>
      </c>
      <c r="R659" s="81" t="s">
        <v>46</v>
      </c>
      <c r="S659" s="81" t="s">
        <v>46</v>
      </c>
      <c r="T659" s="81" t="s">
        <v>48</v>
      </c>
      <c r="U659" s="81" t="s">
        <v>48</v>
      </c>
      <c r="V659" s="81" t="s">
        <v>48</v>
      </c>
      <c r="W659" s="81" t="s">
        <v>49</v>
      </c>
      <c r="X659" s="81" t="s">
        <v>48</v>
      </c>
      <c r="Y659" s="81" t="s">
        <v>48</v>
      </c>
    </row>
    <row r="660" spans="1:25" x14ac:dyDescent="0.3">
      <c r="A660" s="16">
        <v>7502211781059</v>
      </c>
      <c r="B660" s="81" t="s">
        <v>43</v>
      </c>
      <c r="C660" s="81" t="s">
        <v>685</v>
      </c>
      <c r="D660" s="81" t="s">
        <v>45</v>
      </c>
      <c r="E660" s="81" t="s">
        <v>2494</v>
      </c>
      <c r="F660" s="81" t="s">
        <v>2495</v>
      </c>
      <c r="G660" s="81" t="s">
        <v>2695</v>
      </c>
      <c r="H660" s="81" t="s">
        <v>2287</v>
      </c>
      <c r="I660" s="81" t="s">
        <v>3222</v>
      </c>
      <c r="J660" s="81" t="s">
        <v>2186</v>
      </c>
      <c r="K660" s="81" t="s">
        <v>3059</v>
      </c>
      <c r="L660" s="81" t="s">
        <v>2392</v>
      </c>
      <c r="M660" s="81" t="s">
        <v>2474</v>
      </c>
      <c r="N660" s="81" t="s">
        <v>2231</v>
      </c>
      <c r="O660" s="81" t="s">
        <v>2187</v>
      </c>
      <c r="P660" s="81" t="s">
        <v>2187</v>
      </c>
      <c r="Q660" s="81" t="s">
        <v>43</v>
      </c>
      <c r="R660" s="81" t="s">
        <v>46</v>
      </c>
      <c r="S660" s="81" t="s">
        <v>46</v>
      </c>
      <c r="T660" s="81" t="s">
        <v>48</v>
      </c>
      <c r="U660" s="81" t="s">
        <v>48</v>
      </c>
      <c r="V660" s="81" t="s">
        <v>48</v>
      </c>
      <c r="W660" s="81" t="s">
        <v>49</v>
      </c>
      <c r="X660" s="81" t="s">
        <v>48</v>
      </c>
      <c r="Y660" s="81" t="s">
        <v>48</v>
      </c>
    </row>
    <row r="661" spans="1:25" x14ac:dyDescent="0.3">
      <c r="A661" s="16">
        <v>650240036729</v>
      </c>
      <c r="B661" s="81" t="s">
        <v>43</v>
      </c>
      <c r="C661" s="81" t="s">
        <v>686</v>
      </c>
      <c r="D661" s="81" t="s">
        <v>45</v>
      </c>
      <c r="E661" s="81" t="s">
        <v>2645</v>
      </c>
      <c r="F661" s="81" t="s">
        <v>2195</v>
      </c>
      <c r="G661" s="81" t="s">
        <v>4348</v>
      </c>
      <c r="H661" s="81" t="s">
        <v>2464</v>
      </c>
      <c r="I661" s="81" t="s">
        <v>2386</v>
      </c>
      <c r="J661" s="81" t="s">
        <v>2186</v>
      </c>
      <c r="K661" s="81" t="s">
        <v>2386</v>
      </c>
      <c r="L661" s="81" t="s">
        <v>2392</v>
      </c>
      <c r="M661" s="81" t="s">
        <v>2386</v>
      </c>
      <c r="N661" s="81" t="s">
        <v>2231</v>
      </c>
      <c r="O661" s="81" t="s">
        <v>2187</v>
      </c>
      <c r="P661" s="81" t="s">
        <v>2187</v>
      </c>
      <c r="Q661" s="81" t="s">
        <v>43</v>
      </c>
      <c r="R661" s="81" t="s">
        <v>203</v>
      </c>
      <c r="S661" s="81" t="s">
        <v>203</v>
      </c>
      <c r="T661" s="81" t="s">
        <v>48</v>
      </c>
      <c r="U661" s="81" t="s">
        <v>48</v>
      </c>
      <c r="V661" s="81" t="s">
        <v>48</v>
      </c>
      <c r="W661" s="81" t="s">
        <v>49</v>
      </c>
      <c r="X661" s="81" t="s">
        <v>48</v>
      </c>
      <c r="Y661" s="81" t="s">
        <v>48</v>
      </c>
    </row>
    <row r="662" spans="1:25" x14ac:dyDescent="0.3">
      <c r="A662" s="16">
        <v>7501128108041</v>
      </c>
      <c r="B662" s="81" t="s">
        <v>43</v>
      </c>
      <c r="C662" s="81" t="s">
        <v>687</v>
      </c>
      <c r="D662" s="81" t="s">
        <v>45</v>
      </c>
      <c r="E662" s="81" t="s">
        <v>2704</v>
      </c>
      <c r="F662" s="81" t="s">
        <v>2465</v>
      </c>
      <c r="G662" s="81" t="s">
        <v>2231</v>
      </c>
      <c r="H662" s="81" t="s">
        <v>3224</v>
      </c>
      <c r="I662" s="81" t="s">
        <v>6033</v>
      </c>
      <c r="J662" s="81" t="s">
        <v>2186</v>
      </c>
      <c r="K662" s="81" t="s">
        <v>6033</v>
      </c>
      <c r="L662" s="81" t="s">
        <v>2392</v>
      </c>
      <c r="M662" s="81" t="s">
        <v>6033</v>
      </c>
      <c r="N662" s="81" t="s">
        <v>2231</v>
      </c>
      <c r="O662" s="81" t="s">
        <v>2187</v>
      </c>
      <c r="P662" s="81" t="s">
        <v>2187</v>
      </c>
      <c r="Q662" s="81" t="s">
        <v>43</v>
      </c>
      <c r="R662" s="81" t="s">
        <v>122</v>
      </c>
      <c r="S662" s="81" t="s">
        <v>123</v>
      </c>
      <c r="T662" s="81" t="s">
        <v>48</v>
      </c>
      <c r="U662" s="81" t="s">
        <v>48</v>
      </c>
      <c r="V662" s="81" t="s">
        <v>49</v>
      </c>
      <c r="W662" s="81" t="s">
        <v>48</v>
      </c>
      <c r="X662" s="81" t="s">
        <v>48</v>
      </c>
      <c r="Y662" s="81" t="s">
        <v>48</v>
      </c>
    </row>
    <row r="663" spans="1:25" x14ac:dyDescent="0.3">
      <c r="A663" s="16">
        <v>7501128114233</v>
      </c>
      <c r="B663" s="81" t="s">
        <v>43</v>
      </c>
      <c r="C663" s="81" t="s">
        <v>688</v>
      </c>
      <c r="D663" s="81" t="s">
        <v>45</v>
      </c>
      <c r="E663" s="81" t="s">
        <v>2257</v>
      </c>
      <c r="F663" s="81" t="s">
        <v>2258</v>
      </c>
      <c r="G663" s="81" t="s">
        <v>3225</v>
      </c>
      <c r="H663" s="81" t="s">
        <v>3226</v>
      </c>
      <c r="I663" s="81" t="s">
        <v>6034</v>
      </c>
      <c r="J663" s="81" t="s">
        <v>2186</v>
      </c>
      <c r="K663" s="81" t="s">
        <v>6034</v>
      </c>
      <c r="L663" s="81" t="s">
        <v>2392</v>
      </c>
      <c r="M663" s="81" t="s">
        <v>6034</v>
      </c>
      <c r="N663" s="81" t="s">
        <v>2231</v>
      </c>
      <c r="O663" s="81" t="s">
        <v>2187</v>
      </c>
      <c r="P663" s="81" t="s">
        <v>2187</v>
      </c>
      <c r="Q663" s="81" t="s">
        <v>43</v>
      </c>
      <c r="R663" s="81" t="s">
        <v>122</v>
      </c>
      <c r="S663" s="81" t="s">
        <v>122</v>
      </c>
      <c r="T663" s="81" t="s">
        <v>48</v>
      </c>
      <c r="U663" s="81" t="s">
        <v>48</v>
      </c>
      <c r="V663" s="81" t="s">
        <v>49</v>
      </c>
      <c r="W663" s="81" t="s">
        <v>48</v>
      </c>
      <c r="X663" s="81" t="s">
        <v>48</v>
      </c>
      <c r="Y663" s="81" t="s">
        <v>48</v>
      </c>
    </row>
    <row r="664" spans="1:25" x14ac:dyDescent="0.3">
      <c r="A664" s="16">
        <v>7501128114134</v>
      </c>
      <c r="B664" s="81" t="s">
        <v>43</v>
      </c>
      <c r="C664" s="81" t="s">
        <v>689</v>
      </c>
      <c r="D664" s="81" t="s">
        <v>45</v>
      </c>
      <c r="E664" s="81" t="s">
        <v>2465</v>
      </c>
      <c r="F664" s="81" t="s">
        <v>2257</v>
      </c>
      <c r="G664" s="81" t="s">
        <v>3177</v>
      </c>
      <c r="H664" s="81" t="s">
        <v>2843</v>
      </c>
      <c r="I664" s="81" t="s">
        <v>6035</v>
      </c>
      <c r="J664" s="81" t="s">
        <v>2186</v>
      </c>
      <c r="K664" s="81" t="s">
        <v>6035</v>
      </c>
      <c r="L664" s="81" t="s">
        <v>2392</v>
      </c>
      <c r="M664" s="81" t="s">
        <v>6035</v>
      </c>
      <c r="N664" s="81" t="s">
        <v>2231</v>
      </c>
      <c r="O664" s="81" t="s">
        <v>2187</v>
      </c>
      <c r="P664" s="81" t="s">
        <v>2187</v>
      </c>
      <c r="Q664" s="81" t="s">
        <v>43</v>
      </c>
      <c r="R664" s="81" t="s">
        <v>122</v>
      </c>
      <c r="S664" s="81" t="s">
        <v>123</v>
      </c>
      <c r="T664" s="81" t="s">
        <v>48</v>
      </c>
      <c r="U664" s="81" t="s">
        <v>48</v>
      </c>
      <c r="V664" s="81" t="s">
        <v>49</v>
      </c>
      <c r="W664" s="81" t="s">
        <v>48</v>
      </c>
      <c r="X664" s="81" t="s">
        <v>48</v>
      </c>
      <c r="Y664" s="81" t="s">
        <v>48</v>
      </c>
    </row>
    <row r="665" spans="1:25" x14ac:dyDescent="0.3">
      <c r="A665" s="16">
        <v>7501128114226</v>
      </c>
      <c r="B665" s="81" t="s">
        <v>43</v>
      </c>
      <c r="C665" s="81" t="s">
        <v>690</v>
      </c>
      <c r="D665" s="81" t="s">
        <v>45</v>
      </c>
      <c r="E665" s="81" t="s">
        <v>2629</v>
      </c>
      <c r="F665" s="81" t="s">
        <v>2630</v>
      </c>
      <c r="G665" s="81" t="s">
        <v>3225</v>
      </c>
      <c r="H665" s="81" t="s">
        <v>3228</v>
      </c>
      <c r="I665" s="81" t="s">
        <v>3229</v>
      </c>
      <c r="J665" s="81" t="s">
        <v>2186</v>
      </c>
      <c r="K665" s="81" t="s">
        <v>3230</v>
      </c>
      <c r="L665" s="81" t="s">
        <v>2392</v>
      </c>
      <c r="M665" s="81" t="s">
        <v>3231</v>
      </c>
      <c r="N665" s="81" t="s">
        <v>2231</v>
      </c>
      <c r="O665" s="81" t="s">
        <v>2187</v>
      </c>
      <c r="P665" s="81" t="s">
        <v>2187</v>
      </c>
      <c r="Q665" s="81" t="s">
        <v>43</v>
      </c>
      <c r="R665" s="81" t="s">
        <v>122</v>
      </c>
      <c r="S665" s="81" t="s">
        <v>122</v>
      </c>
      <c r="T665" s="81" t="s">
        <v>48</v>
      </c>
      <c r="U665" s="81" t="s">
        <v>48</v>
      </c>
      <c r="V665" s="81" t="s">
        <v>49</v>
      </c>
      <c r="W665" s="81" t="s">
        <v>48</v>
      </c>
      <c r="X665" s="81" t="s">
        <v>48</v>
      </c>
      <c r="Y665" s="81" t="s">
        <v>48</v>
      </c>
    </row>
    <row r="666" spans="1:25" x14ac:dyDescent="0.3">
      <c r="A666" s="16">
        <v>7501128114127</v>
      </c>
      <c r="B666" s="81" t="s">
        <v>43</v>
      </c>
      <c r="C666" s="81" t="s">
        <v>691</v>
      </c>
      <c r="D666" s="81" t="s">
        <v>45</v>
      </c>
      <c r="E666" s="81" t="s">
        <v>2465</v>
      </c>
      <c r="F666" s="81" t="s">
        <v>2210</v>
      </c>
      <c r="G666" s="81" t="s">
        <v>3177</v>
      </c>
      <c r="H666" s="81" t="s">
        <v>2868</v>
      </c>
      <c r="I666" s="81" t="s">
        <v>6036</v>
      </c>
      <c r="J666" s="81" t="s">
        <v>2186</v>
      </c>
      <c r="K666" s="81" t="s">
        <v>6036</v>
      </c>
      <c r="L666" s="81" t="s">
        <v>2392</v>
      </c>
      <c r="M666" s="81" t="s">
        <v>6036</v>
      </c>
      <c r="N666" s="81" t="s">
        <v>2231</v>
      </c>
      <c r="O666" s="81" t="s">
        <v>2187</v>
      </c>
      <c r="P666" s="81" t="s">
        <v>2187</v>
      </c>
      <c r="Q666" s="81" t="s">
        <v>43</v>
      </c>
      <c r="R666" s="81" t="s">
        <v>122</v>
      </c>
      <c r="S666" s="81" t="s">
        <v>122</v>
      </c>
      <c r="T666" s="81" t="s">
        <v>48</v>
      </c>
      <c r="U666" s="81" t="s">
        <v>48</v>
      </c>
      <c r="V666" s="81" t="s">
        <v>49</v>
      </c>
      <c r="W666" s="81" t="s">
        <v>48</v>
      </c>
      <c r="X666" s="81" t="s">
        <v>48</v>
      </c>
      <c r="Y666" s="81" t="s">
        <v>48</v>
      </c>
    </row>
    <row r="667" spans="1:25" x14ac:dyDescent="0.3">
      <c r="A667" s="16">
        <v>7501128114141</v>
      </c>
      <c r="B667" s="81" t="s">
        <v>43</v>
      </c>
      <c r="C667" s="81" t="s">
        <v>692</v>
      </c>
      <c r="D667" s="81" t="s">
        <v>45</v>
      </c>
      <c r="E667" s="81" t="s">
        <v>2312</v>
      </c>
      <c r="F667" s="81" t="s">
        <v>2313</v>
      </c>
      <c r="G667" s="81" t="s">
        <v>3177</v>
      </c>
      <c r="H667" s="81" t="s">
        <v>2867</v>
      </c>
      <c r="I667" s="81" t="s">
        <v>6035</v>
      </c>
      <c r="J667" s="81" t="s">
        <v>2186</v>
      </c>
      <c r="K667" s="81" t="s">
        <v>6035</v>
      </c>
      <c r="L667" s="81" t="s">
        <v>2392</v>
      </c>
      <c r="M667" s="81" t="s">
        <v>6035</v>
      </c>
      <c r="N667" s="81" t="s">
        <v>2231</v>
      </c>
      <c r="O667" s="81" t="s">
        <v>2187</v>
      </c>
      <c r="P667" s="81" t="s">
        <v>2187</v>
      </c>
      <c r="Q667" s="81" t="s">
        <v>43</v>
      </c>
      <c r="R667" s="81" t="s">
        <v>122</v>
      </c>
      <c r="S667" s="81" t="s">
        <v>122</v>
      </c>
      <c r="T667" s="81" t="s">
        <v>48</v>
      </c>
      <c r="U667" s="81" t="s">
        <v>48</v>
      </c>
      <c r="V667" s="81" t="s">
        <v>49</v>
      </c>
      <c r="W667" s="81" t="s">
        <v>48</v>
      </c>
      <c r="X667" s="81" t="s">
        <v>48</v>
      </c>
      <c r="Y667" s="81" t="s">
        <v>48</v>
      </c>
    </row>
    <row r="668" spans="1:25" x14ac:dyDescent="0.3">
      <c r="A668" s="16">
        <v>7501128156141</v>
      </c>
      <c r="B668" s="81" t="s">
        <v>43</v>
      </c>
      <c r="C668" s="81" t="s">
        <v>693</v>
      </c>
      <c r="D668" s="81" t="s">
        <v>45</v>
      </c>
      <c r="E668" s="81" t="s">
        <v>2354</v>
      </c>
      <c r="F668" s="81" t="s">
        <v>2355</v>
      </c>
      <c r="G668" s="81" t="s">
        <v>3233</v>
      </c>
      <c r="H668" s="81" t="s">
        <v>3160</v>
      </c>
      <c r="I668" s="81" t="s">
        <v>6037</v>
      </c>
      <c r="J668" s="81" t="s">
        <v>2186</v>
      </c>
      <c r="K668" s="81" t="s">
        <v>6037</v>
      </c>
      <c r="L668" s="81" t="s">
        <v>2392</v>
      </c>
      <c r="M668" s="81" t="s">
        <v>6037</v>
      </c>
      <c r="N668" s="81" t="s">
        <v>2231</v>
      </c>
      <c r="O668" s="81" t="s">
        <v>2187</v>
      </c>
      <c r="P668" s="81" t="s">
        <v>2187</v>
      </c>
      <c r="Q668" s="81" t="s">
        <v>43</v>
      </c>
      <c r="R668" s="81" t="s">
        <v>122</v>
      </c>
      <c r="S668" s="81" t="s">
        <v>122</v>
      </c>
      <c r="T668" s="81" t="s">
        <v>48</v>
      </c>
      <c r="U668" s="81" t="s">
        <v>48</v>
      </c>
      <c r="V668" s="81" t="s">
        <v>49</v>
      </c>
      <c r="W668" s="81" t="s">
        <v>48</v>
      </c>
      <c r="X668" s="81" t="s">
        <v>48</v>
      </c>
      <c r="Y668" s="81" t="s">
        <v>48</v>
      </c>
    </row>
    <row r="669" spans="1:25" x14ac:dyDescent="0.3">
      <c r="A669" s="16">
        <v>7501328979496</v>
      </c>
      <c r="B669" s="81" t="s">
        <v>43</v>
      </c>
      <c r="C669" s="81" t="s">
        <v>1956</v>
      </c>
      <c r="D669" s="81" t="s">
        <v>45</v>
      </c>
      <c r="E669" s="81" t="s">
        <v>2283</v>
      </c>
      <c r="F669" s="81" t="s">
        <v>2510</v>
      </c>
      <c r="G669" s="81" t="s">
        <v>2723</v>
      </c>
      <c r="H669" s="81" t="s">
        <v>2905</v>
      </c>
      <c r="I669" s="81" t="s">
        <v>6038</v>
      </c>
      <c r="J669" s="81" t="s">
        <v>2186</v>
      </c>
      <c r="K669" s="81" t="s">
        <v>6038</v>
      </c>
      <c r="L669" s="81" t="s">
        <v>2392</v>
      </c>
      <c r="M669" s="81" t="s">
        <v>6038</v>
      </c>
      <c r="N669" s="81" t="s">
        <v>2231</v>
      </c>
      <c r="O669" s="81" t="s">
        <v>2187</v>
      </c>
      <c r="P669" s="81" t="s">
        <v>2187</v>
      </c>
      <c r="Q669" s="81" t="s">
        <v>43</v>
      </c>
      <c r="R669" s="81" t="s">
        <v>203</v>
      </c>
      <c r="S669" s="81" t="s">
        <v>164</v>
      </c>
      <c r="T669" s="81" t="s">
        <v>48</v>
      </c>
      <c r="U669" s="81" t="s">
        <v>48</v>
      </c>
      <c r="V669" s="81" t="s">
        <v>48</v>
      </c>
      <c r="W669" s="81" t="s">
        <v>49</v>
      </c>
      <c r="X669" s="81" t="s">
        <v>48</v>
      </c>
      <c r="Y669" s="81" t="s">
        <v>48</v>
      </c>
    </row>
    <row r="670" spans="1:25" x14ac:dyDescent="0.3">
      <c r="A670" s="16">
        <v>7502226296074</v>
      </c>
      <c r="B670" s="81" t="s">
        <v>43</v>
      </c>
      <c r="C670" s="81" t="s">
        <v>694</v>
      </c>
      <c r="D670" s="81" t="s">
        <v>45</v>
      </c>
      <c r="E670" s="81" t="s">
        <v>2678</v>
      </c>
      <c r="F670" s="81" t="s">
        <v>2388</v>
      </c>
      <c r="G670" s="81" t="s">
        <v>5114</v>
      </c>
      <c r="H670" s="81" t="s">
        <v>6039</v>
      </c>
      <c r="I670" s="81" t="s">
        <v>6040</v>
      </c>
      <c r="J670" s="81" t="s">
        <v>2186</v>
      </c>
      <c r="K670" s="81" t="s">
        <v>6040</v>
      </c>
      <c r="L670" s="81" t="s">
        <v>2392</v>
      </c>
      <c r="M670" s="81" t="s">
        <v>6040</v>
      </c>
      <c r="N670" s="81" t="s">
        <v>2231</v>
      </c>
      <c r="O670" s="81" t="s">
        <v>2187</v>
      </c>
      <c r="P670" s="81" t="s">
        <v>2187</v>
      </c>
      <c r="Q670" s="81" t="s">
        <v>43</v>
      </c>
      <c r="R670" s="81" t="s">
        <v>46</v>
      </c>
      <c r="S670" s="81" t="s">
        <v>47</v>
      </c>
      <c r="T670" s="81" t="s">
        <v>48</v>
      </c>
      <c r="U670" s="81" t="s">
        <v>48</v>
      </c>
      <c r="V670" s="81" t="s">
        <v>48</v>
      </c>
      <c r="W670" s="81" t="s">
        <v>49</v>
      </c>
      <c r="X670" s="81" t="s">
        <v>48</v>
      </c>
      <c r="Y670" s="81" t="s">
        <v>48</v>
      </c>
    </row>
    <row r="671" spans="1:25" x14ac:dyDescent="0.3">
      <c r="A671" s="16">
        <v>7501258205085</v>
      </c>
      <c r="B671" s="81" t="s">
        <v>43</v>
      </c>
      <c r="C671" s="81" t="s">
        <v>1957</v>
      </c>
      <c r="D671" s="81" t="s">
        <v>45</v>
      </c>
      <c r="E671" s="81" t="s">
        <v>2458</v>
      </c>
      <c r="F671" s="81" t="s">
        <v>2447</v>
      </c>
      <c r="G671" s="81" t="s">
        <v>4860</v>
      </c>
      <c r="H671" s="81" t="s">
        <v>2535</v>
      </c>
      <c r="I671" s="81" t="s">
        <v>2394</v>
      </c>
      <c r="J671" s="81" t="s">
        <v>2186</v>
      </c>
      <c r="K671" s="81" t="s">
        <v>2394</v>
      </c>
      <c r="L671" s="81" t="s">
        <v>2392</v>
      </c>
      <c r="M671" s="81" t="s">
        <v>2394</v>
      </c>
      <c r="N671" s="81" t="s">
        <v>2231</v>
      </c>
      <c r="O671" s="81" t="s">
        <v>2187</v>
      </c>
      <c r="P671" s="81" t="s">
        <v>2187</v>
      </c>
      <c r="Q671" s="81" t="s">
        <v>43</v>
      </c>
      <c r="R671" s="81" t="s">
        <v>46</v>
      </c>
      <c r="S671" s="81" t="s">
        <v>47</v>
      </c>
      <c r="T671" s="81" t="s">
        <v>48</v>
      </c>
      <c r="U671" s="81" t="s">
        <v>48</v>
      </c>
      <c r="V671" s="81" t="s">
        <v>48</v>
      </c>
      <c r="W671" s="81" t="s">
        <v>49</v>
      </c>
      <c r="X671" s="81" t="s">
        <v>48</v>
      </c>
      <c r="Y671" s="81" t="s">
        <v>48</v>
      </c>
    </row>
    <row r="672" spans="1:25" x14ac:dyDescent="0.3">
      <c r="A672" s="16">
        <v>7501258205092</v>
      </c>
      <c r="B672" s="81" t="s">
        <v>43</v>
      </c>
      <c r="C672" s="81" t="s">
        <v>1958</v>
      </c>
      <c r="D672" s="81" t="s">
        <v>45</v>
      </c>
      <c r="E672" s="81" t="s">
        <v>2369</v>
      </c>
      <c r="F672" s="81" t="s">
        <v>2442</v>
      </c>
      <c r="G672" s="81" t="s">
        <v>5084</v>
      </c>
      <c r="H672" s="81" t="s">
        <v>2190</v>
      </c>
      <c r="I672" s="81" t="s">
        <v>6041</v>
      </c>
      <c r="J672" s="81" t="s">
        <v>2186</v>
      </c>
      <c r="K672" s="81" t="s">
        <v>6041</v>
      </c>
      <c r="L672" s="81" t="s">
        <v>2392</v>
      </c>
      <c r="M672" s="81" t="s">
        <v>6041</v>
      </c>
      <c r="N672" s="81" t="s">
        <v>2231</v>
      </c>
      <c r="O672" s="81" t="s">
        <v>2187</v>
      </c>
      <c r="P672" s="81" t="s">
        <v>2187</v>
      </c>
      <c r="Q672" s="81" t="s">
        <v>43</v>
      </c>
      <c r="R672" s="81" t="s">
        <v>46</v>
      </c>
      <c r="S672" s="81" t="s">
        <v>47</v>
      </c>
      <c r="T672" s="81" t="s">
        <v>48</v>
      </c>
      <c r="U672" s="81" t="s">
        <v>48</v>
      </c>
      <c r="V672" s="81" t="s">
        <v>48</v>
      </c>
      <c r="W672" s="81" t="s">
        <v>49</v>
      </c>
      <c r="X672" s="81" t="s">
        <v>48</v>
      </c>
      <c r="Y672" s="81" t="s">
        <v>48</v>
      </c>
    </row>
    <row r="673" spans="1:25" x14ac:dyDescent="0.3">
      <c r="A673" s="16">
        <v>7501165011632</v>
      </c>
      <c r="B673" s="81" t="s">
        <v>43</v>
      </c>
      <c r="C673" s="81" t="s">
        <v>695</v>
      </c>
      <c r="D673" s="81" t="s">
        <v>45</v>
      </c>
      <c r="E673" s="81" t="s">
        <v>2179</v>
      </c>
      <c r="F673" s="81" t="s">
        <v>2191</v>
      </c>
      <c r="G673" s="81" t="s">
        <v>3235</v>
      </c>
      <c r="H673" s="81" t="s">
        <v>6042</v>
      </c>
      <c r="I673" s="81" t="s">
        <v>6043</v>
      </c>
      <c r="J673" s="81" t="s">
        <v>2186</v>
      </c>
      <c r="K673" s="81" t="s">
        <v>6043</v>
      </c>
      <c r="L673" s="81" t="s">
        <v>2392</v>
      </c>
      <c r="M673" s="81" t="s">
        <v>6043</v>
      </c>
      <c r="N673" s="81" t="s">
        <v>2231</v>
      </c>
      <c r="O673" s="81" t="s">
        <v>2187</v>
      </c>
      <c r="P673" s="81" t="s">
        <v>2187</v>
      </c>
      <c r="Q673" s="81" t="s">
        <v>43</v>
      </c>
      <c r="R673" s="81" t="s">
        <v>203</v>
      </c>
      <c r="S673" s="81" t="s">
        <v>47</v>
      </c>
      <c r="T673" s="81" t="s">
        <v>48</v>
      </c>
      <c r="U673" s="81" t="s">
        <v>48</v>
      </c>
      <c r="V673" s="81" t="s">
        <v>48</v>
      </c>
      <c r="W673" s="81" t="s">
        <v>49</v>
      </c>
      <c r="X673" s="81" t="s">
        <v>48</v>
      </c>
      <c r="Y673" s="81" t="s">
        <v>48</v>
      </c>
    </row>
    <row r="674" spans="1:25" x14ac:dyDescent="0.3">
      <c r="A674" s="16">
        <v>7501349011007</v>
      </c>
      <c r="B674" s="81" t="s">
        <v>43</v>
      </c>
      <c r="C674" s="81" t="s">
        <v>696</v>
      </c>
      <c r="D674" s="81" t="s">
        <v>45</v>
      </c>
      <c r="E674" s="81" t="s">
        <v>2982</v>
      </c>
      <c r="F674" s="81" t="s">
        <v>3236</v>
      </c>
      <c r="G674" s="81" t="s">
        <v>5398</v>
      </c>
      <c r="H674" s="81" t="s">
        <v>2325</v>
      </c>
      <c r="I674" s="81" t="s">
        <v>5870</v>
      </c>
      <c r="J674" s="81" t="s">
        <v>2186</v>
      </c>
      <c r="K674" s="81" t="s">
        <v>5870</v>
      </c>
      <c r="L674" s="81" t="s">
        <v>2392</v>
      </c>
      <c r="M674" s="81" t="s">
        <v>5870</v>
      </c>
      <c r="N674" s="81" t="s">
        <v>2231</v>
      </c>
      <c r="O674" s="81" t="s">
        <v>2187</v>
      </c>
      <c r="P674" s="81" t="s">
        <v>2187</v>
      </c>
      <c r="Q674" s="81" t="s">
        <v>43</v>
      </c>
      <c r="R674" s="81" t="s">
        <v>51</v>
      </c>
      <c r="S674" s="81" t="s">
        <v>73</v>
      </c>
      <c r="T674" s="81" t="s">
        <v>49</v>
      </c>
      <c r="U674" s="81" t="s">
        <v>48</v>
      </c>
      <c r="V674" s="81" t="s">
        <v>48</v>
      </c>
      <c r="W674" s="81" t="s">
        <v>49</v>
      </c>
      <c r="X674" s="81" t="s">
        <v>48</v>
      </c>
      <c r="Y674" s="81" t="s">
        <v>48</v>
      </c>
    </row>
    <row r="675" spans="1:25" x14ac:dyDescent="0.3">
      <c r="A675" s="16">
        <v>7501128113038</v>
      </c>
      <c r="B675" s="81" t="s">
        <v>43</v>
      </c>
      <c r="C675" s="81" t="s">
        <v>697</v>
      </c>
      <c r="D675" s="81" t="s">
        <v>45</v>
      </c>
      <c r="E675" s="81" t="s">
        <v>2442</v>
      </c>
      <c r="F675" s="81" t="s">
        <v>2620</v>
      </c>
      <c r="G675" s="81" t="s">
        <v>3237</v>
      </c>
      <c r="H675" s="81" t="s">
        <v>3238</v>
      </c>
      <c r="I675" s="81" t="s">
        <v>6044</v>
      </c>
      <c r="J675" s="81" t="s">
        <v>2186</v>
      </c>
      <c r="K675" s="81" t="s">
        <v>6044</v>
      </c>
      <c r="L675" s="81" t="s">
        <v>2392</v>
      </c>
      <c r="M675" s="81" t="s">
        <v>6044</v>
      </c>
      <c r="N675" s="81" t="s">
        <v>2231</v>
      </c>
      <c r="O675" s="81" t="s">
        <v>2187</v>
      </c>
      <c r="P675" s="81" t="s">
        <v>2187</v>
      </c>
      <c r="Q675" s="81" t="s">
        <v>43</v>
      </c>
      <c r="R675" s="81" t="s">
        <v>122</v>
      </c>
      <c r="S675" s="81" t="s">
        <v>122</v>
      </c>
      <c r="T675" s="81" t="s">
        <v>48</v>
      </c>
      <c r="U675" s="81" t="s">
        <v>48</v>
      </c>
      <c r="V675" s="81" t="s">
        <v>49</v>
      </c>
      <c r="W675" s="81" t="s">
        <v>48</v>
      </c>
      <c r="X675" s="81" t="s">
        <v>48</v>
      </c>
      <c r="Y675" s="81" t="s">
        <v>48</v>
      </c>
    </row>
    <row r="676" spans="1:25" x14ac:dyDescent="0.3">
      <c r="A676" s="16">
        <v>7501128157650</v>
      </c>
      <c r="B676" s="81" t="s">
        <v>43</v>
      </c>
      <c r="C676" s="81" t="s">
        <v>3239</v>
      </c>
      <c r="D676" s="81" t="s">
        <v>45</v>
      </c>
      <c r="E676" s="81" t="s">
        <v>2227</v>
      </c>
      <c r="F676" s="81" t="s">
        <v>2227</v>
      </c>
      <c r="G676" s="81" t="s">
        <v>3240</v>
      </c>
      <c r="H676" s="81" t="s">
        <v>3241</v>
      </c>
      <c r="I676" s="81" t="s">
        <v>6045</v>
      </c>
      <c r="J676" s="81" t="s">
        <v>2186</v>
      </c>
      <c r="K676" s="81" t="s">
        <v>6045</v>
      </c>
      <c r="L676" s="81" t="s">
        <v>2392</v>
      </c>
      <c r="M676" s="81" t="s">
        <v>6045</v>
      </c>
      <c r="N676" s="81" t="s">
        <v>2231</v>
      </c>
      <c r="O676" s="81" t="s">
        <v>2187</v>
      </c>
      <c r="P676" s="81" t="s">
        <v>2187</v>
      </c>
      <c r="Q676" s="81" t="s">
        <v>43</v>
      </c>
      <c r="R676" s="81" t="s">
        <v>122</v>
      </c>
      <c r="S676" s="81" t="s">
        <v>123</v>
      </c>
      <c r="T676" s="81" t="s">
        <v>48</v>
      </c>
      <c r="U676" s="81" t="s">
        <v>48</v>
      </c>
      <c r="V676" s="81" t="s">
        <v>49</v>
      </c>
      <c r="W676" s="81" t="s">
        <v>48</v>
      </c>
      <c r="X676" s="81" t="s">
        <v>48</v>
      </c>
      <c r="Y676" s="81" t="s">
        <v>48</v>
      </c>
    </row>
    <row r="677" spans="1:25" x14ac:dyDescent="0.3">
      <c r="A677" s="16">
        <v>7501128119528</v>
      </c>
      <c r="B677" s="81" t="s">
        <v>43</v>
      </c>
      <c r="C677" s="81" t="s">
        <v>698</v>
      </c>
      <c r="D677" s="81" t="s">
        <v>45</v>
      </c>
      <c r="E677" s="81" t="s">
        <v>2303</v>
      </c>
      <c r="F677" s="81" t="s">
        <v>2233</v>
      </c>
      <c r="G677" s="81" t="s">
        <v>3244</v>
      </c>
      <c r="H677" s="81" t="s">
        <v>3193</v>
      </c>
      <c r="I677" s="81" t="s">
        <v>2219</v>
      </c>
      <c r="J677" s="81" t="s">
        <v>2186</v>
      </c>
      <c r="K677" s="81" t="s">
        <v>3245</v>
      </c>
      <c r="L677" s="81" t="s">
        <v>2392</v>
      </c>
      <c r="M677" s="81" t="s">
        <v>3246</v>
      </c>
      <c r="N677" s="81" t="s">
        <v>2231</v>
      </c>
      <c r="O677" s="81" t="s">
        <v>2187</v>
      </c>
      <c r="P677" s="81" t="s">
        <v>2187</v>
      </c>
      <c r="Q677" s="81" t="s">
        <v>43</v>
      </c>
      <c r="R677" s="81" t="s">
        <v>122</v>
      </c>
      <c r="S677" s="81" t="s">
        <v>122</v>
      </c>
      <c r="T677" s="81" t="s">
        <v>48</v>
      </c>
      <c r="U677" s="81" t="s">
        <v>48</v>
      </c>
      <c r="V677" s="81" t="s">
        <v>49</v>
      </c>
      <c r="W677" s="81" t="s">
        <v>48</v>
      </c>
      <c r="X677" s="81" t="s">
        <v>48</v>
      </c>
      <c r="Y677" s="81" t="s">
        <v>48</v>
      </c>
    </row>
    <row r="678" spans="1:25" x14ac:dyDescent="0.3">
      <c r="A678" s="16">
        <v>7501128114417</v>
      </c>
      <c r="B678" s="81" t="s">
        <v>43</v>
      </c>
      <c r="C678" s="81" t="s">
        <v>699</v>
      </c>
      <c r="D678" s="81" t="s">
        <v>45</v>
      </c>
      <c r="E678" s="81" t="s">
        <v>2192</v>
      </c>
      <c r="F678" s="81" t="s">
        <v>2629</v>
      </c>
      <c r="G678" s="81" t="s">
        <v>2740</v>
      </c>
      <c r="H678" s="81" t="s">
        <v>3247</v>
      </c>
      <c r="I678" s="81" t="s">
        <v>3047</v>
      </c>
      <c r="J678" s="81" t="s">
        <v>2186</v>
      </c>
      <c r="K678" s="81" t="s">
        <v>3047</v>
      </c>
      <c r="L678" s="81" t="s">
        <v>2392</v>
      </c>
      <c r="M678" s="81" t="s">
        <v>3047</v>
      </c>
      <c r="N678" s="81" t="s">
        <v>2231</v>
      </c>
      <c r="O678" s="81" t="s">
        <v>2187</v>
      </c>
      <c r="P678" s="81" t="s">
        <v>2187</v>
      </c>
      <c r="Q678" s="81" t="s">
        <v>43</v>
      </c>
      <c r="R678" s="81" t="s">
        <v>122</v>
      </c>
      <c r="S678" s="81" t="s">
        <v>123</v>
      </c>
      <c r="T678" s="81" t="s">
        <v>48</v>
      </c>
      <c r="U678" s="81" t="s">
        <v>48</v>
      </c>
      <c r="V678" s="81" t="s">
        <v>49</v>
      </c>
      <c r="W678" s="81" t="s">
        <v>48</v>
      </c>
      <c r="X678" s="81" t="s">
        <v>48</v>
      </c>
      <c r="Y678" s="81" t="s">
        <v>48</v>
      </c>
    </row>
    <row r="679" spans="1:25" x14ac:dyDescent="0.3">
      <c r="A679" s="16">
        <v>7501128119498</v>
      </c>
      <c r="B679" s="81" t="s">
        <v>43</v>
      </c>
      <c r="C679" s="81" t="s">
        <v>700</v>
      </c>
      <c r="D679" s="81" t="s">
        <v>45</v>
      </c>
      <c r="E679" s="81" t="s">
        <v>2364</v>
      </c>
      <c r="F679" s="81" t="s">
        <v>2215</v>
      </c>
      <c r="G679" s="81" t="s">
        <v>3248</v>
      </c>
      <c r="H679" s="81" t="s">
        <v>3249</v>
      </c>
      <c r="I679" s="81" t="s">
        <v>6046</v>
      </c>
      <c r="J679" s="81" t="s">
        <v>2186</v>
      </c>
      <c r="K679" s="81" t="s">
        <v>6046</v>
      </c>
      <c r="L679" s="81" t="s">
        <v>2392</v>
      </c>
      <c r="M679" s="81" t="s">
        <v>6046</v>
      </c>
      <c r="N679" s="81" t="s">
        <v>2231</v>
      </c>
      <c r="O679" s="81" t="s">
        <v>2187</v>
      </c>
      <c r="P679" s="81" t="s">
        <v>2187</v>
      </c>
      <c r="Q679" s="81" t="s">
        <v>43</v>
      </c>
      <c r="R679" s="81" t="s">
        <v>122</v>
      </c>
      <c r="S679" s="81" t="s">
        <v>122</v>
      </c>
      <c r="T679" s="81" t="s">
        <v>48</v>
      </c>
      <c r="U679" s="81" t="s">
        <v>48</v>
      </c>
      <c r="V679" s="81" t="s">
        <v>49</v>
      </c>
      <c r="W679" s="81" t="s">
        <v>48</v>
      </c>
      <c r="X679" s="81" t="s">
        <v>48</v>
      </c>
      <c r="Y679" s="81" t="s">
        <v>48</v>
      </c>
    </row>
    <row r="680" spans="1:25" x14ac:dyDescent="0.3">
      <c r="A680" s="16">
        <v>7501128119627</v>
      </c>
      <c r="B680" s="81" t="s">
        <v>43</v>
      </c>
      <c r="C680" s="81" t="s">
        <v>701</v>
      </c>
      <c r="D680" s="81" t="s">
        <v>45</v>
      </c>
      <c r="E680" s="81" t="s">
        <v>2412</v>
      </c>
      <c r="F680" s="81" t="s">
        <v>2368</v>
      </c>
      <c r="G680" s="81" t="s">
        <v>3248</v>
      </c>
      <c r="H680" s="81" t="s">
        <v>3250</v>
      </c>
      <c r="I680" s="81" t="s">
        <v>6047</v>
      </c>
      <c r="J680" s="81" t="s">
        <v>2186</v>
      </c>
      <c r="K680" s="81" t="s">
        <v>6047</v>
      </c>
      <c r="L680" s="81" t="s">
        <v>2392</v>
      </c>
      <c r="M680" s="81" t="s">
        <v>6047</v>
      </c>
      <c r="N680" s="81" t="s">
        <v>2231</v>
      </c>
      <c r="O680" s="81" t="s">
        <v>2187</v>
      </c>
      <c r="P680" s="81" t="s">
        <v>2187</v>
      </c>
      <c r="Q680" s="81" t="s">
        <v>43</v>
      </c>
      <c r="R680" s="81" t="s">
        <v>122</v>
      </c>
      <c r="S680" s="81" t="s">
        <v>123</v>
      </c>
      <c r="T680" s="81" t="s">
        <v>48</v>
      </c>
      <c r="U680" s="81" t="s">
        <v>48</v>
      </c>
      <c r="V680" s="81" t="s">
        <v>49</v>
      </c>
      <c r="W680" s="81" t="s">
        <v>48</v>
      </c>
      <c r="X680" s="81" t="s">
        <v>48</v>
      </c>
      <c r="Y680" s="81" t="s">
        <v>48</v>
      </c>
    </row>
    <row r="681" spans="1:25" x14ac:dyDescent="0.3">
      <c r="A681" s="16">
        <v>7501128114509</v>
      </c>
      <c r="B681" s="81" t="s">
        <v>43</v>
      </c>
      <c r="C681" s="81" t="s">
        <v>702</v>
      </c>
      <c r="D681" s="81" t="s">
        <v>45</v>
      </c>
      <c r="E681" s="81" t="s">
        <v>2369</v>
      </c>
      <c r="F681" s="81" t="s">
        <v>2357</v>
      </c>
      <c r="G681" s="81" t="s">
        <v>3251</v>
      </c>
      <c r="H681" s="81" t="s">
        <v>3042</v>
      </c>
      <c r="I681" s="81" t="s">
        <v>6048</v>
      </c>
      <c r="J681" s="81" t="s">
        <v>2186</v>
      </c>
      <c r="K681" s="81" t="s">
        <v>6048</v>
      </c>
      <c r="L681" s="81" t="s">
        <v>2392</v>
      </c>
      <c r="M681" s="81" t="s">
        <v>6048</v>
      </c>
      <c r="N681" s="81" t="s">
        <v>2231</v>
      </c>
      <c r="O681" s="81" t="s">
        <v>2187</v>
      </c>
      <c r="P681" s="81" t="s">
        <v>2187</v>
      </c>
      <c r="Q681" s="81" t="s">
        <v>43</v>
      </c>
      <c r="R681" s="81" t="s">
        <v>122</v>
      </c>
      <c r="S681" s="81" t="s">
        <v>123</v>
      </c>
      <c r="T681" s="81" t="s">
        <v>48</v>
      </c>
      <c r="U681" s="81" t="s">
        <v>48</v>
      </c>
      <c r="V681" s="81" t="s">
        <v>49</v>
      </c>
      <c r="W681" s="81" t="s">
        <v>48</v>
      </c>
      <c r="X681" s="81" t="s">
        <v>48</v>
      </c>
      <c r="Y681" s="81" t="s">
        <v>48</v>
      </c>
    </row>
    <row r="682" spans="1:25" x14ac:dyDescent="0.3">
      <c r="A682" s="16">
        <v>7501128105033</v>
      </c>
      <c r="B682" s="81" t="s">
        <v>43</v>
      </c>
      <c r="C682" s="81" t="s">
        <v>4329</v>
      </c>
      <c r="D682" s="81" t="s">
        <v>45</v>
      </c>
      <c r="E682" s="81" t="s">
        <v>2227</v>
      </c>
      <c r="F682" s="81" t="s">
        <v>2227</v>
      </c>
      <c r="G682" s="81" t="s">
        <v>4326</v>
      </c>
      <c r="H682" s="81" t="s">
        <v>2351</v>
      </c>
      <c r="I682" s="81" t="s">
        <v>2943</v>
      </c>
      <c r="J682" s="81" t="s">
        <v>2186</v>
      </c>
      <c r="K682" s="81" t="s">
        <v>2943</v>
      </c>
      <c r="L682" s="81" t="s">
        <v>2392</v>
      </c>
      <c r="M682" s="81" t="s">
        <v>2943</v>
      </c>
      <c r="N682" s="81" t="s">
        <v>2231</v>
      </c>
      <c r="O682" s="81" t="s">
        <v>2187</v>
      </c>
      <c r="P682" s="81" t="s">
        <v>2187</v>
      </c>
      <c r="Q682" s="81" t="s">
        <v>43</v>
      </c>
      <c r="R682" s="81" t="s">
        <v>203</v>
      </c>
      <c r="S682" s="81" t="s">
        <v>203</v>
      </c>
      <c r="T682" s="81" t="s">
        <v>48</v>
      </c>
      <c r="U682" s="81" t="s">
        <v>48</v>
      </c>
      <c r="V682" s="81" t="s">
        <v>49</v>
      </c>
      <c r="W682" s="81" t="s">
        <v>48</v>
      </c>
      <c r="X682" s="81" t="s">
        <v>48</v>
      </c>
      <c r="Y682" s="81" t="s">
        <v>48</v>
      </c>
    </row>
    <row r="683" spans="1:25" x14ac:dyDescent="0.3">
      <c r="A683" s="16">
        <v>7501128105040</v>
      </c>
      <c r="B683" s="81" t="s">
        <v>43</v>
      </c>
      <c r="C683" s="81" t="s">
        <v>4327</v>
      </c>
      <c r="D683" s="81" t="s">
        <v>45</v>
      </c>
      <c r="E683" s="81" t="s">
        <v>2227</v>
      </c>
      <c r="F683" s="81" t="s">
        <v>2227</v>
      </c>
      <c r="G683" s="81" t="s">
        <v>4326</v>
      </c>
      <c r="H683" s="81" t="s">
        <v>2351</v>
      </c>
      <c r="I683" s="81" t="s">
        <v>2943</v>
      </c>
      <c r="J683" s="81" t="s">
        <v>2186</v>
      </c>
      <c r="K683" s="81" t="s">
        <v>2943</v>
      </c>
      <c r="L683" s="81" t="s">
        <v>2392</v>
      </c>
      <c r="M683" s="81" t="s">
        <v>2943</v>
      </c>
      <c r="N683" s="81" t="s">
        <v>2231</v>
      </c>
      <c r="O683" s="81" t="s">
        <v>2187</v>
      </c>
      <c r="P683" s="81" t="s">
        <v>2187</v>
      </c>
      <c r="Q683" s="81" t="s">
        <v>43</v>
      </c>
      <c r="R683" s="81" t="s">
        <v>203</v>
      </c>
      <c r="S683" s="81" t="s">
        <v>203</v>
      </c>
      <c r="T683" s="81" t="s">
        <v>48</v>
      </c>
      <c r="U683" s="81" t="s">
        <v>48</v>
      </c>
      <c r="V683" s="81" t="s">
        <v>49</v>
      </c>
      <c r="W683" s="81" t="s">
        <v>48</v>
      </c>
      <c r="X683" s="81" t="s">
        <v>48</v>
      </c>
      <c r="Y683" s="81" t="s">
        <v>48</v>
      </c>
    </row>
    <row r="684" spans="1:25" x14ac:dyDescent="0.3">
      <c r="A684" s="16">
        <v>7501075723861</v>
      </c>
      <c r="B684" s="81" t="s">
        <v>43</v>
      </c>
      <c r="C684" s="81" t="s">
        <v>703</v>
      </c>
      <c r="D684" s="81" t="s">
        <v>45</v>
      </c>
      <c r="E684" s="81" t="s">
        <v>2358</v>
      </c>
      <c r="F684" s="81" t="s">
        <v>2354</v>
      </c>
      <c r="G684" s="81" t="s">
        <v>4367</v>
      </c>
      <c r="H684" s="81" t="s">
        <v>2981</v>
      </c>
      <c r="I684" s="81" t="s">
        <v>6049</v>
      </c>
      <c r="J684" s="81" t="s">
        <v>2186</v>
      </c>
      <c r="K684" s="81" t="s">
        <v>6049</v>
      </c>
      <c r="L684" s="81" t="s">
        <v>2392</v>
      </c>
      <c r="M684" s="81" t="s">
        <v>6049</v>
      </c>
      <c r="N684" s="81" t="s">
        <v>2231</v>
      </c>
      <c r="O684" s="81" t="s">
        <v>2187</v>
      </c>
      <c r="P684" s="81" t="s">
        <v>2187</v>
      </c>
      <c r="Q684" s="81" t="s">
        <v>43</v>
      </c>
      <c r="R684" s="81" t="s">
        <v>46</v>
      </c>
      <c r="S684" s="81" t="s">
        <v>47</v>
      </c>
      <c r="T684" s="81" t="s">
        <v>48</v>
      </c>
      <c r="U684" s="81" t="s">
        <v>48</v>
      </c>
      <c r="V684" s="81" t="s">
        <v>48</v>
      </c>
      <c r="W684" s="81" t="s">
        <v>49</v>
      </c>
      <c r="X684" s="81" t="s">
        <v>48</v>
      </c>
      <c r="Y684" s="81" t="s">
        <v>48</v>
      </c>
    </row>
    <row r="685" spans="1:25" x14ac:dyDescent="0.3">
      <c r="A685" s="16">
        <v>7501258215664</v>
      </c>
      <c r="B685" s="81" t="s">
        <v>43</v>
      </c>
      <c r="C685" s="81" t="s">
        <v>704</v>
      </c>
      <c r="D685" s="81" t="s">
        <v>45</v>
      </c>
      <c r="E685" s="81" t="s">
        <v>2545</v>
      </c>
      <c r="F685" s="81" t="s">
        <v>2333</v>
      </c>
      <c r="G685" s="81" t="s">
        <v>3252</v>
      </c>
      <c r="H685" s="81" t="s">
        <v>3253</v>
      </c>
      <c r="I685" s="81" t="s">
        <v>2936</v>
      </c>
      <c r="J685" s="81" t="s">
        <v>2186</v>
      </c>
      <c r="K685" s="81" t="s">
        <v>2936</v>
      </c>
      <c r="L685" s="81" t="s">
        <v>2392</v>
      </c>
      <c r="M685" s="81" t="s">
        <v>2936</v>
      </c>
      <c r="N685" s="81" t="s">
        <v>2231</v>
      </c>
      <c r="O685" s="81" t="s">
        <v>2187</v>
      </c>
      <c r="P685" s="81" t="s">
        <v>2187</v>
      </c>
      <c r="Q685" s="81" t="s">
        <v>43</v>
      </c>
      <c r="R685" s="81" t="s">
        <v>46</v>
      </c>
      <c r="S685" s="81" t="s">
        <v>47</v>
      </c>
      <c r="T685" s="81" t="s">
        <v>48</v>
      </c>
      <c r="U685" s="81" t="s">
        <v>48</v>
      </c>
      <c r="V685" s="81" t="s">
        <v>48</v>
      </c>
      <c r="W685" s="81" t="s">
        <v>49</v>
      </c>
      <c r="X685" s="81" t="s">
        <v>48</v>
      </c>
      <c r="Y685" s="81" t="s">
        <v>48</v>
      </c>
    </row>
    <row r="686" spans="1:25" x14ac:dyDescent="0.3">
      <c r="A686" s="16">
        <v>7502009740732</v>
      </c>
      <c r="B686" s="81" t="s">
        <v>43</v>
      </c>
      <c r="C686" s="81" t="s">
        <v>1959</v>
      </c>
      <c r="D686" s="81" t="s">
        <v>45</v>
      </c>
      <c r="E686" s="81" t="s">
        <v>2606</v>
      </c>
      <c r="F686" s="81" t="s">
        <v>2654</v>
      </c>
      <c r="G686" s="81" t="s">
        <v>5211</v>
      </c>
      <c r="H686" s="81" t="s">
        <v>2223</v>
      </c>
      <c r="I686" s="81" t="s">
        <v>5535</v>
      </c>
      <c r="J686" s="81" t="s">
        <v>2186</v>
      </c>
      <c r="K686" s="81" t="s">
        <v>5535</v>
      </c>
      <c r="L686" s="81" t="s">
        <v>2392</v>
      </c>
      <c r="M686" s="81" t="s">
        <v>5535</v>
      </c>
      <c r="N686" s="81" t="s">
        <v>2231</v>
      </c>
      <c r="O686" s="81" t="s">
        <v>2187</v>
      </c>
      <c r="P686" s="81" t="s">
        <v>2187</v>
      </c>
      <c r="Q686" s="81" t="s">
        <v>43</v>
      </c>
      <c r="R686" s="81" t="s">
        <v>46</v>
      </c>
      <c r="S686" s="81" t="s">
        <v>46</v>
      </c>
      <c r="T686" s="81" t="s">
        <v>48</v>
      </c>
      <c r="U686" s="81" t="s">
        <v>48</v>
      </c>
      <c r="V686" s="81" t="s">
        <v>48</v>
      </c>
      <c r="W686" s="81" t="s">
        <v>49</v>
      </c>
      <c r="X686" s="81" t="s">
        <v>48</v>
      </c>
      <c r="Y686" s="81" t="s">
        <v>48</v>
      </c>
    </row>
    <row r="687" spans="1:25" x14ac:dyDescent="0.3">
      <c r="A687" s="16">
        <v>7501035908246</v>
      </c>
      <c r="B687" s="81" t="s">
        <v>43</v>
      </c>
      <c r="C687" s="81" t="s">
        <v>705</v>
      </c>
      <c r="D687" s="81" t="s">
        <v>45</v>
      </c>
      <c r="E687" s="81" t="s">
        <v>2312</v>
      </c>
      <c r="F687" s="81" t="s">
        <v>2313</v>
      </c>
      <c r="G687" s="81" t="s">
        <v>6050</v>
      </c>
      <c r="H687" s="81" t="s">
        <v>3243</v>
      </c>
      <c r="I687" s="81" t="s">
        <v>6051</v>
      </c>
      <c r="J687" s="81" t="s">
        <v>2186</v>
      </c>
      <c r="K687" s="81" t="s">
        <v>6051</v>
      </c>
      <c r="L687" s="81" t="s">
        <v>2392</v>
      </c>
      <c r="M687" s="81" t="s">
        <v>6051</v>
      </c>
      <c r="N687" s="81" t="s">
        <v>2231</v>
      </c>
      <c r="O687" s="81" t="s">
        <v>2187</v>
      </c>
      <c r="P687" s="81" t="s">
        <v>2187</v>
      </c>
      <c r="Q687" s="81" t="s">
        <v>43</v>
      </c>
      <c r="R687" s="81" t="s">
        <v>203</v>
      </c>
      <c r="S687" s="81" t="s">
        <v>203</v>
      </c>
      <c r="T687" s="81" t="s">
        <v>48</v>
      </c>
      <c r="U687" s="81" t="s">
        <v>48</v>
      </c>
      <c r="V687" s="81" t="s">
        <v>49</v>
      </c>
      <c r="W687" s="81" t="s">
        <v>48</v>
      </c>
      <c r="X687" s="81" t="s">
        <v>48</v>
      </c>
      <c r="Y687" s="81" t="s">
        <v>48</v>
      </c>
    </row>
    <row r="688" spans="1:25" x14ac:dyDescent="0.3">
      <c r="A688" s="16">
        <v>714908105889</v>
      </c>
      <c r="B688" s="81" t="s">
        <v>43</v>
      </c>
      <c r="C688" s="81" t="s">
        <v>4494</v>
      </c>
      <c r="D688" s="81" t="s">
        <v>45</v>
      </c>
      <c r="E688" s="81" t="s">
        <v>2192</v>
      </c>
      <c r="F688" s="81" t="s">
        <v>2629</v>
      </c>
      <c r="G688" s="81" t="s">
        <v>5085</v>
      </c>
      <c r="H688" s="81" t="s">
        <v>6052</v>
      </c>
      <c r="I688" s="81" t="s">
        <v>3159</v>
      </c>
      <c r="J688" s="81" t="s">
        <v>2186</v>
      </c>
      <c r="K688" s="81" t="s">
        <v>3159</v>
      </c>
      <c r="L688" s="81" t="s">
        <v>2392</v>
      </c>
      <c r="M688" s="81" t="s">
        <v>3159</v>
      </c>
      <c r="N688" s="81" t="s">
        <v>2231</v>
      </c>
      <c r="O688" s="81" t="s">
        <v>2187</v>
      </c>
      <c r="P688" s="81" t="s">
        <v>2187</v>
      </c>
      <c r="Q688" s="81" t="s">
        <v>43</v>
      </c>
      <c r="R688" s="81" t="s">
        <v>46</v>
      </c>
      <c r="S688" s="81" t="s">
        <v>46</v>
      </c>
      <c r="T688" s="81" t="s">
        <v>48</v>
      </c>
      <c r="U688" s="81" t="s">
        <v>48</v>
      </c>
      <c r="V688" s="81" t="s">
        <v>49</v>
      </c>
      <c r="W688" s="81" t="s">
        <v>48</v>
      </c>
      <c r="X688" s="81" t="s">
        <v>48</v>
      </c>
      <c r="Y688" s="81" t="s">
        <v>48</v>
      </c>
    </row>
    <row r="689" spans="1:25" x14ac:dyDescent="0.3">
      <c r="A689" s="16">
        <v>780083139889</v>
      </c>
      <c r="B689" s="81" t="s">
        <v>43</v>
      </c>
      <c r="C689" s="81" t="s">
        <v>1960</v>
      </c>
      <c r="D689" s="81" t="s">
        <v>45</v>
      </c>
      <c r="E689" s="81" t="s">
        <v>2512</v>
      </c>
      <c r="F689" s="81" t="s">
        <v>2494</v>
      </c>
      <c r="G689" s="81" t="s">
        <v>4889</v>
      </c>
      <c r="H689" s="81" t="s">
        <v>2343</v>
      </c>
      <c r="I689" s="81" t="s">
        <v>5258</v>
      </c>
      <c r="J689" s="81" t="s">
        <v>2186</v>
      </c>
      <c r="K689" s="81" t="s">
        <v>5258</v>
      </c>
      <c r="L689" s="81" t="s">
        <v>2392</v>
      </c>
      <c r="M689" s="81" t="s">
        <v>5258</v>
      </c>
      <c r="N689" s="81" t="s">
        <v>2231</v>
      </c>
      <c r="O689" s="81" t="s">
        <v>2187</v>
      </c>
      <c r="P689" s="81" t="s">
        <v>2187</v>
      </c>
      <c r="Q689" s="81" t="s">
        <v>43</v>
      </c>
      <c r="R689" s="81" t="s">
        <v>112</v>
      </c>
      <c r="S689" s="81" t="s">
        <v>112</v>
      </c>
      <c r="T689" s="81" t="s">
        <v>48</v>
      </c>
      <c r="U689" s="81" t="s">
        <v>48</v>
      </c>
      <c r="V689" s="81" t="s">
        <v>48</v>
      </c>
      <c r="W689" s="81" t="s">
        <v>49</v>
      </c>
      <c r="X689" s="81" t="s">
        <v>48</v>
      </c>
      <c r="Y689" s="81" t="s">
        <v>48</v>
      </c>
    </row>
    <row r="690" spans="1:25" x14ac:dyDescent="0.3">
      <c r="A690" s="16">
        <v>780083144814</v>
      </c>
      <c r="B690" s="81" t="s">
        <v>43</v>
      </c>
      <c r="C690" s="81" t="s">
        <v>1961</v>
      </c>
      <c r="D690" s="81" t="s">
        <v>45</v>
      </c>
      <c r="E690" s="81" t="s">
        <v>2369</v>
      </c>
      <c r="F690" s="81" t="s">
        <v>2179</v>
      </c>
      <c r="G690" s="81" t="s">
        <v>3254</v>
      </c>
      <c r="H690" s="81" t="s">
        <v>2429</v>
      </c>
      <c r="I690" s="81" t="s">
        <v>2353</v>
      </c>
      <c r="J690" s="81" t="s">
        <v>2186</v>
      </c>
      <c r="K690" s="81" t="s">
        <v>2243</v>
      </c>
      <c r="L690" s="81" t="s">
        <v>2392</v>
      </c>
      <c r="M690" s="81" t="s">
        <v>2224</v>
      </c>
      <c r="N690" s="81" t="s">
        <v>2231</v>
      </c>
      <c r="O690" s="81" t="s">
        <v>2187</v>
      </c>
      <c r="P690" s="81" t="s">
        <v>2187</v>
      </c>
      <c r="Q690" s="81" t="s">
        <v>43</v>
      </c>
      <c r="R690" s="81" t="s">
        <v>51</v>
      </c>
      <c r="S690" s="81" t="s">
        <v>81</v>
      </c>
      <c r="T690" s="81" t="s">
        <v>49</v>
      </c>
      <c r="U690" s="81" t="s">
        <v>48</v>
      </c>
      <c r="V690" s="81" t="s">
        <v>48</v>
      </c>
      <c r="W690" s="81" t="s">
        <v>49</v>
      </c>
      <c r="X690" s="81" t="s">
        <v>48</v>
      </c>
      <c r="Y690" s="81" t="s">
        <v>48</v>
      </c>
    </row>
    <row r="691" spans="1:25" x14ac:dyDescent="0.3">
      <c r="A691" s="16">
        <v>7503004908738</v>
      </c>
      <c r="B691" s="81" t="s">
        <v>43</v>
      </c>
      <c r="C691" s="81" t="s">
        <v>706</v>
      </c>
      <c r="D691" s="81" t="s">
        <v>45</v>
      </c>
      <c r="E691" s="81" t="s">
        <v>2215</v>
      </c>
      <c r="F691" s="81" t="s">
        <v>2216</v>
      </c>
      <c r="G691" s="81" t="s">
        <v>5212</v>
      </c>
      <c r="H691" s="81" t="s">
        <v>2217</v>
      </c>
      <c r="I691" s="81" t="s">
        <v>5959</v>
      </c>
      <c r="J691" s="81" t="s">
        <v>2186</v>
      </c>
      <c r="K691" s="81" t="s">
        <v>5959</v>
      </c>
      <c r="L691" s="81" t="s">
        <v>2392</v>
      </c>
      <c r="M691" s="81" t="s">
        <v>5959</v>
      </c>
      <c r="N691" s="81" t="s">
        <v>2231</v>
      </c>
      <c r="O691" s="81" t="s">
        <v>2187</v>
      </c>
      <c r="P691" s="81" t="s">
        <v>2187</v>
      </c>
      <c r="Q691" s="81" t="s">
        <v>707</v>
      </c>
      <c r="R691" s="81" t="s">
        <v>46</v>
      </c>
      <c r="S691" s="81" t="s">
        <v>46</v>
      </c>
      <c r="T691" s="81" t="s">
        <v>48</v>
      </c>
      <c r="U691" s="81" t="s">
        <v>48</v>
      </c>
      <c r="V691" s="81" t="s">
        <v>48</v>
      </c>
      <c r="W691" s="81" t="s">
        <v>49</v>
      </c>
      <c r="X691" s="81" t="s">
        <v>48</v>
      </c>
      <c r="Y691" s="81" t="s">
        <v>48</v>
      </c>
    </row>
    <row r="692" spans="1:25" x14ac:dyDescent="0.3">
      <c r="A692" s="16">
        <v>7503001007205</v>
      </c>
      <c r="B692" s="81" t="s">
        <v>43</v>
      </c>
      <c r="C692" s="81" t="s">
        <v>708</v>
      </c>
      <c r="D692" s="81" t="s">
        <v>45</v>
      </c>
      <c r="E692" s="81" t="s">
        <v>2616</v>
      </c>
      <c r="F692" s="81" t="s">
        <v>2471</v>
      </c>
      <c r="G692" s="81" t="s">
        <v>3255</v>
      </c>
      <c r="H692" s="81" t="s">
        <v>6053</v>
      </c>
      <c r="I692" s="81" t="s">
        <v>6054</v>
      </c>
      <c r="J692" s="81" t="s">
        <v>2186</v>
      </c>
      <c r="K692" s="81" t="s">
        <v>6054</v>
      </c>
      <c r="L692" s="81" t="s">
        <v>2392</v>
      </c>
      <c r="M692" s="81" t="s">
        <v>6054</v>
      </c>
      <c r="N692" s="81" t="s">
        <v>2231</v>
      </c>
      <c r="O692" s="81" t="s">
        <v>2187</v>
      </c>
      <c r="P692" s="81" t="s">
        <v>2187</v>
      </c>
      <c r="Q692" s="81" t="s">
        <v>43</v>
      </c>
      <c r="R692" s="81" t="s">
        <v>51</v>
      </c>
      <c r="S692" s="81" t="s">
        <v>81</v>
      </c>
      <c r="T692" s="81" t="s">
        <v>49</v>
      </c>
      <c r="U692" s="81" t="s">
        <v>48</v>
      </c>
      <c r="V692" s="81" t="s">
        <v>48</v>
      </c>
      <c r="W692" s="81" t="s">
        <v>49</v>
      </c>
      <c r="X692" s="81" t="s">
        <v>48</v>
      </c>
      <c r="Y692" s="81" t="s">
        <v>48</v>
      </c>
    </row>
    <row r="693" spans="1:25" x14ac:dyDescent="0.3">
      <c r="A693" s="16">
        <v>7502009744105</v>
      </c>
      <c r="B693" s="81" t="s">
        <v>43</v>
      </c>
      <c r="C693" s="81" t="s">
        <v>709</v>
      </c>
      <c r="D693" s="81" t="s">
        <v>45</v>
      </c>
      <c r="E693" s="81" t="s">
        <v>2471</v>
      </c>
      <c r="F693" s="81" t="s">
        <v>2481</v>
      </c>
      <c r="G693" s="81" t="s">
        <v>5493</v>
      </c>
      <c r="H693" s="81" t="s">
        <v>3238</v>
      </c>
      <c r="I693" s="81" t="s">
        <v>6055</v>
      </c>
      <c r="J693" s="81" t="s">
        <v>2186</v>
      </c>
      <c r="K693" s="81" t="s">
        <v>6055</v>
      </c>
      <c r="L693" s="81" t="s">
        <v>2392</v>
      </c>
      <c r="M693" s="81" t="s">
        <v>6055</v>
      </c>
      <c r="N693" s="81" t="s">
        <v>2231</v>
      </c>
      <c r="O693" s="81" t="s">
        <v>2187</v>
      </c>
      <c r="P693" s="81" t="s">
        <v>2187</v>
      </c>
      <c r="Q693" s="81" t="s">
        <v>43</v>
      </c>
      <c r="R693" s="81" t="s">
        <v>46</v>
      </c>
      <c r="S693" s="81" t="s">
        <v>46</v>
      </c>
      <c r="T693" s="81" t="s">
        <v>48</v>
      </c>
      <c r="U693" s="81" t="s">
        <v>48</v>
      </c>
      <c r="V693" s="81" t="s">
        <v>49</v>
      </c>
      <c r="W693" s="81" t="s">
        <v>48</v>
      </c>
      <c r="X693" s="81" t="s">
        <v>48</v>
      </c>
      <c r="Y693" s="81" t="s">
        <v>48</v>
      </c>
    </row>
    <row r="694" spans="1:25" x14ac:dyDescent="0.3">
      <c r="A694" s="16">
        <v>7896009490651</v>
      </c>
      <c r="B694" s="81" t="s">
        <v>43</v>
      </c>
      <c r="C694" s="81" t="s">
        <v>1962</v>
      </c>
      <c r="D694" s="81" t="s">
        <v>45</v>
      </c>
      <c r="E694" s="81" t="s">
        <v>2192</v>
      </c>
      <c r="F694" s="81" t="s">
        <v>2629</v>
      </c>
      <c r="G694" s="81" t="s">
        <v>4667</v>
      </c>
      <c r="H694" s="81" t="s">
        <v>4780</v>
      </c>
      <c r="I694" s="81" t="s">
        <v>6056</v>
      </c>
      <c r="J694" s="81" t="s">
        <v>2186</v>
      </c>
      <c r="K694" s="81" t="s">
        <v>6056</v>
      </c>
      <c r="L694" s="81" t="s">
        <v>2392</v>
      </c>
      <c r="M694" s="81" t="s">
        <v>6056</v>
      </c>
      <c r="N694" s="81" t="s">
        <v>2231</v>
      </c>
      <c r="O694" s="81" t="s">
        <v>2187</v>
      </c>
      <c r="P694" s="81" t="s">
        <v>2187</v>
      </c>
      <c r="Q694" s="81" t="s">
        <v>43</v>
      </c>
      <c r="R694" s="81" t="s">
        <v>203</v>
      </c>
      <c r="S694" s="81" t="s">
        <v>203</v>
      </c>
      <c r="T694" s="81" t="s">
        <v>48</v>
      </c>
      <c r="U694" s="81" t="s">
        <v>48</v>
      </c>
      <c r="V694" s="81" t="s">
        <v>49</v>
      </c>
      <c r="W694" s="81" t="s">
        <v>48</v>
      </c>
      <c r="X694" s="81" t="s">
        <v>48</v>
      </c>
      <c r="Y694" s="81" t="s">
        <v>48</v>
      </c>
    </row>
    <row r="695" spans="1:25" x14ac:dyDescent="0.3">
      <c r="A695" s="16">
        <v>7502009744082</v>
      </c>
      <c r="B695" s="81" t="s">
        <v>43</v>
      </c>
      <c r="C695" s="81" t="s">
        <v>3258</v>
      </c>
      <c r="D695" s="81" t="s">
        <v>45</v>
      </c>
      <c r="E695" s="81" t="s">
        <v>2303</v>
      </c>
      <c r="F695" s="81" t="s">
        <v>2304</v>
      </c>
      <c r="G695" s="81" t="s">
        <v>4815</v>
      </c>
      <c r="H695" s="81" t="s">
        <v>3052</v>
      </c>
      <c r="I695" s="81" t="s">
        <v>6057</v>
      </c>
      <c r="J695" s="81" t="s">
        <v>2186</v>
      </c>
      <c r="K695" s="81" t="s">
        <v>6057</v>
      </c>
      <c r="L695" s="81" t="s">
        <v>2392</v>
      </c>
      <c r="M695" s="81" t="s">
        <v>6057</v>
      </c>
      <c r="N695" s="81" t="s">
        <v>2231</v>
      </c>
      <c r="O695" s="81" t="s">
        <v>2187</v>
      </c>
      <c r="P695" s="81" t="s">
        <v>2187</v>
      </c>
      <c r="Q695" s="81" t="s">
        <v>43</v>
      </c>
      <c r="R695" s="81" t="s">
        <v>46</v>
      </c>
      <c r="S695" s="81" t="s">
        <v>46</v>
      </c>
      <c r="T695" s="81" t="s">
        <v>48</v>
      </c>
      <c r="U695" s="81" t="s">
        <v>48</v>
      </c>
      <c r="V695" s="81" t="s">
        <v>49</v>
      </c>
      <c r="W695" s="81" t="s">
        <v>48</v>
      </c>
      <c r="X695" s="81" t="s">
        <v>48</v>
      </c>
      <c r="Y695" s="81" t="s">
        <v>48</v>
      </c>
    </row>
    <row r="696" spans="1:25" x14ac:dyDescent="0.3">
      <c r="A696" s="16">
        <v>7502001160385</v>
      </c>
      <c r="B696" s="81" t="s">
        <v>43</v>
      </c>
      <c r="C696" s="81" t="s">
        <v>710</v>
      </c>
      <c r="D696" s="81" t="s">
        <v>45</v>
      </c>
      <c r="E696" s="81" t="s">
        <v>2447</v>
      </c>
      <c r="F696" s="81" t="s">
        <v>2300</v>
      </c>
      <c r="G696" s="81" t="s">
        <v>3259</v>
      </c>
      <c r="H696" s="81" t="s">
        <v>2331</v>
      </c>
      <c r="I696" s="81" t="s">
        <v>6058</v>
      </c>
      <c r="J696" s="81" t="s">
        <v>2186</v>
      </c>
      <c r="K696" s="81" t="s">
        <v>6058</v>
      </c>
      <c r="L696" s="81" t="s">
        <v>2392</v>
      </c>
      <c r="M696" s="81" t="s">
        <v>6058</v>
      </c>
      <c r="N696" s="81" t="s">
        <v>2231</v>
      </c>
      <c r="O696" s="81" t="s">
        <v>2187</v>
      </c>
      <c r="P696" s="81" t="s">
        <v>2187</v>
      </c>
      <c r="Q696" s="81" t="s">
        <v>43</v>
      </c>
      <c r="R696" s="81" t="s">
        <v>46</v>
      </c>
      <c r="S696" s="81" t="s">
        <v>164</v>
      </c>
      <c r="T696" s="81" t="s">
        <v>48</v>
      </c>
      <c r="U696" s="81" t="s">
        <v>48</v>
      </c>
      <c r="V696" s="81" t="s">
        <v>48</v>
      </c>
      <c r="W696" s="81" t="s">
        <v>49</v>
      </c>
      <c r="X696" s="81" t="s">
        <v>48</v>
      </c>
      <c r="Y696" s="81" t="s">
        <v>48</v>
      </c>
    </row>
    <row r="697" spans="1:25" x14ac:dyDescent="0.3">
      <c r="A697" s="16">
        <v>7502009741340</v>
      </c>
      <c r="B697" s="81" t="s">
        <v>43</v>
      </c>
      <c r="C697" s="81" t="s">
        <v>1963</v>
      </c>
      <c r="D697" s="81" t="s">
        <v>45</v>
      </c>
      <c r="E697" s="81" t="s">
        <v>2248</v>
      </c>
      <c r="F697" s="81" t="s">
        <v>2249</v>
      </c>
      <c r="G697" s="81" t="s">
        <v>5156</v>
      </c>
      <c r="H697" s="81" t="s">
        <v>2190</v>
      </c>
      <c r="I697" s="81" t="s">
        <v>6059</v>
      </c>
      <c r="J697" s="81" t="s">
        <v>2186</v>
      </c>
      <c r="K697" s="81" t="s">
        <v>6059</v>
      </c>
      <c r="L697" s="81" t="s">
        <v>2392</v>
      </c>
      <c r="M697" s="81" t="s">
        <v>6059</v>
      </c>
      <c r="N697" s="81" t="s">
        <v>2231</v>
      </c>
      <c r="O697" s="81" t="s">
        <v>2187</v>
      </c>
      <c r="P697" s="81" t="s">
        <v>2187</v>
      </c>
      <c r="Q697" s="81" t="s">
        <v>43</v>
      </c>
      <c r="R697" s="81" t="s">
        <v>46</v>
      </c>
      <c r="S697" s="81" t="s">
        <v>46</v>
      </c>
      <c r="T697" s="81" t="s">
        <v>48</v>
      </c>
      <c r="U697" s="81" t="s">
        <v>48</v>
      </c>
      <c r="V697" s="81" t="s">
        <v>48</v>
      </c>
      <c r="W697" s="81" t="s">
        <v>49</v>
      </c>
      <c r="X697" s="81" t="s">
        <v>48</v>
      </c>
      <c r="Y697" s="81" t="s">
        <v>48</v>
      </c>
    </row>
    <row r="698" spans="1:25" x14ac:dyDescent="0.3">
      <c r="A698" s="16">
        <v>7501258211024</v>
      </c>
      <c r="B698" s="81" t="s">
        <v>43</v>
      </c>
      <c r="C698" s="81" t="s">
        <v>4511</v>
      </c>
      <c r="D698" s="81" t="s">
        <v>45</v>
      </c>
      <c r="E698" s="81" t="s">
        <v>2412</v>
      </c>
      <c r="F698" s="81" t="s">
        <v>2368</v>
      </c>
      <c r="G698" s="81" t="s">
        <v>5053</v>
      </c>
      <c r="H698" s="81" t="s">
        <v>3580</v>
      </c>
      <c r="I698" s="81" t="s">
        <v>4836</v>
      </c>
      <c r="J698" s="81" t="s">
        <v>2186</v>
      </c>
      <c r="K698" s="81" t="s">
        <v>4836</v>
      </c>
      <c r="L698" s="81" t="s">
        <v>2392</v>
      </c>
      <c r="M698" s="81" t="s">
        <v>4836</v>
      </c>
      <c r="N698" s="81" t="s">
        <v>2231</v>
      </c>
      <c r="O698" s="81" t="s">
        <v>2187</v>
      </c>
      <c r="P698" s="81" t="s">
        <v>2187</v>
      </c>
      <c r="Q698" s="81" t="s">
        <v>43</v>
      </c>
      <c r="R698" s="81" t="s">
        <v>46</v>
      </c>
      <c r="S698" s="81" t="s">
        <v>46</v>
      </c>
      <c r="T698" s="81" t="s">
        <v>48</v>
      </c>
      <c r="U698" s="81" t="s">
        <v>48</v>
      </c>
      <c r="V698" s="81" t="s">
        <v>48</v>
      </c>
      <c r="W698" s="81" t="s">
        <v>49</v>
      </c>
      <c r="X698" s="81" t="s">
        <v>48</v>
      </c>
      <c r="Y698" s="81" t="s">
        <v>48</v>
      </c>
    </row>
    <row r="699" spans="1:25" x14ac:dyDescent="0.3">
      <c r="A699" s="16">
        <v>7501258211352</v>
      </c>
      <c r="B699" s="81" t="s">
        <v>43</v>
      </c>
      <c r="C699" s="81" t="s">
        <v>4330</v>
      </c>
      <c r="D699" s="81" t="s">
        <v>45</v>
      </c>
      <c r="E699" s="81" t="s">
        <v>2227</v>
      </c>
      <c r="F699" s="81" t="s">
        <v>2227</v>
      </c>
      <c r="G699" s="81" t="s">
        <v>4970</v>
      </c>
      <c r="H699" s="81" t="s">
        <v>2385</v>
      </c>
      <c r="I699" s="81" t="s">
        <v>3045</v>
      </c>
      <c r="J699" s="81" t="s">
        <v>2186</v>
      </c>
      <c r="K699" s="81" t="s">
        <v>2865</v>
      </c>
      <c r="L699" s="81" t="s">
        <v>2392</v>
      </c>
      <c r="M699" s="81" t="s">
        <v>4971</v>
      </c>
      <c r="N699" s="81" t="s">
        <v>2231</v>
      </c>
      <c r="O699" s="81" t="s">
        <v>2187</v>
      </c>
      <c r="P699" s="81" t="s">
        <v>2187</v>
      </c>
      <c r="Q699" s="81" t="s">
        <v>43</v>
      </c>
      <c r="R699" s="81" t="s">
        <v>46</v>
      </c>
      <c r="S699" s="81" t="s">
        <v>46</v>
      </c>
      <c r="T699" s="81" t="s">
        <v>48</v>
      </c>
      <c r="U699" s="81" t="s">
        <v>48</v>
      </c>
      <c r="V699" s="81" t="s">
        <v>48</v>
      </c>
      <c r="W699" s="81" t="s">
        <v>49</v>
      </c>
      <c r="X699" s="81" t="s">
        <v>48</v>
      </c>
      <c r="Y699" s="81" t="s">
        <v>48</v>
      </c>
    </row>
    <row r="700" spans="1:25" x14ac:dyDescent="0.3">
      <c r="A700" s="16">
        <v>7501258215657</v>
      </c>
      <c r="B700" s="81" t="s">
        <v>43</v>
      </c>
      <c r="C700" s="81" t="s">
        <v>711</v>
      </c>
      <c r="D700" s="81" t="s">
        <v>45</v>
      </c>
      <c r="E700" s="81" t="s">
        <v>2364</v>
      </c>
      <c r="F700" s="81" t="s">
        <v>2215</v>
      </c>
      <c r="G700" s="81" t="s">
        <v>3260</v>
      </c>
      <c r="H700" s="81" t="s">
        <v>3261</v>
      </c>
      <c r="I700" s="81" t="s">
        <v>6060</v>
      </c>
      <c r="J700" s="81" t="s">
        <v>2186</v>
      </c>
      <c r="K700" s="81" t="s">
        <v>6060</v>
      </c>
      <c r="L700" s="81" t="s">
        <v>2392</v>
      </c>
      <c r="M700" s="81" t="s">
        <v>6060</v>
      </c>
      <c r="N700" s="81" t="s">
        <v>2231</v>
      </c>
      <c r="O700" s="81" t="s">
        <v>2187</v>
      </c>
      <c r="P700" s="81" t="s">
        <v>2187</v>
      </c>
      <c r="Q700" s="81" t="s">
        <v>43</v>
      </c>
      <c r="R700" s="81" t="s">
        <v>46</v>
      </c>
      <c r="S700" s="81" t="s">
        <v>47</v>
      </c>
      <c r="T700" s="81" t="s">
        <v>48</v>
      </c>
      <c r="U700" s="81" t="s">
        <v>48</v>
      </c>
      <c r="V700" s="81" t="s">
        <v>48</v>
      </c>
      <c r="W700" s="81" t="s">
        <v>49</v>
      </c>
      <c r="X700" s="81" t="s">
        <v>48</v>
      </c>
      <c r="Y700" s="81" t="s">
        <v>48</v>
      </c>
    </row>
    <row r="701" spans="1:25" x14ac:dyDescent="0.3">
      <c r="A701" s="16">
        <v>7501258205221</v>
      </c>
      <c r="B701" s="81" t="s">
        <v>43</v>
      </c>
      <c r="C701" s="81" t="s">
        <v>712</v>
      </c>
      <c r="D701" s="81" t="s">
        <v>45</v>
      </c>
      <c r="E701" s="81" t="s">
        <v>2180</v>
      </c>
      <c r="F701" s="81" t="s">
        <v>2363</v>
      </c>
      <c r="G701" s="81" t="s">
        <v>5494</v>
      </c>
      <c r="H701" s="81" t="s">
        <v>3262</v>
      </c>
      <c r="I701" s="81" t="s">
        <v>6061</v>
      </c>
      <c r="J701" s="81" t="s">
        <v>2186</v>
      </c>
      <c r="K701" s="81" t="s">
        <v>6061</v>
      </c>
      <c r="L701" s="81" t="s">
        <v>2392</v>
      </c>
      <c r="M701" s="81" t="s">
        <v>6061</v>
      </c>
      <c r="N701" s="81" t="s">
        <v>2231</v>
      </c>
      <c r="O701" s="81" t="s">
        <v>2187</v>
      </c>
      <c r="P701" s="81" t="s">
        <v>2187</v>
      </c>
      <c r="Q701" s="81" t="s">
        <v>43</v>
      </c>
      <c r="R701" s="81" t="s">
        <v>46</v>
      </c>
      <c r="S701" s="81" t="s">
        <v>47</v>
      </c>
      <c r="T701" s="81" t="s">
        <v>48</v>
      </c>
      <c r="U701" s="81" t="s">
        <v>48</v>
      </c>
      <c r="V701" s="81" t="s">
        <v>48</v>
      </c>
      <c r="W701" s="81" t="s">
        <v>49</v>
      </c>
      <c r="X701" s="81" t="s">
        <v>48</v>
      </c>
      <c r="Y701" s="81" t="s">
        <v>48</v>
      </c>
    </row>
    <row r="702" spans="1:25" x14ac:dyDescent="0.3">
      <c r="A702" s="16">
        <v>7501258208550</v>
      </c>
      <c r="B702" s="81" t="s">
        <v>43</v>
      </c>
      <c r="C702" s="81" t="s">
        <v>5025</v>
      </c>
      <c r="D702" s="81" t="s">
        <v>45</v>
      </c>
      <c r="E702" s="81" t="s">
        <v>2227</v>
      </c>
      <c r="F702" s="81" t="s">
        <v>2227</v>
      </c>
      <c r="G702" s="81" t="s">
        <v>5026</v>
      </c>
      <c r="H702" s="81" t="s">
        <v>5027</v>
      </c>
      <c r="I702" s="81" t="s">
        <v>6062</v>
      </c>
      <c r="J702" s="81" t="s">
        <v>2186</v>
      </c>
      <c r="K702" s="81" t="s">
        <v>6062</v>
      </c>
      <c r="L702" s="81" t="s">
        <v>2392</v>
      </c>
      <c r="M702" s="81" t="s">
        <v>6062</v>
      </c>
      <c r="N702" s="81" t="s">
        <v>2231</v>
      </c>
      <c r="O702" s="81" t="s">
        <v>2187</v>
      </c>
      <c r="P702" s="81" t="s">
        <v>2187</v>
      </c>
      <c r="Q702" s="81" t="s">
        <v>43</v>
      </c>
      <c r="R702" s="81" t="s">
        <v>46</v>
      </c>
      <c r="S702" s="81" t="s">
        <v>47</v>
      </c>
      <c r="T702" s="81" t="s">
        <v>48</v>
      </c>
      <c r="U702" s="81" t="s">
        <v>48</v>
      </c>
      <c r="V702" s="81" t="s">
        <v>48</v>
      </c>
      <c r="W702" s="81" t="s">
        <v>49</v>
      </c>
      <c r="X702" s="81" t="s">
        <v>48</v>
      </c>
      <c r="Y702" s="81" t="s">
        <v>48</v>
      </c>
    </row>
    <row r="703" spans="1:25" x14ac:dyDescent="0.3">
      <c r="A703" s="16">
        <v>7502009746055</v>
      </c>
      <c r="B703" s="81" t="s">
        <v>43</v>
      </c>
      <c r="C703" s="81" t="s">
        <v>2141</v>
      </c>
      <c r="D703" s="81" t="s">
        <v>45</v>
      </c>
      <c r="E703" s="81" t="s">
        <v>2326</v>
      </c>
      <c r="F703" s="81" t="s">
        <v>2618</v>
      </c>
      <c r="G703" s="81" t="s">
        <v>3612</v>
      </c>
      <c r="H703" s="81" t="s">
        <v>2426</v>
      </c>
      <c r="I703" s="81" t="s">
        <v>6063</v>
      </c>
      <c r="J703" s="81" t="s">
        <v>2186</v>
      </c>
      <c r="K703" s="81" t="s">
        <v>6063</v>
      </c>
      <c r="L703" s="81" t="s">
        <v>2392</v>
      </c>
      <c r="M703" s="81" t="s">
        <v>6063</v>
      </c>
      <c r="N703" s="81" t="s">
        <v>2231</v>
      </c>
      <c r="O703" s="81" t="s">
        <v>2187</v>
      </c>
      <c r="P703" s="81" t="s">
        <v>2187</v>
      </c>
      <c r="Q703" s="81" t="s">
        <v>43</v>
      </c>
      <c r="R703" s="81" t="s">
        <v>51</v>
      </c>
      <c r="S703" s="81" t="s">
        <v>47</v>
      </c>
      <c r="T703" s="81" t="s">
        <v>49</v>
      </c>
      <c r="U703" s="81" t="s">
        <v>48</v>
      </c>
      <c r="V703" s="81" t="s">
        <v>48</v>
      </c>
      <c r="W703" s="81" t="s">
        <v>49</v>
      </c>
      <c r="X703" s="81" t="s">
        <v>48</v>
      </c>
      <c r="Y703" s="81" t="s">
        <v>48</v>
      </c>
    </row>
    <row r="704" spans="1:25" x14ac:dyDescent="0.3">
      <c r="A704" s="16">
        <v>7501349021983</v>
      </c>
      <c r="B704" s="81" t="s">
        <v>43</v>
      </c>
      <c r="C704" s="81" t="s">
        <v>713</v>
      </c>
      <c r="D704" s="81" t="s">
        <v>45</v>
      </c>
      <c r="E704" s="81" t="s">
        <v>2281</v>
      </c>
      <c r="F704" s="81" t="s">
        <v>3056</v>
      </c>
      <c r="G704" s="81" t="s">
        <v>4492</v>
      </c>
      <c r="H704" s="81" t="s">
        <v>2190</v>
      </c>
      <c r="I704" s="81" t="s">
        <v>5834</v>
      </c>
      <c r="J704" s="81" t="s">
        <v>2186</v>
      </c>
      <c r="K704" s="81" t="s">
        <v>5834</v>
      </c>
      <c r="L704" s="81" t="s">
        <v>2392</v>
      </c>
      <c r="M704" s="81" t="s">
        <v>5834</v>
      </c>
      <c r="N704" s="81" t="s">
        <v>2231</v>
      </c>
      <c r="O704" s="81" t="s">
        <v>2187</v>
      </c>
      <c r="P704" s="81" t="s">
        <v>2187</v>
      </c>
      <c r="Q704" s="81" t="s">
        <v>43</v>
      </c>
      <c r="R704" s="81" t="s">
        <v>51</v>
      </c>
      <c r="S704" s="81" t="s">
        <v>73</v>
      </c>
      <c r="T704" s="81" t="s">
        <v>49</v>
      </c>
      <c r="U704" s="81" t="s">
        <v>48</v>
      </c>
      <c r="V704" s="81" t="s">
        <v>48</v>
      </c>
      <c r="W704" s="81" t="s">
        <v>49</v>
      </c>
      <c r="X704" s="81" t="s">
        <v>48</v>
      </c>
      <c r="Y704" s="81" t="s">
        <v>48</v>
      </c>
    </row>
    <row r="705" spans="1:25" x14ac:dyDescent="0.3">
      <c r="A705" s="16">
        <v>7501573902584</v>
      </c>
      <c r="B705" s="81" t="s">
        <v>43</v>
      </c>
      <c r="C705" s="81" t="s">
        <v>714</v>
      </c>
      <c r="D705" s="81" t="s">
        <v>45</v>
      </c>
      <c r="E705" s="81" t="s">
        <v>3117</v>
      </c>
      <c r="F705" s="81" t="s">
        <v>3263</v>
      </c>
      <c r="G705" s="81" t="s">
        <v>3264</v>
      </c>
      <c r="H705" s="81" t="s">
        <v>5157</v>
      </c>
      <c r="I705" s="81" t="s">
        <v>5158</v>
      </c>
      <c r="J705" s="81" t="s">
        <v>2186</v>
      </c>
      <c r="K705" s="81" t="s">
        <v>5158</v>
      </c>
      <c r="L705" s="81" t="s">
        <v>2392</v>
      </c>
      <c r="M705" s="81" t="s">
        <v>5158</v>
      </c>
      <c r="N705" s="81" t="s">
        <v>2231</v>
      </c>
      <c r="O705" s="81" t="s">
        <v>2187</v>
      </c>
      <c r="P705" s="81" t="s">
        <v>2187</v>
      </c>
      <c r="Q705" s="81" t="s">
        <v>43</v>
      </c>
      <c r="R705" s="81" t="s">
        <v>46</v>
      </c>
      <c r="S705" s="81" t="s">
        <v>46</v>
      </c>
      <c r="T705" s="81" t="s">
        <v>48</v>
      </c>
      <c r="U705" s="81" t="s">
        <v>48</v>
      </c>
      <c r="V705" s="81" t="s">
        <v>48</v>
      </c>
      <c r="W705" s="81" t="s">
        <v>49</v>
      </c>
      <c r="X705" s="81" t="s">
        <v>48</v>
      </c>
      <c r="Y705" s="81" t="s">
        <v>48</v>
      </c>
    </row>
    <row r="706" spans="1:25" x14ac:dyDescent="0.3">
      <c r="A706" s="16">
        <v>7501298221397</v>
      </c>
      <c r="B706" s="81" t="s">
        <v>43</v>
      </c>
      <c r="C706" s="81" t="s">
        <v>715</v>
      </c>
      <c r="D706" s="81" t="s">
        <v>45</v>
      </c>
      <c r="E706" s="81" t="s">
        <v>2191</v>
      </c>
      <c r="F706" s="81" t="s">
        <v>2192</v>
      </c>
      <c r="G706" s="81" t="s">
        <v>4801</v>
      </c>
      <c r="H706" s="81" t="s">
        <v>3266</v>
      </c>
      <c r="I706" s="81" t="s">
        <v>6064</v>
      </c>
      <c r="J706" s="81" t="s">
        <v>2186</v>
      </c>
      <c r="K706" s="81" t="s">
        <v>6064</v>
      </c>
      <c r="L706" s="81" t="s">
        <v>2392</v>
      </c>
      <c r="M706" s="81" t="s">
        <v>6064</v>
      </c>
      <c r="N706" s="81" t="s">
        <v>2231</v>
      </c>
      <c r="O706" s="81" t="s">
        <v>2187</v>
      </c>
      <c r="P706" s="81" t="s">
        <v>2187</v>
      </c>
      <c r="Q706" s="81" t="s">
        <v>43</v>
      </c>
      <c r="R706" s="81" t="s">
        <v>203</v>
      </c>
      <c r="S706" s="81" t="s">
        <v>47</v>
      </c>
      <c r="T706" s="81" t="s">
        <v>48</v>
      </c>
      <c r="U706" s="81" t="s">
        <v>48</v>
      </c>
      <c r="V706" s="81" t="s">
        <v>48</v>
      </c>
      <c r="W706" s="81" t="s">
        <v>49</v>
      </c>
      <c r="X706" s="81" t="s">
        <v>48</v>
      </c>
      <c r="Y706" s="81" t="s">
        <v>48</v>
      </c>
    </row>
    <row r="707" spans="1:25" x14ac:dyDescent="0.3">
      <c r="A707" s="16">
        <v>7501590211232</v>
      </c>
      <c r="B707" s="81" t="s">
        <v>43</v>
      </c>
      <c r="C707" s="81" t="s">
        <v>716</v>
      </c>
      <c r="D707" s="81" t="s">
        <v>45</v>
      </c>
      <c r="E707" s="81" t="s">
        <v>2274</v>
      </c>
      <c r="F707" s="81" t="s">
        <v>2275</v>
      </c>
      <c r="G707" s="81" t="s">
        <v>3268</v>
      </c>
      <c r="H707" s="81" t="s">
        <v>2193</v>
      </c>
      <c r="I707" s="81" t="s">
        <v>5865</v>
      </c>
      <c r="J707" s="81" t="s">
        <v>2186</v>
      </c>
      <c r="K707" s="81" t="s">
        <v>5865</v>
      </c>
      <c r="L707" s="81" t="s">
        <v>2392</v>
      </c>
      <c r="M707" s="81" t="s">
        <v>5865</v>
      </c>
      <c r="N707" s="81" t="s">
        <v>2231</v>
      </c>
      <c r="O707" s="81" t="s">
        <v>2187</v>
      </c>
      <c r="P707" s="81" t="s">
        <v>2187</v>
      </c>
      <c r="Q707" s="81" t="s">
        <v>43</v>
      </c>
      <c r="R707" s="81" t="s">
        <v>46</v>
      </c>
      <c r="S707" s="81" t="s">
        <v>47</v>
      </c>
      <c r="T707" s="81" t="s">
        <v>48</v>
      </c>
      <c r="U707" s="81" t="s">
        <v>48</v>
      </c>
      <c r="V707" s="81" t="s">
        <v>48</v>
      </c>
      <c r="W707" s="81" t="s">
        <v>49</v>
      </c>
      <c r="X707" s="81" t="s">
        <v>48</v>
      </c>
      <c r="Y707" s="81" t="s">
        <v>48</v>
      </c>
    </row>
    <row r="708" spans="1:25" x14ac:dyDescent="0.3">
      <c r="A708" s="16">
        <v>7502253601247</v>
      </c>
      <c r="B708" s="81" t="s">
        <v>43</v>
      </c>
      <c r="C708" s="81" t="s">
        <v>717</v>
      </c>
      <c r="D708" s="81" t="s">
        <v>45</v>
      </c>
      <c r="E708" s="81" t="s">
        <v>2234</v>
      </c>
      <c r="F708" s="81" t="s">
        <v>2767</v>
      </c>
      <c r="G708" s="81" t="s">
        <v>5028</v>
      </c>
      <c r="H708" s="81" t="s">
        <v>2710</v>
      </c>
      <c r="I708" s="81" t="s">
        <v>6065</v>
      </c>
      <c r="J708" s="81" t="s">
        <v>2186</v>
      </c>
      <c r="K708" s="81" t="s">
        <v>6065</v>
      </c>
      <c r="L708" s="81" t="s">
        <v>2392</v>
      </c>
      <c r="M708" s="81" t="s">
        <v>6065</v>
      </c>
      <c r="N708" s="81" t="s">
        <v>2231</v>
      </c>
      <c r="O708" s="81" t="s">
        <v>2187</v>
      </c>
      <c r="P708" s="81" t="s">
        <v>2187</v>
      </c>
      <c r="Q708" s="81" t="s">
        <v>43</v>
      </c>
      <c r="R708" s="81" t="s">
        <v>203</v>
      </c>
      <c r="S708" s="81" t="s">
        <v>203</v>
      </c>
      <c r="T708" s="81" t="s">
        <v>48</v>
      </c>
      <c r="U708" s="81" t="s">
        <v>48</v>
      </c>
      <c r="V708" s="81" t="s">
        <v>49</v>
      </c>
      <c r="W708" s="81" t="s">
        <v>48</v>
      </c>
      <c r="X708" s="81" t="s">
        <v>48</v>
      </c>
      <c r="Y708" s="81" t="s">
        <v>48</v>
      </c>
    </row>
    <row r="709" spans="1:25" x14ac:dyDescent="0.3">
      <c r="A709" s="16">
        <v>780083148577</v>
      </c>
      <c r="B709" s="81" t="s">
        <v>43</v>
      </c>
      <c r="C709" s="81" t="s">
        <v>2142</v>
      </c>
      <c r="D709" s="81" t="s">
        <v>45</v>
      </c>
      <c r="E709" s="81" t="s">
        <v>2227</v>
      </c>
      <c r="F709" s="81" t="s">
        <v>2227</v>
      </c>
      <c r="G709" s="81" t="s">
        <v>4024</v>
      </c>
      <c r="H709" s="81" t="s">
        <v>2343</v>
      </c>
      <c r="I709" s="81" t="s">
        <v>5551</v>
      </c>
      <c r="J709" s="81" t="s">
        <v>2186</v>
      </c>
      <c r="K709" s="81" t="s">
        <v>5551</v>
      </c>
      <c r="L709" s="81" t="s">
        <v>2392</v>
      </c>
      <c r="M709" s="81" t="s">
        <v>5551</v>
      </c>
      <c r="N709" s="81" t="s">
        <v>2231</v>
      </c>
      <c r="O709" s="81" t="s">
        <v>2187</v>
      </c>
      <c r="P709" s="81" t="s">
        <v>2187</v>
      </c>
      <c r="Q709" s="81" t="s">
        <v>43</v>
      </c>
      <c r="R709" s="81" t="s">
        <v>46</v>
      </c>
      <c r="S709" s="81" t="s">
        <v>46</v>
      </c>
      <c r="T709" s="81" t="s">
        <v>48</v>
      </c>
      <c r="U709" s="81" t="s">
        <v>48</v>
      </c>
      <c r="V709" s="81" t="s">
        <v>48</v>
      </c>
      <c r="W709" s="81" t="s">
        <v>49</v>
      </c>
      <c r="X709" s="81" t="s">
        <v>48</v>
      </c>
      <c r="Y709" s="81" t="s">
        <v>48</v>
      </c>
    </row>
    <row r="710" spans="1:25" x14ac:dyDescent="0.3">
      <c r="A710" s="16">
        <v>70330744370</v>
      </c>
      <c r="B710" s="81" t="s">
        <v>43</v>
      </c>
      <c r="C710" s="81" t="s">
        <v>1964</v>
      </c>
      <c r="D710" s="81" t="s">
        <v>45</v>
      </c>
      <c r="E710" s="81" t="s">
        <v>2308</v>
      </c>
      <c r="F710" s="81" t="s">
        <v>2180</v>
      </c>
      <c r="G710" s="81" t="s">
        <v>3269</v>
      </c>
      <c r="H710" s="81" t="s">
        <v>6066</v>
      </c>
      <c r="I710" s="81" t="s">
        <v>6067</v>
      </c>
      <c r="J710" s="81" t="s">
        <v>2186</v>
      </c>
      <c r="K710" s="81" t="s">
        <v>6067</v>
      </c>
      <c r="L710" s="81" t="s">
        <v>2392</v>
      </c>
      <c r="M710" s="81" t="s">
        <v>6067</v>
      </c>
      <c r="N710" s="81" t="s">
        <v>2231</v>
      </c>
      <c r="O710" s="81" t="s">
        <v>2187</v>
      </c>
      <c r="P710" s="81" t="s">
        <v>2187</v>
      </c>
      <c r="Q710" s="81" t="s">
        <v>43</v>
      </c>
      <c r="R710" s="81" t="s">
        <v>524</v>
      </c>
      <c r="S710" s="81" t="s">
        <v>525</v>
      </c>
      <c r="T710" s="81" t="s">
        <v>48</v>
      </c>
      <c r="U710" s="81" t="s">
        <v>48</v>
      </c>
      <c r="V710" s="81" t="s">
        <v>49</v>
      </c>
      <c r="W710" s="81" t="s">
        <v>48</v>
      </c>
      <c r="X710" s="81" t="s">
        <v>48</v>
      </c>
      <c r="Y710" s="81" t="s">
        <v>48</v>
      </c>
    </row>
    <row r="711" spans="1:25" x14ac:dyDescent="0.3">
      <c r="A711" s="16">
        <v>7501075725216</v>
      </c>
      <c r="B711" s="81" t="s">
        <v>43</v>
      </c>
      <c r="C711" s="81" t="s">
        <v>718</v>
      </c>
      <c r="D711" s="81" t="s">
        <v>45</v>
      </c>
      <c r="E711" s="81" t="s">
        <v>2557</v>
      </c>
      <c r="F711" s="81" t="s">
        <v>2370</v>
      </c>
      <c r="G711" s="81" t="s">
        <v>4364</v>
      </c>
      <c r="H711" s="81" t="s">
        <v>3144</v>
      </c>
      <c r="I711" s="81" t="s">
        <v>6068</v>
      </c>
      <c r="J711" s="81" t="s">
        <v>2186</v>
      </c>
      <c r="K711" s="81" t="s">
        <v>6068</v>
      </c>
      <c r="L711" s="81" t="s">
        <v>2392</v>
      </c>
      <c r="M711" s="81" t="s">
        <v>6068</v>
      </c>
      <c r="N711" s="81" t="s">
        <v>2231</v>
      </c>
      <c r="O711" s="81" t="s">
        <v>2187</v>
      </c>
      <c r="P711" s="81" t="s">
        <v>2187</v>
      </c>
      <c r="Q711" s="81" t="s">
        <v>43</v>
      </c>
      <c r="R711" s="81" t="s">
        <v>46</v>
      </c>
      <c r="S711" s="81" t="s">
        <v>46</v>
      </c>
      <c r="T711" s="81" t="s">
        <v>48</v>
      </c>
      <c r="U711" s="81" t="s">
        <v>48</v>
      </c>
      <c r="V711" s="81" t="s">
        <v>48</v>
      </c>
      <c r="W711" s="81" t="s">
        <v>49</v>
      </c>
      <c r="X711" s="81" t="s">
        <v>48</v>
      </c>
      <c r="Y711" s="81" t="s">
        <v>48</v>
      </c>
    </row>
    <row r="712" spans="1:25" x14ac:dyDescent="0.3">
      <c r="A712" s="16">
        <v>7501033956294</v>
      </c>
      <c r="B712" s="81" t="s">
        <v>43</v>
      </c>
      <c r="C712" s="81" t="s">
        <v>719</v>
      </c>
      <c r="D712" s="81" t="s">
        <v>45</v>
      </c>
      <c r="E712" s="81" t="s">
        <v>2227</v>
      </c>
      <c r="F712" s="81" t="s">
        <v>2227</v>
      </c>
      <c r="G712" s="81" t="s">
        <v>5115</v>
      </c>
      <c r="H712" s="81" t="s">
        <v>3241</v>
      </c>
      <c r="I712" s="81" t="s">
        <v>6069</v>
      </c>
      <c r="J712" s="81" t="s">
        <v>2186</v>
      </c>
      <c r="K712" s="81" t="s">
        <v>6069</v>
      </c>
      <c r="L712" s="81" t="s">
        <v>2392</v>
      </c>
      <c r="M712" s="81" t="s">
        <v>6069</v>
      </c>
      <c r="N712" s="81" t="s">
        <v>2231</v>
      </c>
      <c r="O712" s="81" t="s">
        <v>2187</v>
      </c>
      <c r="P712" s="81" t="s">
        <v>2187</v>
      </c>
      <c r="Q712" s="81" t="s">
        <v>43</v>
      </c>
      <c r="R712" s="81" t="s">
        <v>203</v>
      </c>
      <c r="S712" s="81" t="s">
        <v>203</v>
      </c>
      <c r="T712" s="81" t="s">
        <v>48</v>
      </c>
      <c r="U712" s="81" t="s">
        <v>48</v>
      </c>
      <c r="V712" s="81" t="s">
        <v>49</v>
      </c>
      <c r="W712" s="81" t="s">
        <v>48</v>
      </c>
      <c r="X712" s="81" t="s">
        <v>48</v>
      </c>
      <c r="Y712" s="81" t="s">
        <v>48</v>
      </c>
    </row>
    <row r="713" spans="1:25" x14ac:dyDescent="0.3">
      <c r="A713" s="16">
        <v>780083149840</v>
      </c>
      <c r="B713" s="81" t="s">
        <v>43</v>
      </c>
      <c r="C713" s="81" t="s">
        <v>720</v>
      </c>
      <c r="D713" s="81" t="s">
        <v>45</v>
      </c>
      <c r="E713" s="81" t="s">
        <v>2893</v>
      </c>
      <c r="F713" s="81" t="s">
        <v>3094</v>
      </c>
      <c r="G713" s="81" t="s">
        <v>3271</v>
      </c>
      <c r="H713" s="81" t="s">
        <v>3272</v>
      </c>
      <c r="I713" s="81" t="s">
        <v>3273</v>
      </c>
      <c r="J713" s="81" t="s">
        <v>2186</v>
      </c>
      <c r="K713" s="81" t="s">
        <v>2307</v>
      </c>
      <c r="L713" s="81" t="s">
        <v>2392</v>
      </c>
      <c r="M713" s="81" t="s">
        <v>2307</v>
      </c>
      <c r="N713" s="81" t="s">
        <v>2231</v>
      </c>
      <c r="O713" s="81" t="s">
        <v>2187</v>
      </c>
      <c r="P713" s="81" t="s">
        <v>2187</v>
      </c>
      <c r="Q713" s="81" t="s">
        <v>43</v>
      </c>
      <c r="R713" s="81" t="s">
        <v>51</v>
      </c>
      <c r="S713" s="81" t="s">
        <v>73</v>
      </c>
      <c r="T713" s="81" t="s">
        <v>49</v>
      </c>
      <c r="U713" s="81" t="s">
        <v>48</v>
      </c>
      <c r="V713" s="81" t="s">
        <v>48</v>
      </c>
      <c r="W713" s="81" t="s">
        <v>49</v>
      </c>
      <c r="X713" s="81" t="s">
        <v>48</v>
      </c>
      <c r="Y713" s="81" t="s">
        <v>48</v>
      </c>
    </row>
    <row r="714" spans="1:25" x14ac:dyDescent="0.3">
      <c r="A714" s="16">
        <v>7501349022874</v>
      </c>
      <c r="B714" s="81" t="s">
        <v>43</v>
      </c>
      <c r="C714" s="81" t="s">
        <v>721</v>
      </c>
      <c r="D714" s="81" t="s">
        <v>45</v>
      </c>
      <c r="E714" s="81" t="s">
        <v>3078</v>
      </c>
      <c r="F714" s="81" t="s">
        <v>3080</v>
      </c>
      <c r="G714" s="81" t="s">
        <v>4837</v>
      </c>
      <c r="H714" s="81" t="s">
        <v>2217</v>
      </c>
      <c r="I714" s="81" t="s">
        <v>5551</v>
      </c>
      <c r="J714" s="81" t="s">
        <v>2186</v>
      </c>
      <c r="K714" s="81" t="s">
        <v>5551</v>
      </c>
      <c r="L714" s="81" t="s">
        <v>2392</v>
      </c>
      <c r="M714" s="81" t="s">
        <v>5551</v>
      </c>
      <c r="N714" s="81" t="s">
        <v>2231</v>
      </c>
      <c r="O714" s="81" t="s">
        <v>2187</v>
      </c>
      <c r="P714" s="81" t="s">
        <v>2187</v>
      </c>
      <c r="Q714" s="81" t="s">
        <v>43</v>
      </c>
      <c r="R714" s="81" t="s">
        <v>51</v>
      </c>
      <c r="S714" s="81" t="s">
        <v>73</v>
      </c>
      <c r="T714" s="81" t="s">
        <v>49</v>
      </c>
      <c r="U714" s="81" t="s">
        <v>48</v>
      </c>
      <c r="V714" s="81" t="s">
        <v>48</v>
      </c>
      <c r="W714" s="81" t="s">
        <v>49</v>
      </c>
      <c r="X714" s="81" t="s">
        <v>48</v>
      </c>
      <c r="Y714" s="81" t="s">
        <v>48</v>
      </c>
    </row>
    <row r="715" spans="1:25" x14ac:dyDescent="0.3">
      <c r="A715" s="16">
        <v>714908100099</v>
      </c>
      <c r="B715" s="81" t="s">
        <v>43</v>
      </c>
      <c r="C715" s="81" t="s">
        <v>1965</v>
      </c>
      <c r="D715" s="81" t="s">
        <v>45</v>
      </c>
      <c r="E715" s="81" t="s">
        <v>2227</v>
      </c>
      <c r="F715" s="81" t="s">
        <v>2369</v>
      </c>
      <c r="G715" s="81" t="s">
        <v>5339</v>
      </c>
      <c r="H715" s="81" t="s">
        <v>2800</v>
      </c>
      <c r="I715" s="81" t="s">
        <v>6070</v>
      </c>
      <c r="J715" s="81" t="s">
        <v>2186</v>
      </c>
      <c r="K715" s="81" t="s">
        <v>6070</v>
      </c>
      <c r="L715" s="81" t="s">
        <v>2392</v>
      </c>
      <c r="M715" s="81" t="s">
        <v>6070</v>
      </c>
      <c r="N715" s="81" t="s">
        <v>2231</v>
      </c>
      <c r="O715" s="81" t="s">
        <v>2187</v>
      </c>
      <c r="P715" s="81" t="s">
        <v>2187</v>
      </c>
      <c r="Q715" s="81" t="s">
        <v>43</v>
      </c>
      <c r="R715" s="81" t="s">
        <v>46</v>
      </c>
      <c r="S715" s="81" t="s">
        <v>47</v>
      </c>
      <c r="T715" s="81" t="s">
        <v>48</v>
      </c>
      <c r="U715" s="81" t="s">
        <v>48</v>
      </c>
      <c r="V715" s="81" t="s">
        <v>48</v>
      </c>
      <c r="W715" s="81" t="s">
        <v>49</v>
      </c>
      <c r="X715" s="81" t="s">
        <v>48</v>
      </c>
      <c r="Y715" s="81" t="s">
        <v>48</v>
      </c>
    </row>
    <row r="716" spans="1:25" x14ac:dyDescent="0.3">
      <c r="A716" s="16">
        <v>7501547509023</v>
      </c>
      <c r="B716" s="81" t="s">
        <v>43</v>
      </c>
      <c r="C716" s="81" t="s">
        <v>722</v>
      </c>
      <c r="D716" s="81" t="s">
        <v>45</v>
      </c>
      <c r="E716" s="81" t="s">
        <v>2308</v>
      </c>
      <c r="F716" s="81" t="s">
        <v>2179</v>
      </c>
      <c r="G716" s="81" t="s">
        <v>3274</v>
      </c>
      <c r="H716" s="81" t="s">
        <v>2503</v>
      </c>
      <c r="I716" s="81" t="s">
        <v>6071</v>
      </c>
      <c r="J716" s="81" t="s">
        <v>2186</v>
      </c>
      <c r="K716" s="81" t="s">
        <v>6071</v>
      </c>
      <c r="L716" s="81" t="s">
        <v>2392</v>
      </c>
      <c r="M716" s="81" t="s">
        <v>6071</v>
      </c>
      <c r="N716" s="81" t="s">
        <v>2231</v>
      </c>
      <c r="O716" s="81" t="s">
        <v>2187</v>
      </c>
      <c r="P716" s="81" t="s">
        <v>2187</v>
      </c>
      <c r="Q716" s="81" t="s">
        <v>43</v>
      </c>
      <c r="R716" s="81" t="s">
        <v>46</v>
      </c>
      <c r="S716" s="81" t="s">
        <v>47</v>
      </c>
      <c r="T716" s="81" t="s">
        <v>48</v>
      </c>
      <c r="U716" s="81" t="s">
        <v>48</v>
      </c>
      <c r="V716" s="81" t="s">
        <v>48</v>
      </c>
      <c r="W716" s="81" t="s">
        <v>49</v>
      </c>
      <c r="X716" s="81" t="s">
        <v>48</v>
      </c>
      <c r="Y716" s="81" t="s">
        <v>48</v>
      </c>
    </row>
    <row r="717" spans="1:25" x14ac:dyDescent="0.3">
      <c r="A717" s="16">
        <v>7501258215640</v>
      </c>
      <c r="B717" s="81" t="s">
        <v>43</v>
      </c>
      <c r="C717" s="81" t="s">
        <v>4401</v>
      </c>
      <c r="D717" s="81" t="s">
        <v>45</v>
      </c>
      <c r="E717" s="81" t="s">
        <v>2357</v>
      </c>
      <c r="F717" s="81" t="s">
        <v>2358</v>
      </c>
      <c r="G717" s="81" t="s">
        <v>4402</v>
      </c>
      <c r="H717" s="81" t="s">
        <v>2260</v>
      </c>
      <c r="I717" s="81" t="s">
        <v>5531</v>
      </c>
      <c r="J717" s="81" t="s">
        <v>2186</v>
      </c>
      <c r="K717" s="81" t="s">
        <v>5531</v>
      </c>
      <c r="L717" s="81" t="s">
        <v>2392</v>
      </c>
      <c r="M717" s="81" t="s">
        <v>5531</v>
      </c>
      <c r="N717" s="81" t="s">
        <v>2231</v>
      </c>
      <c r="O717" s="81" t="s">
        <v>2187</v>
      </c>
      <c r="P717" s="81" t="s">
        <v>2187</v>
      </c>
      <c r="Q717" s="81" t="s">
        <v>43</v>
      </c>
      <c r="R717" s="81" t="s">
        <v>106</v>
      </c>
      <c r="S717" s="81" t="s">
        <v>47</v>
      </c>
      <c r="T717" s="81" t="s">
        <v>48</v>
      </c>
      <c r="U717" s="81" t="s">
        <v>48</v>
      </c>
      <c r="V717" s="81" t="s">
        <v>48</v>
      </c>
      <c r="W717" s="81" t="s">
        <v>49</v>
      </c>
      <c r="X717" s="81" t="s">
        <v>48</v>
      </c>
      <c r="Y717" s="81" t="s">
        <v>48</v>
      </c>
    </row>
    <row r="718" spans="1:25" x14ac:dyDescent="0.3">
      <c r="A718" s="16">
        <v>7501258208017</v>
      </c>
      <c r="B718" s="81" t="s">
        <v>43</v>
      </c>
      <c r="C718" s="81" t="s">
        <v>723</v>
      </c>
      <c r="D718" s="81" t="s">
        <v>45</v>
      </c>
      <c r="E718" s="81" t="s">
        <v>2412</v>
      </c>
      <c r="F718" s="81" t="s">
        <v>2368</v>
      </c>
      <c r="G718" s="81" t="s">
        <v>3276</v>
      </c>
      <c r="H718" s="81" t="s">
        <v>6072</v>
      </c>
      <c r="I718" s="81" t="s">
        <v>6073</v>
      </c>
      <c r="J718" s="81" t="s">
        <v>2186</v>
      </c>
      <c r="K718" s="81" t="s">
        <v>6073</v>
      </c>
      <c r="L718" s="81" t="s">
        <v>2392</v>
      </c>
      <c r="M718" s="81" t="s">
        <v>6073</v>
      </c>
      <c r="N718" s="81" t="s">
        <v>2231</v>
      </c>
      <c r="O718" s="81" t="s">
        <v>2187</v>
      </c>
      <c r="P718" s="81" t="s">
        <v>2187</v>
      </c>
      <c r="Q718" s="81" t="s">
        <v>43</v>
      </c>
      <c r="R718" s="81" t="s">
        <v>524</v>
      </c>
      <c r="S718" s="81" t="s">
        <v>525</v>
      </c>
      <c r="T718" s="81" t="s">
        <v>48</v>
      </c>
      <c r="U718" s="81" t="s">
        <v>48</v>
      </c>
      <c r="V718" s="81" t="s">
        <v>49</v>
      </c>
      <c r="W718" s="81" t="s">
        <v>48</v>
      </c>
      <c r="X718" s="81" t="s">
        <v>48</v>
      </c>
      <c r="Y718" s="81" t="s">
        <v>48</v>
      </c>
    </row>
    <row r="719" spans="1:25" x14ac:dyDescent="0.3">
      <c r="A719" s="16">
        <v>7702003477270</v>
      </c>
      <c r="B719" s="81" t="s">
        <v>43</v>
      </c>
      <c r="C719" s="81" t="s">
        <v>724</v>
      </c>
      <c r="D719" s="81" t="s">
        <v>45</v>
      </c>
      <c r="E719" s="81" t="s">
        <v>2368</v>
      </c>
      <c r="F719" s="81" t="s">
        <v>2369</v>
      </c>
      <c r="G719" s="81" t="s">
        <v>3277</v>
      </c>
      <c r="H719" s="81" t="s">
        <v>2467</v>
      </c>
      <c r="I719" s="81" t="s">
        <v>6074</v>
      </c>
      <c r="J719" s="81" t="s">
        <v>2186</v>
      </c>
      <c r="K719" s="81" t="s">
        <v>6074</v>
      </c>
      <c r="L719" s="81" t="s">
        <v>2392</v>
      </c>
      <c r="M719" s="81" t="s">
        <v>6074</v>
      </c>
      <c r="N719" s="81" t="s">
        <v>2231</v>
      </c>
      <c r="O719" s="81" t="s">
        <v>2187</v>
      </c>
      <c r="P719" s="81" t="s">
        <v>2187</v>
      </c>
      <c r="Q719" s="81" t="s">
        <v>43</v>
      </c>
      <c r="R719" s="81" t="s">
        <v>122</v>
      </c>
      <c r="S719" s="81" t="s">
        <v>123</v>
      </c>
      <c r="T719" s="81" t="s">
        <v>48</v>
      </c>
      <c r="U719" s="81" t="s">
        <v>48</v>
      </c>
      <c r="V719" s="81" t="s">
        <v>49</v>
      </c>
      <c r="W719" s="81" t="s">
        <v>48</v>
      </c>
      <c r="X719" s="81" t="s">
        <v>48</v>
      </c>
      <c r="Y719" s="81" t="s">
        <v>48</v>
      </c>
    </row>
    <row r="720" spans="1:25" x14ac:dyDescent="0.3">
      <c r="A720" s="16">
        <v>7500462746605</v>
      </c>
      <c r="B720" s="81" t="s">
        <v>43</v>
      </c>
      <c r="C720" s="81" t="s">
        <v>725</v>
      </c>
      <c r="D720" s="81" t="s">
        <v>45</v>
      </c>
      <c r="E720" s="81" t="s">
        <v>2513</v>
      </c>
      <c r="F720" s="81" t="s">
        <v>3278</v>
      </c>
      <c r="G720" s="81" t="s">
        <v>3279</v>
      </c>
      <c r="H720" s="81" t="s">
        <v>3241</v>
      </c>
      <c r="I720" s="81" t="s">
        <v>3280</v>
      </c>
      <c r="J720" s="81" t="s">
        <v>2186</v>
      </c>
      <c r="K720" s="81" t="s">
        <v>2945</v>
      </c>
      <c r="L720" s="81" t="s">
        <v>2392</v>
      </c>
      <c r="M720" s="81" t="s">
        <v>3281</v>
      </c>
      <c r="N720" s="81" t="s">
        <v>2231</v>
      </c>
      <c r="O720" s="81" t="s">
        <v>2187</v>
      </c>
      <c r="P720" s="81" t="s">
        <v>2187</v>
      </c>
      <c r="Q720" s="81" t="s">
        <v>43</v>
      </c>
      <c r="R720" s="81" t="s">
        <v>203</v>
      </c>
      <c r="S720" s="81" t="s">
        <v>203</v>
      </c>
      <c r="T720" s="81" t="s">
        <v>48</v>
      </c>
      <c r="U720" s="81" t="s">
        <v>48</v>
      </c>
      <c r="V720" s="81" t="s">
        <v>49</v>
      </c>
      <c r="W720" s="81" t="s">
        <v>48</v>
      </c>
      <c r="X720" s="81" t="s">
        <v>48</v>
      </c>
      <c r="Y720" s="81" t="s">
        <v>48</v>
      </c>
    </row>
    <row r="721" spans="1:25" x14ac:dyDescent="0.3">
      <c r="A721" s="16">
        <v>7500462746612</v>
      </c>
      <c r="B721" s="81" t="s">
        <v>43</v>
      </c>
      <c r="C721" s="81" t="s">
        <v>1966</v>
      </c>
      <c r="D721" s="81" t="s">
        <v>45</v>
      </c>
      <c r="E721" s="81" t="s">
        <v>2215</v>
      </c>
      <c r="F721" s="81" t="s">
        <v>2216</v>
      </c>
      <c r="G721" s="81" t="s">
        <v>3282</v>
      </c>
      <c r="H721" s="81" t="s">
        <v>3186</v>
      </c>
      <c r="I721" s="81" t="s">
        <v>6075</v>
      </c>
      <c r="J721" s="81" t="s">
        <v>2186</v>
      </c>
      <c r="K721" s="81" t="s">
        <v>6075</v>
      </c>
      <c r="L721" s="81" t="s">
        <v>2392</v>
      </c>
      <c r="M721" s="81" t="s">
        <v>6075</v>
      </c>
      <c r="N721" s="81" t="s">
        <v>2231</v>
      </c>
      <c r="O721" s="81" t="s">
        <v>2187</v>
      </c>
      <c r="P721" s="81" t="s">
        <v>2187</v>
      </c>
      <c r="Q721" s="81" t="s">
        <v>43</v>
      </c>
      <c r="R721" s="81" t="s">
        <v>203</v>
      </c>
      <c r="S721" s="81" t="s">
        <v>203</v>
      </c>
      <c r="T721" s="81" t="s">
        <v>48</v>
      </c>
      <c r="U721" s="81" t="s">
        <v>48</v>
      </c>
      <c r="V721" s="81" t="s">
        <v>49</v>
      </c>
      <c r="W721" s="81" t="s">
        <v>48</v>
      </c>
      <c r="X721" s="81" t="s">
        <v>48</v>
      </c>
      <c r="Y721" s="81" t="s">
        <v>48</v>
      </c>
    </row>
    <row r="722" spans="1:25" x14ac:dyDescent="0.3">
      <c r="A722" s="16">
        <v>7500462746698</v>
      </c>
      <c r="B722" s="81" t="s">
        <v>43</v>
      </c>
      <c r="C722" s="81" t="s">
        <v>726</v>
      </c>
      <c r="D722" s="81" t="s">
        <v>45</v>
      </c>
      <c r="E722" s="81" t="s">
        <v>2294</v>
      </c>
      <c r="F722" s="81" t="s">
        <v>2295</v>
      </c>
      <c r="G722" s="81" t="s">
        <v>3283</v>
      </c>
      <c r="H722" s="81" t="s">
        <v>3284</v>
      </c>
      <c r="I722" s="81" t="s">
        <v>3285</v>
      </c>
      <c r="J722" s="81" t="s">
        <v>2186</v>
      </c>
      <c r="K722" s="81" t="s">
        <v>3286</v>
      </c>
      <c r="L722" s="81" t="s">
        <v>2392</v>
      </c>
      <c r="M722" s="81" t="s">
        <v>3287</v>
      </c>
      <c r="N722" s="81" t="s">
        <v>2231</v>
      </c>
      <c r="O722" s="81" t="s">
        <v>2187</v>
      </c>
      <c r="P722" s="81" t="s">
        <v>2187</v>
      </c>
      <c r="Q722" s="81" t="s">
        <v>43</v>
      </c>
      <c r="R722" s="81" t="s">
        <v>203</v>
      </c>
      <c r="S722" s="81" t="s">
        <v>203</v>
      </c>
      <c r="T722" s="81" t="s">
        <v>48</v>
      </c>
      <c r="U722" s="81" t="s">
        <v>48</v>
      </c>
      <c r="V722" s="81" t="s">
        <v>49</v>
      </c>
      <c r="W722" s="81" t="s">
        <v>48</v>
      </c>
      <c r="X722" s="81" t="s">
        <v>48</v>
      </c>
      <c r="Y722" s="81" t="s">
        <v>48</v>
      </c>
    </row>
    <row r="723" spans="1:25" x14ac:dyDescent="0.3">
      <c r="A723" s="16">
        <v>7503008344495</v>
      </c>
      <c r="B723" s="81" t="s">
        <v>43</v>
      </c>
      <c r="C723" s="81" t="s">
        <v>1967</v>
      </c>
      <c r="D723" s="81" t="s">
        <v>45</v>
      </c>
      <c r="E723" s="81" t="s">
        <v>2457</v>
      </c>
      <c r="F723" s="81" t="s">
        <v>2458</v>
      </c>
      <c r="G723" s="81" t="s">
        <v>5086</v>
      </c>
      <c r="H723" s="81" t="s">
        <v>5254</v>
      </c>
      <c r="I723" s="81" t="s">
        <v>5255</v>
      </c>
      <c r="J723" s="81" t="s">
        <v>2186</v>
      </c>
      <c r="K723" s="81" t="s">
        <v>5256</v>
      </c>
      <c r="L723" s="81" t="s">
        <v>2392</v>
      </c>
      <c r="M723" s="81" t="s">
        <v>5257</v>
      </c>
      <c r="N723" s="81" t="s">
        <v>2231</v>
      </c>
      <c r="O723" s="81" t="s">
        <v>2187</v>
      </c>
      <c r="P723" s="81" t="s">
        <v>2187</v>
      </c>
      <c r="Q723" s="81" t="s">
        <v>43</v>
      </c>
      <c r="R723" s="81" t="s">
        <v>46</v>
      </c>
      <c r="S723" s="81" t="s">
        <v>46</v>
      </c>
      <c r="T723" s="81" t="s">
        <v>48</v>
      </c>
      <c r="U723" s="81" t="s">
        <v>48</v>
      </c>
      <c r="V723" s="81" t="s">
        <v>49</v>
      </c>
      <c r="W723" s="81" t="s">
        <v>48</v>
      </c>
      <c r="X723" s="81" t="s">
        <v>48</v>
      </c>
      <c r="Y723" s="81" t="s">
        <v>48</v>
      </c>
    </row>
    <row r="724" spans="1:25" x14ac:dyDescent="0.3">
      <c r="A724" s="16">
        <v>7502209810365</v>
      </c>
      <c r="B724" s="81" t="s">
        <v>43</v>
      </c>
      <c r="C724" s="81" t="s">
        <v>3291</v>
      </c>
      <c r="D724" s="81" t="s">
        <v>45</v>
      </c>
      <c r="E724" s="81" t="s">
        <v>2877</v>
      </c>
      <c r="F724" s="81" t="s">
        <v>2878</v>
      </c>
      <c r="G724" s="81" t="s">
        <v>2638</v>
      </c>
      <c r="H724" s="81" t="s">
        <v>2217</v>
      </c>
      <c r="I724" s="81" t="s">
        <v>6076</v>
      </c>
      <c r="J724" s="81" t="s">
        <v>2186</v>
      </c>
      <c r="K724" s="81" t="s">
        <v>6076</v>
      </c>
      <c r="L724" s="81" t="s">
        <v>2392</v>
      </c>
      <c r="M724" s="81" t="s">
        <v>6076</v>
      </c>
      <c r="N724" s="81" t="s">
        <v>2231</v>
      </c>
      <c r="O724" s="81" t="s">
        <v>2187</v>
      </c>
      <c r="P724" s="81" t="s">
        <v>2187</v>
      </c>
      <c r="Q724" s="81" t="s">
        <v>43</v>
      </c>
      <c r="R724" s="81" t="s">
        <v>46</v>
      </c>
      <c r="S724" s="81" t="s">
        <v>164</v>
      </c>
      <c r="T724" s="81" t="s">
        <v>48</v>
      </c>
      <c r="U724" s="81" t="s">
        <v>48</v>
      </c>
      <c r="V724" s="81" t="s">
        <v>48</v>
      </c>
      <c r="W724" s="81" t="s">
        <v>49</v>
      </c>
      <c r="X724" s="81" t="s">
        <v>48</v>
      </c>
      <c r="Y724" s="81" t="s">
        <v>48</v>
      </c>
    </row>
    <row r="725" spans="1:25" x14ac:dyDescent="0.3">
      <c r="A725" s="16">
        <v>7502209810358</v>
      </c>
      <c r="B725" s="81" t="s">
        <v>43</v>
      </c>
      <c r="C725" s="81" t="s">
        <v>1968</v>
      </c>
      <c r="D725" s="81" t="s">
        <v>45</v>
      </c>
      <c r="E725" s="81" t="s">
        <v>2195</v>
      </c>
      <c r="F725" s="81" t="s">
        <v>2877</v>
      </c>
      <c r="G725" s="81" t="s">
        <v>4411</v>
      </c>
      <c r="H725" s="81" t="s">
        <v>2290</v>
      </c>
      <c r="I725" s="81" t="s">
        <v>2325</v>
      </c>
      <c r="J725" s="81" t="s">
        <v>2186</v>
      </c>
      <c r="K725" s="81" t="s">
        <v>2264</v>
      </c>
      <c r="L725" s="81" t="s">
        <v>2392</v>
      </c>
      <c r="M725" s="81" t="s">
        <v>2328</v>
      </c>
      <c r="N725" s="81" t="s">
        <v>2231</v>
      </c>
      <c r="O725" s="81" t="s">
        <v>2187</v>
      </c>
      <c r="P725" s="81" t="s">
        <v>2187</v>
      </c>
      <c r="Q725" s="81" t="s">
        <v>43</v>
      </c>
      <c r="R725" s="81" t="s">
        <v>46</v>
      </c>
      <c r="S725" s="81" t="s">
        <v>164</v>
      </c>
      <c r="T725" s="81" t="s">
        <v>48</v>
      </c>
      <c r="U725" s="81" t="s">
        <v>48</v>
      </c>
      <c r="V725" s="81" t="s">
        <v>48</v>
      </c>
      <c r="W725" s="81" t="s">
        <v>49</v>
      </c>
      <c r="X725" s="81" t="s">
        <v>48</v>
      </c>
      <c r="Y725" s="81" t="s">
        <v>48</v>
      </c>
    </row>
    <row r="726" spans="1:25" x14ac:dyDescent="0.3">
      <c r="A726" s="16">
        <v>7503027742043</v>
      </c>
      <c r="B726" s="81" t="s">
        <v>43</v>
      </c>
      <c r="C726" s="81" t="s">
        <v>727</v>
      </c>
      <c r="D726" s="81" t="s">
        <v>45</v>
      </c>
      <c r="E726" s="81" t="s">
        <v>2368</v>
      </c>
      <c r="F726" s="81" t="s">
        <v>2308</v>
      </c>
      <c r="G726" s="81" t="s">
        <v>2769</v>
      </c>
      <c r="H726" s="81" t="s">
        <v>3312</v>
      </c>
      <c r="I726" s="81" t="s">
        <v>6077</v>
      </c>
      <c r="J726" s="81" t="s">
        <v>2186</v>
      </c>
      <c r="K726" s="81" t="s">
        <v>6077</v>
      </c>
      <c r="L726" s="81" t="s">
        <v>2392</v>
      </c>
      <c r="M726" s="81" t="s">
        <v>6077</v>
      </c>
      <c r="N726" s="81" t="s">
        <v>2231</v>
      </c>
      <c r="O726" s="81" t="s">
        <v>2187</v>
      </c>
      <c r="P726" s="81" t="s">
        <v>2187</v>
      </c>
      <c r="Q726" s="81" t="s">
        <v>43</v>
      </c>
      <c r="R726" s="81" t="s">
        <v>203</v>
      </c>
      <c r="S726" s="81" t="s">
        <v>203</v>
      </c>
      <c r="T726" s="81" t="s">
        <v>48</v>
      </c>
      <c r="U726" s="81" t="s">
        <v>48</v>
      </c>
      <c r="V726" s="81" t="s">
        <v>49</v>
      </c>
      <c r="W726" s="81" t="s">
        <v>48</v>
      </c>
      <c r="X726" s="81" t="s">
        <v>48</v>
      </c>
      <c r="Y726" s="81" t="s">
        <v>48</v>
      </c>
    </row>
    <row r="727" spans="1:25" x14ac:dyDescent="0.3">
      <c r="A727" s="16">
        <v>7500142105692</v>
      </c>
      <c r="B727" s="81" t="s">
        <v>43</v>
      </c>
      <c r="C727" s="81" t="s">
        <v>728</v>
      </c>
      <c r="D727" s="81" t="s">
        <v>45</v>
      </c>
      <c r="E727" s="81" t="s">
        <v>2412</v>
      </c>
      <c r="F727" s="81" t="s">
        <v>2412</v>
      </c>
      <c r="G727" s="81" t="s">
        <v>3124</v>
      </c>
      <c r="H727" s="81" t="s">
        <v>3292</v>
      </c>
      <c r="I727" s="81" t="s">
        <v>3087</v>
      </c>
      <c r="J727" s="81" t="s">
        <v>2186</v>
      </c>
      <c r="K727" s="81" t="s">
        <v>3293</v>
      </c>
      <c r="L727" s="81" t="s">
        <v>2392</v>
      </c>
      <c r="M727" s="81" t="s">
        <v>3294</v>
      </c>
      <c r="N727" s="81" t="s">
        <v>2231</v>
      </c>
      <c r="O727" s="81" t="s">
        <v>2187</v>
      </c>
      <c r="P727" s="81" t="s">
        <v>2187</v>
      </c>
      <c r="Q727" s="81" t="s">
        <v>43</v>
      </c>
      <c r="R727" s="81" t="s">
        <v>122</v>
      </c>
      <c r="S727" s="81" t="s">
        <v>123</v>
      </c>
      <c r="T727" s="81" t="s">
        <v>48</v>
      </c>
      <c r="U727" s="81" t="s">
        <v>48</v>
      </c>
      <c r="V727" s="81" t="s">
        <v>49</v>
      </c>
      <c r="W727" s="81" t="s">
        <v>48</v>
      </c>
      <c r="X727" s="81" t="s">
        <v>48</v>
      </c>
      <c r="Y727" s="81" t="s">
        <v>48</v>
      </c>
    </row>
    <row r="728" spans="1:25" x14ac:dyDescent="0.3">
      <c r="A728" s="16">
        <v>7502214982828</v>
      </c>
      <c r="B728" s="81" t="s">
        <v>43</v>
      </c>
      <c r="C728" s="81" t="s">
        <v>729</v>
      </c>
      <c r="D728" s="81" t="s">
        <v>45</v>
      </c>
      <c r="E728" s="81" t="s">
        <v>2179</v>
      </c>
      <c r="F728" s="81" t="s">
        <v>2704</v>
      </c>
      <c r="G728" s="81" t="s">
        <v>3295</v>
      </c>
      <c r="H728" s="81" t="s">
        <v>3184</v>
      </c>
      <c r="I728" s="81" t="s">
        <v>6078</v>
      </c>
      <c r="J728" s="81" t="s">
        <v>2186</v>
      </c>
      <c r="K728" s="81" t="s">
        <v>6078</v>
      </c>
      <c r="L728" s="81" t="s">
        <v>2392</v>
      </c>
      <c r="M728" s="81" t="s">
        <v>6078</v>
      </c>
      <c r="N728" s="81" t="s">
        <v>2231</v>
      </c>
      <c r="O728" s="81" t="s">
        <v>2187</v>
      </c>
      <c r="P728" s="81" t="s">
        <v>2187</v>
      </c>
      <c r="Q728" s="81" t="s">
        <v>43</v>
      </c>
      <c r="R728" s="81" t="s">
        <v>524</v>
      </c>
      <c r="S728" s="81" t="s">
        <v>525</v>
      </c>
      <c r="T728" s="81" t="s">
        <v>48</v>
      </c>
      <c r="U728" s="81" t="s">
        <v>48</v>
      </c>
      <c r="V728" s="81" t="s">
        <v>49</v>
      </c>
      <c r="W728" s="81" t="s">
        <v>48</v>
      </c>
      <c r="X728" s="81" t="s">
        <v>48</v>
      </c>
      <c r="Y728" s="81" t="s">
        <v>48</v>
      </c>
    </row>
    <row r="729" spans="1:25" x14ac:dyDescent="0.3">
      <c r="A729" s="16">
        <v>7501098606127</v>
      </c>
      <c r="B729" s="81" t="s">
        <v>43</v>
      </c>
      <c r="C729" s="81" t="s">
        <v>3296</v>
      </c>
      <c r="D729" s="81" t="s">
        <v>45</v>
      </c>
      <c r="E729" s="81" t="s">
        <v>2191</v>
      </c>
      <c r="F729" s="81" t="s">
        <v>2354</v>
      </c>
      <c r="G729" s="81" t="s">
        <v>3297</v>
      </c>
      <c r="H729" s="81" t="s">
        <v>3298</v>
      </c>
      <c r="I729" s="81" t="s">
        <v>6079</v>
      </c>
      <c r="J729" s="81" t="s">
        <v>2186</v>
      </c>
      <c r="K729" s="81" t="s">
        <v>6079</v>
      </c>
      <c r="L729" s="81" t="s">
        <v>2392</v>
      </c>
      <c r="M729" s="81" t="s">
        <v>6079</v>
      </c>
      <c r="N729" s="81" t="s">
        <v>2231</v>
      </c>
      <c r="O729" s="81" t="s">
        <v>2187</v>
      </c>
      <c r="P729" s="81" t="s">
        <v>2187</v>
      </c>
      <c r="Q729" s="81" t="s">
        <v>3300</v>
      </c>
      <c r="R729" s="81" t="s">
        <v>374</v>
      </c>
      <c r="S729" s="81" t="s">
        <v>374</v>
      </c>
      <c r="T729" s="81" t="s">
        <v>48</v>
      </c>
      <c r="U729" s="81" t="s">
        <v>48</v>
      </c>
      <c r="V729" s="81" t="s">
        <v>48</v>
      </c>
      <c r="W729" s="81" t="s">
        <v>49</v>
      </c>
      <c r="X729" s="81" t="s">
        <v>48</v>
      </c>
      <c r="Y729" s="81" t="s">
        <v>48</v>
      </c>
    </row>
    <row r="730" spans="1:25" x14ac:dyDescent="0.3">
      <c r="A730" s="16" t="s">
        <v>730</v>
      </c>
      <c r="B730" s="81" t="s">
        <v>43</v>
      </c>
      <c r="C730" s="81" t="s">
        <v>3301</v>
      </c>
      <c r="D730" s="81" t="s">
        <v>45</v>
      </c>
      <c r="E730" s="81" t="s">
        <v>2620</v>
      </c>
      <c r="F730" s="81" t="s">
        <v>2780</v>
      </c>
      <c r="G730" s="81" t="s">
        <v>3302</v>
      </c>
      <c r="H730" s="81" t="s">
        <v>6080</v>
      </c>
      <c r="I730" s="81" t="s">
        <v>6081</v>
      </c>
      <c r="J730" s="81" t="s">
        <v>2186</v>
      </c>
      <c r="K730" s="81" t="s">
        <v>6081</v>
      </c>
      <c r="L730" s="81" t="s">
        <v>2392</v>
      </c>
      <c r="M730" s="81" t="s">
        <v>6081</v>
      </c>
      <c r="N730" s="81" t="s">
        <v>2231</v>
      </c>
      <c r="O730" s="81" t="s">
        <v>2187</v>
      </c>
      <c r="P730" s="81" t="s">
        <v>2187</v>
      </c>
      <c r="Q730" s="81" t="s">
        <v>43</v>
      </c>
      <c r="R730" s="81" t="s">
        <v>51</v>
      </c>
      <c r="S730" s="81" t="s">
        <v>81</v>
      </c>
      <c r="T730" s="81" t="s">
        <v>49</v>
      </c>
      <c r="U730" s="81" t="s">
        <v>48</v>
      </c>
      <c r="V730" s="81" t="s">
        <v>48</v>
      </c>
      <c r="W730" s="81" t="s">
        <v>49</v>
      </c>
      <c r="X730" s="81" t="s">
        <v>48</v>
      </c>
      <c r="Y730" s="81" t="s">
        <v>48</v>
      </c>
    </row>
    <row r="731" spans="1:25" x14ac:dyDescent="0.3">
      <c r="A731" s="16">
        <v>7502003381153</v>
      </c>
      <c r="B731" s="81" t="s">
        <v>43</v>
      </c>
      <c r="C731" s="81" t="s">
        <v>731</v>
      </c>
      <c r="D731" s="81" t="s">
        <v>45</v>
      </c>
      <c r="E731" s="81" t="s">
        <v>2312</v>
      </c>
      <c r="F731" s="81" t="s">
        <v>2313</v>
      </c>
      <c r="G731" s="81" t="s">
        <v>2212</v>
      </c>
      <c r="H731" s="81" t="s">
        <v>2190</v>
      </c>
      <c r="I731" s="81" t="s">
        <v>6082</v>
      </c>
      <c r="J731" s="81" t="s">
        <v>2186</v>
      </c>
      <c r="K731" s="81" t="s">
        <v>6082</v>
      </c>
      <c r="L731" s="81" t="s">
        <v>2392</v>
      </c>
      <c r="M731" s="81" t="s">
        <v>6082</v>
      </c>
      <c r="N731" s="81" t="s">
        <v>2231</v>
      </c>
      <c r="O731" s="81" t="s">
        <v>2187</v>
      </c>
      <c r="P731" s="81" t="s">
        <v>2187</v>
      </c>
      <c r="Q731" s="81" t="s">
        <v>43</v>
      </c>
      <c r="R731" s="81" t="s">
        <v>46</v>
      </c>
      <c r="S731" s="81" t="s">
        <v>46</v>
      </c>
      <c r="T731" s="81" t="s">
        <v>48</v>
      </c>
      <c r="U731" s="81" t="s">
        <v>48</v>
      </c>
      <c r="V731" s="81" t="s">
        <v>48</v>
      </c>
      <c r="W731" s="81" t="s">
        <v>49</v>
      </c>
      <c r="X731" s="81" t="s">
        <v>48</v>
      </c>
      <c r="Y731" s="81" t="s">
        <v>48</v>
      </c>
    </row>
    <row r="732" spans="1:25" x14ac:dyDescent="0.3">
      <c r="A732" s="16">
        <v>7502003381146</v>
      </c>
      <c r="B732" s="81" t="s">
        <v>43</v>
      </c>
      <c r="C732" s="81" t="s">
        <v>732</v>
      </c>
      <c r="D732" s="81" t="s">
        <v>45</v>
      </c>
      <c r="E732" s="81" t="s">
        <v>2443</v>
      </c>
      <c r="F732" s="81" t="s">
        <v>2512</v>
      </c>
      <c r="G732" s="81" t="s">
        <v>3303</v>
      </c>
      <c r="H732" s="81" t="s">
        <v>6083</v>
      </c>
      <c r="I732" s="81" t="s">
        <v>6084</v>
      </c>
      <c r="J732" s="81" t="s">
        <v>2186</v>
      </c>
      <c r="K732" s="81" t="s">
        <v>6084</v>
      </c>
      <c r="L732" s="81" t="s">
        <v>2392</v>
      </c>
      <c r="M732" s="81" t="s">
        <v>6084</v>
      </c>
      <c r="N732" s="81" t="s">
        <v>2231</v>
      </c>
      <c r="O732" s="81" t="s">
        <v>2187</v>
      </c>
      <c r="P732" s="81" t="s">
        <v>2187</v>
      </c>
      <c r="Q732" s="81" t="s">
        <v>43</v>
      </c>
      <c r="R732" s="81" t="s">
        <v>46</v>
      </c>
      <c r="S732" s="81" t="s">
        <v>46</v>
      </c>
      <c r="T732" s="81" t="s">
        <v>48</v>
      </c>
      <c r="U732" s="81" t="s">
        <v>48</v>
      </c>
      <c r="V732" s="81" t="s">
        <v>48</v>
      </c>
      <c r="W732" s="81" t="s">
        <v>49</v>
      </c>
      <c r="X732" s="81" t="s">
        <v>48</v>
      </c>
      <c r="Y732" s="81" t="s">
        <v>48</v>
      </c>
    </row>
    <row r="733" spans="1:25" x14ac:dyDescent="0.3">
      <c r="A733" s="16">
        <v>780083148676</v>
      </c>
      <c r="B733" s="81" t="s">
        <v>43</v>
      </c>
      <c r="C733" s="81" t="s">
        <v>1969</v>
      </c>
      <c r="D733" s="81" t="s">
        <v>45</v>
      </c>
      <c r="E733" s="81" t="s">
        <v>2471</v>
      </c>
      <c r="F733" s="81" t="s">
        <v>2481</v>
      </c>
      <c r="G733" s="81" t="s">
        <v>4769</v>
      </c>
      <c r="H733" s="81" t="s">
        <v>2217</v>
      </c>
      <c r="I733" s="81" t="s">
        <v>5638</v>
      </c>
      <c r="J733" s="81" t="s">
        <v>2186</v>
      </c>
      <c r="K733" s="81" t="s">
        <v>5638</v>
      </c>
      <c r="L733" s="81" t="s">
        <v>2392</v>
      </c>
      <c r="M733" s="81" t="s">
        <v>5638</v>
      </c>
      <c r="N733" s="81" t="s">
        <v>2231</v>
      </c>
      <c r="O733" s="81" t="s">
        <v>2187</v>
      </c>
      <c r="P733" s="81" t="s">
        <v>2187</v>
      </c>
      <c r="Q733" s="81" t="s">
        <v>43</v>
      </c>
      <c r="R733" s="81" t="s">
        <v>46</v>
      </c>
      <c r="S733" s="81" t="s">
        <v>46</v>
      </c>
      <c r="T733" s="81" t="s">
        <v>48</v>
      </c>
      <c r="U733" s="81" t="s">
        <v>48</v>
      </c>
      <c r="V733" s="81" t="s">
        <v>48</v>
      </c>
      <c r="W733" s="81" t="s">
        <v>49</v>
      </c>
      <c r="X733" s="81" t="s">
        <v>48</v>
      </c>
      <c r="Y733" s="81" t="s">
        <v>48</v>
      </c>
    </row>
    <row r="734" spans="1:25" x14ac:dyDescent="0.3">
      <c r="A734" s="16">
        <v>7501008485316</v>
      </c>
      <c r="B734" s="81" t="s">
        <v>43</v>
      </c>
      <c r="C734" s="81" t="s">
        <v>1970</v>
      </c>
      <c r="D734" s="81" t="s">
        <v>45</v>
      </c>
      <c r="E734" s="81" t="s">
        <v>2362</v>
      </c>
      <c r="F734" s="81" t="s">
        <v>2274</v>
      </c>
      <c r="G734" s="81" t="s">
        <v>4490</v>
      </c>
      <c r="H734" s="81" t="s">
        <v>2193</v>
      </c>
      <c r="I734" s="81" t="s">
        <v>6085</v>
      </c>
      <c r="J734" s="81" t="s">
        <v>2186</v>
      </c>
      <c r="K734" s="81" t="s">
        <v>6085</v>
      </c>
      <c r="L734" s="81" t="s">
        <v>2392</v>
      </c>
      <c r="M734" s="81" t="s">
        <v>6085</v>
      </c>
      <c r="N734" s="81" t="s">
        <v>2231</v>
      </c>
      <c r="O734" s="81" t="s">
        <v>2187</v>
      </c>
      <c r="P734" s="81" t="s">
        <v>2187</v>
      </c>
      <c r="Q734" s="81" t="s">
        <v>43</v>
      </c>
      <c r="R734" s="81" t="s">
        <v>203</v>
      </c>
      <c r="S734" s="81" t="s">
        <v>47</v>
      </c>
      <c r="T734" s="81" t="s">
        <v>48</v>
      </c>
      <c r="U734" s="81" t="s">
        <v>48</v>
      </c>
      <c r="V734" s="81" t="s">
        <v>48</v>
      </c>
      <c r="W734" s="81" t="s">
        <v>49</v>
      </c>
      <c r="X734" s="81" t="s">
        <v>48</v>
      </c>
      <c r="Y734" s="81" t="s">
        <v>48</v>
      </c>
    </row>
    <row r="735" spans="1:25" x14ac:dyDescent="0.3">
      <c r="A735" s="16">
        <v>7501349021808</v>
      </c>
      <c r="B735" s="81" t="s">
        <v>43</v>
      </c>
      <c r="C735" s="81" t="s">
        <v>733</v>
      </c>
      <c r="D735" s="81" t="s">
        <v>45</v>
      </c>
      <c r="E735" s="81" t="s">
        <v>3104</v>
      </c>
      <c r="F735" s="81" t="s">
        <v>2498</v>
      </c>
      <c r="G735" s="81" t="s">
        <v>3736</v>
      </c>
      <c r="H735" s="81" t="s">
        <v>2259</v>
      </c>
      <c r="I735" s="81" t="s">
        <v>6086</v>
      </c>
      <c r="J735" s="81" t="s">
        <v>2186</v>
      </c>
      <c r="K735" s="81" t="s">
        <v>6086</v>
      </c>
      <c r="L735" s="81" t="s">
        <v>2392</v>
      </c>
      <c r="M735" s="81" t="s">
        <v>6086</v>
      </c>
      <c r="N735" s="81" t="s">
        <v>2231</v>
      </c>
      <c r="O735" s="81" t="s">
        <v>2187</v>
      </c>
      <c r="P735" s="81" t="s">
        <v>2187</v>
      </c>
      <c r="Q735" s="81" t="s">
        <v>43</v>
      </c>
      <c r="R735" s="81" t="s">
        <v>51</v>
      </c>
      <c r="S735" s="81" t="s">
        <v>73</v>
      </c>
      <c r="T735" s="81" t="s">
        <v>49</v>
      </c>
      <c r="U735" s="81" t="s">
        <v>48</v>
      </c>
      <c r="V735" s="81" t="s">
        <v>48</v>
      </c>
      <c r="W735" s="81" t="s">
        <v>49</v>
      </c>
      <c r="X735" s="81" t="s">
        <v>48</v>
      </c>
      <c r="Y735" s="81" t="s">
        <v>48</v>
      </c>
    </row>
    <row r="736" spans="1:25" x14ac:dyDescent="0.3">
      <c r="A736" s="16">
        <v>650240036378</v>
      </c>
      <c r="B736" s="81" t="s">
        <v>43</v>
      </c>
      <c r="C736" s="81" t="s">
        <v>4512</v>
      </c>
      <c r="D736" s="81" t="s">
        <v>45</v>
      </c>
      <c r="E736" s="81" t="s">
        <v>2431</v>
      </c>
      <c r="F736" s="81" t="s">
        <v>3305</v>
      </c>
      <c r="G736" s="81" t="s">
        <v>4504</v>
      </c>
      <c r="H736" s="81" t="s">
        <v>2905</v>
      </c>
      <c r="I736" s="81" t="s">
        <v>6087</v>
      </c>
      <c r="J736" s="81" t="s">
        <v>2186</v>
      </c>
      <c r="K736" s="81" t="s">
        <v>6087</v>
      </c>
      <c r="L736" s="81" t="s">
        <v>2392</v>
      </c>
      <c r="M736" s="81" t="s">
        <v>6087</v>
      </c>
      <c r="N736" s="81" t="s">
        <v>2231</v>
      </c>
      <c r="O736" s="81" t="s">
        <v>2187</v>
      </c>
      <c r="P736" s="81" t="s">
        <v>2187</v>
      </c>
      <c r="Q736" s="81" t="s">
        <v>43</v>
      </c>
      <c r="R736" s="81" t="s">
        <v>203</v>
      </c>
      <c r="S736" s="81" t="s">
        <v>203</v>
      </c>
      <c r="T736" s="81" t="s">
        <v>48</v>
      </c>
      <c r="U736" s="81" t="s">
        <v>48</v>
      </c>
      <c r="V736" s="81" t="s">
        <v>48</v>
      </c>
      <c r="W736" s="81" t="s">
        <v>49</v>
      </c>
      <c r="X736" s="81" t="s">
        <v>48</v>
      </c>
      <c r="Y736" s="81" t="s">
        <v>48</v>
      </c>
    </row>
    <row r="737" spans="1:25" x14ac:dyDescent="0.3">
      <c r="A737" s="16">
        <v>7501298223704</v>
      </c>
      <c r="B737" s="81" t="s">
        <v>43</v>
      </c>
      <c r="C737" s="81" t="s">
        <v>2143</v>
      </c>
      <c r="D737" s="81" t="s">
        <v>45</v>
      </c>
      <c r="E737" s="81" t="s">
        <v>2443</v>
      </c>
      <c r="F737" s="81" t="s">
        <v>2483</v>
      </c>
      <c r="G737" s="81" t="s">
        <v>5340</v>
      </c>
      <c r="H737" s="81" t="s">
        <v>4424</v>
      </c>
      <c r="I737" s="81" t="s">
        <v>3267</v>
      </c>
      <c r="J737" s="81" t="s">
        <v>2186</v>
      </c>
      <c r="K737" s="81" t="s">
        <v>3267</v>
      </c>
      <c r="L737" s="81" t="s">
        <v>2392</v>
      </c>
      <c r="M737" s="81" t="s">
        <v>3267</v>
      </c>
      <c r="N737" s="81" t="s">
        <v>2231</v>
      </c>
      <c r="O737" s="81" t="s">
        <v>2187</v>
      </c>
      <c r="P737" s="81" t="s">
        <v>2187</v>
      </c>
      <c r="Q737" s="81" t="s">
        <v>734</v>
      </c>
      <c r="R737" s="81" t="s">
        <v>203</v>
      </c>
      <c r="S737" s="81" t="s">
        <v>47</v>
      </c>
      <c r="T737" s="81" t="s">
        <v>48</v>
      </c>
      <c r="U737" s="81" t="s">
        <v>48</v>
      </c>
      <c r="V737" s="81" t="s">
        <v>48</v>
      </c>
      <c r="W737" s="81" t="s">
        <v>49</v>
      </c>
      <c r="X737" s="81" t="s">
        <v>48</v>
      </c>
      <c r="Y737" s="81" t="s">
        <v>48</v>
      </c>
    </row>
    <row r="738" spans="1:25" x14ac:dyDescent="0.3">
      <c r="A738" s="16">
        <v>7506339394733</v>
      </c>
      <c r="B738" s="81" t="s">
        <v>43</v>
      </c>
      <c r="C738" s="81" t="s">
        <v>735</v>
      </c>
      <c r="D738" s="81" t="s">
        <v>45</v>
      </c>
      <c r="E738" s="81" t="s">
        <v>2557</v>
      </c>
      <c r="F738" s="81" t="s">
        <v>2370</v>
      </c>
      <c r="G738" s="81" t="s">
        <v>5213</v>
      </c>
      <c r="H738" s="81" t="s">
        <v>5214</v>
      </c>
      <c r="I738" s="81" t="s">
        <v>5215</v>
      </c>
      <c r="J738" s="81" t="s">
        <v>2186</v>
      </c>
      <c r="K738" s="81" t="s">
        <v>5215</v>
      </c>
      <c r="L738" s="81" t="s">
        <v>2392</v>
      </c>
      <c r="M738" s="81" t="s">
        <v>5215</v>
      </c>
      <c r="N738" s="81" t="s">
        <v>2231</v>
      </c>
      <c r="O738" s="81" t="s">
        <v>2187</v>
      </c>
      <c r="P738" s="81" t="s">
        <v>2187</v>
      </c>
      <c r="Q738" s="81" t="s">
        <v>43</v>
      </c>
      <c r="R738" s="81" t="s">
        <v>203</v>
      </c>
      <c r="S738" s="81" t="s">
        <v>203</v>
      </c>
      <c r="T738" s="81" t="s">
        <v>48</v>
      </c>
      <c r="U738" s="81" t="s">
        <v>48</v>
      </c>
      <c r="V738" s="81" t="s">
        <v>49</v>
      </c>
      <c r="W738" s="81" t="s">
        <v>48</v>
      </c>
      <c r="X738" s="81" t="s">
        <v>48</v>
      </c>
      <c r="Y738" s="81" t="s">
        <v>48</v>
      </c>
    </row>
    <row r="739" spans="1:25" x14ac:dyDescent="0.3">
      <c r="A739" s="16">
        <v>17501128113134</v>
      </c>
      <c r="B739" s="81" t="s">
        <v>43</v>
      </c>
      <c r="C739" s="81" t="s">
        <v>736</v>
      </c>
      <c r="D739" s="81" t="s">
        <v>45</v>
      </c>
      <c r="E739" s="81" t="s">
        <v>2308</v>
      </c>
      <c r="F739" s="81" t="s">
        <v>2180</v>
      </c>
      <c r="G739" s="81" t="s">
        <v>3306</v>
      </c>
      <c r="H739" s="81" t="s">
        <v>3307</v>
      </c>
      <c r="I739" s="81" t="s">
        <v>6088</v>
      </c>
      <c r="J739" s="81" t="s">
        <v>2186</v>
      </c>
      <c r="K739" s="81" t="s">
        <v>6088</v>
      </c>
      <c r="L739" s="81" t="s">
        <v>2392</v>
      </c>
      <c r="M739" s="81" t="s">
        <v>6088</v>
      </c>
      <c r="N739" s="81" t="s">
        <v>2231</v>
      </c>
      <c r="O739" s="81" t="s">
        <v>2187</v>
      </c>
      <c r="P739" s="81" t="s">
        <v>2187</v>
      </c>
      <c r="Q739" s="81" t="s">
        <v>43</v>
      </c>
      <c r="R739" s="81" t="s">
        <v>122</v>
      </c>
      <c r="S739" s="81" t="s">
        <v>122</v>
      </c>
      <c r="T739" s="81" t="s">
        <v>48</v>
      </c>
      <c r="U739" s="81" t="s">
        <v>48</v>
      </c>
      <c r="V739" s="81" t="s">
        <v>49</v>
      </c>
      <c r="W739" s="81" t="s">
        <v>48</v>
      </c>
      <c r="X739" s="81" t="s">
        <v>48</v>
      </c>
      <c r="Y739" s="81" t="s">
        <v>48</v>
      </c>
    </row>
    <row r="740" spans="1:25" x14ac:dyDescent="0.3">
      <c r="A740" s="16">
        <v>17501128113226</v>
      </c>
      <c r="B740" s="81" t="s">
        <v>43</v>
      </c>
      <c r="C740" s="81" t="s">
        <v>737</v>
      </c>
      <c r="D740" s="81" t="s">
        <v>45</v>
      </c>
      <c r="E740" s="81" t="s">
        <v>2358</v>
      </c>
      <c r="F740" s="81" t="s">
        <v>2557</v>
      </c>
      <c r="G740" s="81" t="s">
        <v>3309</v>
      </c>
      <c r="H740" s="81" t="s">
        <v>6089</v>
      </c>
      <c r="I740" s="81" t="s">
        <v>6090</v>
      </c>
      <c r="J740" s="81" t="s">
        <v>2186</v>
      </c>
      <c r="K740" s="81" t="s">
        <v>6090</v>
      </c>
      <c r="L740" s="81" t="s">
        <v>2392</v>
      </c>
      <c r="M740" s="81" t="s">
        <v>6090</v>
      </c>
      <c r="N740" s="81" t="s">
        <v>2231</v>
      </c>
      <c r="O740" s="81" t="s">
        <v>2187</v>
      </c>
      <c r="P740" s="81" t="s">
        <v>2187</v>
      </c>
      <c r="Q740" s="81" t="s">
        <v>43</v>
      </c>
      <c r="R740" s="81" t="s">
        <v>122</v>
      </c>
      <c r="S740" s="81" t="s">
        <v>122</v>
      </c>
      <c r="T740" s="81" t="s">
        <v>48</v>
      </c>
      <c r="U740" s="81" t="s">
        <v>48</v>
      </c>
      <c r="V740" s="81" t="s">
        <v>49</v>
      </c>
      <c r="W740" s="81" t="s">
        <v>48</v>
      </c>
      <c r="X740" s="81" t="s">
        <v>48</v>
      </c>
      <c r="Y740" s="81" t="s">
        <v>48</v>
      </c>
    </row>
    <row r="741" spans="1:25" x14ac:dyDescent="0.3">
      <c r="A741" s="16">
        <v>7501128119573</v>
      </c>
      <c r="B741" s="81" t="s">
        <v>43</v>
      </c>
      <c r="C741" s="81" t="s">
        <v>738</v>
      </c>
      <c r="D741" s="81" t="s">
        <v>45</v>
      </c>
      <c r="E741" s="81" t="s">
        <v>2363</v>
      </c>
      <c r="F741" s="81" t="s">
        <v>2364</v>
      </c>
      <c r="G741" s="81" t="s">
        <v>3310</v>
      </c>
      <c r="H741" s="81" t="s">
        <v>3311</v>
      </c>
      <c r="I741" s="81" t="s">
        <v>6091</v>
      </c>
      <c r="J741" s="81" t="s">
        <v>2186</v>
      </c>
      <c r="K741" s="81" t="s">
        <v>6091</v>
      </c>
      <c r="L741" s="81" t="s">
        <v>2392</v>
      </c>
      <c r="M741" s="81" t="s">
        <v>6091</v>
      </c>
      <c r="N741" s="81" t="s">
        <v>2231</v>
      </c>
      <c r="O741" s="81" t="s">
        <v>2187</v>
      </c>
      <c r="P741" s="81" t="s">
        <v>2187</v>
      </c>
      <c r="Q741" s="81" t="s">
        <v>43</v>
      </c>
      <c r="R741" s="81" t="s">
        <v>122</v>
      </c>
      <c r="S741" s="81" t="s">
        <v>122</v>
      </c>
      <c r="T741" s="81" t="s">
        <v>48</v>
      </c>
      <c r="U741" s="81" t="s">
        <v>48</v>
      </c>
      <c r="V741" s="81" t="s">
        <v>49</v>
      </c>
      <c r="W741" s="81" t="s">
        <v>48</v>
      </c>
      <c r="X741" s="81" t="s">
        <v>48</v>
      </c>
      <c r="Y741" s="81" t="s">
        <v>48</v>
      </c>
    </row>
    <row r="742" spans="1:25" x14ac:dyDescent="0.3">
      <c r="A742" s="16">
        <v>17501128113127</v>
      </c>
      <c r="B742" s="81" t="s">
        <v>43</v>
      </c>
      <c r="C742" s="81" t="s">
        <v>739</v>
      </c>
      <c r="D742" s="81" t="s">
        <v>45</v>
      </c>
      <c r="E742" s="81" t="s">
        <v>2180</v>
      </c>
      <c r="F742" s="81" t="s">
        <v>2298</v>
      </c>
      <c r="G742" s="81" t="s">
        <v>3306</v>
      </c>
      <c r="H742" s="81" t="s">
        <v>3312</v>
      </c>
      <c r="I742" s="81" t="s">
        <v>6092</v>
      </c>
      <c r="J742" s="81" t="s">
        <v>2186</v>
      </c>
      <c r="K742" s="81" t="s">
        <v>6092</v>
      </c>
      <c r="L742" s="81" t="s">
        <v>2392</v>
      </c>
      <c r="M742" s="81" t="s">
        <v>6092</v>
      </c>
      <c r="N742" s="81" t="s">
        <v>2231</v>
      </c>
      <c r="O742" s="81" t="s">
        <v>2187</v>
      </c>
      <c r="P742" s="81" t="s">
        <v>2187</v>
      </c>
      <c r="Q742" s="81" t="s">
        <v>43</v>
      </c>
      <c r="R742" s="81" t="s">
        <v>122</v>
      </c>
      <c r="S742" s="81" t="s">
        <v>122</v>
      </c>
      <c r="T742" s="81" t="s">
        <v>48</v>
      </c>
      <c r="U742" s="81" t="s">
        <v>48</v>
      </c>
      <c r="V742" s="81" t="s">
        <v>49</v>
      </c>
      <c r="W742" s="81" t="s">
        <v>48</v>
      </c>
      <c r="X742" s="81" t="s">
        <v>48</v>
      </c>
      <c r="Y742" s="81" t="s">
        <v>48</v>
      </c>
    </row>
    <row r="743" spans="1:25" x14ac:dyDescent="0.3">
      <c r="A743" s="16">
        <v>17501128113233</v>
      </c>
      <c r="B743" s="81" t="s">
        <v>43</v>
      </c>
      <c r="C743" s="81" t="s">
        <v>740</v>
      </c>
      <c r="D743" s="81" t="s">
        <v>45</v>
      </c>
      <c r="E743" s="81" t="s">
        <v>2191</v>
      </c>
      <c r="F743" s="81" t="s">
        <v>2303</v>
      </c>
      <c r="G743" s="81" t="s">
        <v>3309</v>
      </c>
      <c r="H743" s="81" t="s">
        <v>3313</v>
      </c>
      <c r="I743" s="81" t="s">
        <v>6090</v>
      </c>
      <c r="J743" s="81" t="s">
        <v>2186</v>
      </c>
      <c r="K743" s="81" t="s">
        <v>6090</v>
      </c>
      <c r="L743" s="81" t="s">
        <v>2392</v>
      </c>
      <c r="M743" s="81" t="s">
        <v>6090</v>
      </c>
      <c r="N743" s="81" t="s">
        <v>2231</v>
      </c>
      <c r="O743" s="81" t="s">
        <v>2187</v>
      </c>
      <c r="P743" s="81" t="s">
        <v>2187</v>
      </c>
      <c r="Q743" s="81" t="s">
        <v>43</v>
      </c>
      <c r="R743" s="81" t="s">
        <v>122</v>
      </c>
      <c r="S743" s="81" t="s">
        <v>122</v>
      </c>
      <c r="T743" s="81" t="s">
        <v>48</v>
      </c>
      <c r="U743" s="81" t="s">
        <v>48</v>
      </c>
      <c r="V743" s="81" t="s">
        <v>49</v>
      </c>
      <c r="W743" s="81" t="s">
        <v>48</v>
      </c>
      <c r="X743" s="81" t="s">
        <v>48</v>
      </c>
      <c r="Y743" s="81" t="s">
        <v>48</v>
      </c>
    </row>
    <row r="744" spans="1:25" x14ac:dyDescent="0.3">
      <c r="A744" s="16">
        <v>17501128113332</v>
      </c>
      <c r="B744" s="81" t="s">
        <v>43</v>
      </c>
      <c r="C744" s="81" t="s">
        <v>741</v>
      </c>
      <c r="D744" s="81" t="s">
        <v>45</v>
      </c>
      <c r="E744" s="81" t="s">
        <v>2180</v>
      </c>
      <c r="F744" s="81" t="s">
        <v>2298</v>
      </c>
      <c r="G744" s="81" t="s">
        <v>3314</v>
      </c>
      <c r="H744" s="81" t="s">
        <v>3315</v>
      </c>
      <c r="I744" s="81" t="s">
        <v>6093</v>
      </c>
      <c r="J744" s="81" t="s">
        <v>2186</v>
      </c>
      <c r="K744" s="81" t="s">
        <v>6093</v>
      </c>
      <c r="L744" s="81" t="s">
        <v>2392</v>
      </c>
      <c r="M744" s="81" t="s">
        <v>6093</v>
      </c>
      <c r="N744" s="81" t="s">
        <v>2231</v>
      </c>
      <c r="O744" s="81" t="s">
        <v>2187</v>
      </c>
      <c r="P744" s="81" t="s">
        <v>2187</v>
      </c>
      <c r="Q744" s="81" t="s">
        <v>43</v>
      </c>
      <c r="R744" s="81" t="s">
        <v>122</v>
      </c>
      <c r="S744" s="81" t="s">
        <v>122</v>
      </c>
      <c r="T744" s="81" t="s">
        <v>48</v>
      </c>
      <c r="U744" s="81" t="s">
        <v>48</v>
      </c>
      <c r="V744" s="81" t="s">
        <v>49</v>
      </c>
      <c r="W744" s="81" t="s">
        <v>48</v>
      </c>
      <c r="X744" s="81" t="s">
        <v>48</v>
      </c>
      <c r="Y744" s="81" t="s">
        <v>48</v>
      </c>
    </row>
    <row r="745" spans="1:25" x14ac:dyDescent="0.3">
      <c r="A745" s="16">
        <v>7501128119542</v>
      </c>
      <c r="B745" s="81" t="s">
        <v>43</v>
      </c>
      <c r="C745" s="81" t="s">
        <v>742</v>
      </c>
      <c r="D745" s="81" t="s">
        <v>45</v>
      </c>
      <c r="E745" s="81" t="s">
        <v>2298</v>
      </c>
      <c r="F745" s="81" t="s">
        <v>2545</v>
      </c>
      <c r="G745" s="81" t="s">
        <v>3316</v>
      </c>
      <c r="H745" s="81" t="s">
        <v>3317</v>
      </c>
      <c r="I745" s="81" t="s">
        <v>6094</v>
      </c>
      <c r="J745" s="81" t="s">
        <v>2186</v>
      </c>
      <c r="K745" s="81" t="s">
        <v>6094</v>
      </c>
      <c r="L745" s="81" t="s">
        <v>2392</v>
      </c>
      <c r="M745" s="81" t="s">
        <v>6094</v>
      </c>
      <c r="N745" s="81" t="s">
        <v>2231</v>
      </c>
      <c r="O745" s="81" t="s">
        <v>2187</v>
      </c>
      <c r="P745" s="81" t="s">
        <v>2187</v>
      </c>
      <c r="Q745" s="81" t="s">
        <v>43</v>
      </c>
      <c r="R745" s="81" t="s">
        <v>122</v>
      </c>
      <c r="S745" s="81" t="s">
        <v>122</v>
      </c>
      <c r="T745" s="81" t="s">
        <v>48</v>
      </c>
      <c r="U745" s="81" t="s">
        <v>48</v>
      </c>
      <c r="V745" s="81" t="s">
        <v>49</v>
      </c>
      <c r="W745" s="81" t="s">
        <v>48</v>
      </c>
      <c r="X745" s="81" t="s">
        <v>48</v>
      </c>
      <c r="Y745" s="81" t="s">
        <v>48</v>
      </c>
    </row>
    <row r="746" spans="1:25" x14ac:dyDescent="0.3">
      <c r="A746" s="16">
        <v>7502211780687</v>
      </c>
      <c r="B746" s="81" t="s">
        <v>43</v>
      </c>
      <c r="C746" s="81" t="s">
        <v>743</v>
      </c>
      <c r="D746" s="81" t="s">
        <v>45</v>
      </c>
      <c r="E746" s="81" t="s">
        <v>3319</v>
      </c>
      <c r="F746" s="81" t="s">
        <v>3320</v>
      </c>
      <c r="G746" s="81" t="s">
        <v>3321</v>
      </c>
      <c r="H746" s="81" t="s">
        <v>2225</v>
      </c>
      <c r="I746" s="81" t="s">
        <v>6095</v>
      </c>
      <c r="J746" s="81" t="s">
        <v>2186</v>
      </c>
      <c r="K746" s="81" t="s">
        <v>6095</v>
      </c>
      <c r="L746" s="81" t="s">
        <v>2392</v>
      </c>
      <c r="M746" s="81" t="s">
        <v>6095</v>
      </c>
      <c r="N746" s="81" t="s">
        <v>2231</v>
      </c>
      <c r="O746" s="81" t="s">
        <v>2187</v>
      </c>
      <c r="P746" s="81" t="s">
        <v>2187</v>
      </c>
      <c r="Q746" s="81" t="s">
        <v>744</v>
      </c>
      <c r="R746" s="81" t="s">
        <v>46</v>
      </c>
      <c r="S746" s="81" t="s">
        <v>164</v>
      </c>
      <c r="T746" s="81" t="s">
        <v>48</v>
      </c>
      <c r="U746" s="81" t="s">
        <v>48</v>
      </c>
      <c r="V746" s="81" t="s">
        <v>48</v>
      </c>
      <c r="W746" s="81" t="s">
        <v>49</v>
      </c>
      <c r="X746" s="81" t="s">
        <v>48</v>
      </c>
      <c r="Y746" s="81" t="s">
        <v>48</v>
      </c>
    </row>
    <row r="747" spans="1:25" x14ac:dyDescent="0.3">
      <c r="A747" s="16">
        <v>7501058714305</v>
      </c>
      <c r="B747" s="81" t="s">
        <v>43</v>
      </c>
      <c r="C747" s="81" t="s">
        <v>745</v>
      </c>
      <c r="D747" s="81" t="s">
        <v>45</v>
      </c>
      <c r="E747" s="81" t="s">
        <v>2447</v>
      </c>
      <c r="F747" s="81" t="s">
        <v>2300</v>
      </c>
      <c r="G747" s="81" t="s">
        <v>6096</v>
      </c>
      <c r="H747" s="81" t="s">
        <v>2688</v>
      </c>
      <c r="I747" s="81" t="s">
        <v>3322</v>
      </c>
      <c r="J747" s="81" t="s">
        <v>2186</v>
      </c>
      <c r="K747" s="81" t="s">
        <v>3323</v>
      </c>
      <c r="L747" s="81" t="s">
        <v>2392</v>
      </c>
      <c r="M747" s="81" t="s">
        <v>2396</v>
      </c>
      <c r="N747" s="81" t="s">
        <v>2231</v>
      </c>
      <c r="O747" s="81" t="s">
        <v>2187</v>
      </c>
      <c r="P747" s="81" t="s">
        <v>2187</v>
      </c>
      <c r="Q747" s="81" t="s">
        <v>746</v>
      </c>
      <c r="R747" s="81" t="s">
        <v>203</v>
      </c>
      <c r="S747" s="81" t="s">
        <v>164</v>
      </c>
      <c r="T747" s="81" t="s">
        <v>48</v>
      </c>
      <c r="U747" s="81" t="s">
        <v>48</v>
      </c>
      <c r="V747" s="81" t="s">
        <v>48</v>
      </c>
      <c r="W747" s="81" t="s">
        <v>49</v>
      </c>
      <c r="X747" s="81" t="s">
        <v>48</v>
      </c>
      <c r="Y747" s="81" t="s">
        <v>48</v>
      </c>
    </row>
    <row r="748" spans="1:25" x14ac:dyDescent="0.3">
      <c r="A748" s="16">
        <v>7501008409541</v>
      </c>
      <c r="B748" s="81" t="s">
        <v>43</v>
      </c>
      <c r="C748" s="81" t="s">
        <v>3324</v>
      </c>
      <c r="D748" s="81" t="s">
        <v>45</v>
      </c>
      <c r="E748" s="81" t="s">
        <v>2412</v>
      </c>
      <c r="F748" s="81" t="s">
        <v>2368</v>
      </c>
      <c r="G748" s="81" t="s">
        <v>3325</v>
      </c>
      <c r="H748" s="81" t="s">
        <v>2279</v>
      </c>
      <c r="I748" s="81" t="s">
        <v>6097</v>
      </c>
      <c r="J748" s="81" t="s">
        <v>2186</v>
      </c>
      <c r="K748" s="81" t="s">
        <v>6097</v>
      </c>
      <c r="L748" s="81" t="s">
        <v>2392</v>
      </c>
      <c r="M748" s="81" t="s">
        <v>6097</v>
      </c>
      <c r="N748" s="81" t="s">
        <v>2231</v>
      </c>
      <c r="O748" s="81" t="s">
        <v>2187</v>
      </c>
      <c r="P748" s="81" t="s">
        <v>2187</v>
      </c>
      <c r="Q748" s="81" t="s">
        <v>3326</v>
      </c>
      <c r="R748" s="81" t="s">
        <v>203</v>
      </c>
      <c r="S748" s="81" t="s">
        <v>203</v>
      </c>
      <c r="T748" s="81" t="s">
        <v>48</v>
      </c>
      <c r="U748" s="81" t="s">
        <v>48</v>
      </c>
      <c r="V748" s="81" t="s">
        <v>48</v>
      </c>
      <c r="W748" s="81" t="s">
        <v>49</v>
      </c>
      <c r="X748" s="81" t="s">
        <v>48</v>
      </c>
      <c r="Y748" s="81" t="s">
        <v>48</v>
      </c>
    </row>
    <row r="749" spans="1:25" x14ac:dyDescent="0.3">
      <c r="A749" s="16">
        <v>7502270710045</v>
      </c>
      <c r="B749" s="81" t="s">
        <v>43</v>
      </c>
      <c r="C749" s="81" t="s">
        <v>747</v>
      </c>
      <c r="D749" s="81" t="s">
        <v>45</v>
      </c>
      <c r="E749" s="81" t="s">
        <v>2308</v>
      </c>
      <c r="F749" s="81" t="s">
        <v>2180</v>
      </c>
      <c r="G749" s="81" t="s">
        <v>2537</v>
      </c>
      <c r="H749" s="81" t="s">
        <v>3290</v>
      </c>
      <c r="I749" s="81" t="s">
        <v>6098</v>
      </c>
      <c r="J749" s="81" t="s">
        <v>2186</v>
      </c>
      <c r="K749" s="81" t="s">
        <v>6098</v>
      </c>
      <c r="L749" s="81" t="s">
        <v>2392</v>
      </c>
      <c r="M749" s="81" t="s">
        <v>6098</v>
      </c>
      <c r="N749" s="81" t="s">
        <v>2231</v>
      </c>
      <c r="O749" s="81" t="s">
        <v>2187</v>
      </c>
      <c r="P749" s="81" t="s">
        <v>2187</v>
      </c>
      <c r="Q749" s="81" t="s">
        <v>43</v>
      </c>
      <c r="R749" s="81" t="s">
        <v>524</v>
      </c>
      <c r="S749" s="81" t="s">
        <v>525</v>
      </c>
      <c r="T749" s="81" t="s">
        <v>48</v>
      </c>
      <c r="U749" s="81" t="s">
        <v>48</v>
      </c>
      <c r="V749" s="81" t="s">
        <v>49</v>
      </c>
      <c r="W749" s="81" t="s">
        <v>48</v>
      </c>
      <c r="X749" s="81" t="s">
        <v>48</v>
      </c>
      <c r="Y749" s="81" t="s">
        <v>48</v>
      </c>
    </row>
    <row r="750" spans="1:25" x14ac:dyDescent="0.3">
      <c r="A750" s="16">
        <v>7502270710007</v>
      </c>
      <c r="B750" s="81" t="s">
        <v>43</v>
      </c>
      <c r="C750" s="81" t="s">
        <v>748</v>
      </c>
      <c r="D750" s="81" t="s">
        <v>45</v>
      </c>
      <c r="E750" s="81" t="s">
        <v>2369</v>
      </c>
      <c r="F750" s="81" t="s">
        <v>2357</v>
      </c>
      <c r="G750" s="81" t="s">
        <v>2537</v>
      </c>
      <c r="H750" s="81" t="s">
        <v>2243</v>
      </c>
      <c r="I750" s="81" t="s">
        <v>6099</v>
      </c>
      <c r="J750" s="81" t="s">
        <v>2186</v>
      </c>
      <c r="K750" s="81" t="s">
        <v>6099</v>
      </c>
      <c r="L750" s="81" t="s">
        <v>2392</v>
      </c>
      <c r="M750" s="81" t="s">
        <v>6099</v>
      </c>
      <c r="N750" s="81" t="s">
        <v>2231</v>
      </c>
      <c r="O750" s="81" t="s">
        <v>2187</v>
      </c>
      <c r="P750" s="81" t="s">
        <v>2187</v>
      </c>
      <c r="Q750" s="81" t="s">
        <v>43</v>
      </c>
      <c r="R750" s="81" t="s">
        <v>524</v>
      </c>
      <c r="S750" s="81" t="s">
        <v>525</v>
      </c>
      <c r="T750" s="81" t="s">
        <v>48</v>
      </c>
      <c r="U750" s="81" t="s">
        <v>48</v>
      </c>
      <c r="V750" s="81" t="s">
        <v>49</v>
      </c>
      <c r="W750" s="81" t="s">
        <v>48</v>
      </c>
      <c r="X750" s="81" t="s">
        <v>48</v>
      </c>
      <c r="Y750" s="81" t="s">
        <v>48</v>
      </c>
    </row>
    <row r="751" spans="1:25" x14ac:dyDescent="0.3">
      <c r="A751" s="16">
        <v>7502270710021</v>
      </c>
      <c r="B751" s="81" t="s">
        <v>43</v>
      </c>
      <c r="C751" s="81" t="s">
        <v>749</v>
      </c>
      <c r="D751" s="81" t="s">
        <v>45</v>
      </c>
      <c r="E751" s="81" t="s">
        <v>2368</v>
      </c>
      <c r="F751" s="81" t="s">
        <v>2369</v>
      </c>
      <c r="G751" s="81" t="s">
        <v>2537</v>
      </c>
      <c r="H751" s="81" t="s">
        <v>3224</v>
      </c>
      <c r="I751" s="81" t="s">
        <v>6100</v>
      </c>
      <c r="J751" s="81" t="s">
        <v>2186</v>
      </c>
      <c r="K751" s="81" t="s">
        <v>6100</v>
      </c>
      <c r="L751" s="81" t="s">
        <v>2392</v>
      </c>
      <c r="M751" s="81" t="s">
        <v>6100</v>
      </c>
      <c r="N751" s="81" t="s">
        <v>2231</v>
      </c>
      <c r="O751" s="81" t="s">
        <v>2187</v>
      </c>
      <c r="P751" s="81" t="s">
        <v>2187</v>
      </c>
      <c r="Q751" s="81" t="s">
        <v>43</v>
      </c>
      <c r="R751" s="81" t="s">
        <v>524</v>
      </c>
      <c r="S751" s="81" t="s">
        <v>525</v>
      </c>
      <c r="T751" s="81" t="s">
        <v>48</v>
      </c>
      <c r="U751" s="81" t="s">
        <v>48</v>
      </c>
      <c r="V751" s="81" t="s">
        <v>49</v>
      </c>
      <c r="W751" s="81" t="s">
        <v>48</v>
      </c>
      <c r="X751" s="81" t="s">
        <v>48</v>
      </c>
      <c r="Y751" s="81" t="s">
        <v>48</v>
      </c>
    </row>
    <row r="752" spans="1:25" x14ac:dyDescent="0.3">
      <c r="A752" s="16">
        <v>7502270710069</v>
      </c>
      <c r="B752" s="81" t="s">
        <v>43</v>
      </c>
      <c r="C752" s="81" t="s">
        <v>750</v>
      </c>
      <c r="D752" s="81" t="s">
        <v>45</v>
      </c>
      <c r="E752" s="81" t="s">
        <v>2308</v>
      </c>
      <c r="F752" s="81" t="s">
        <v>2180</v>
      </c>
      <c r="G752" s="81" t="s">
        <v>2537</v>
      </c>
      <c r="H752" s="81" t="s">
        <v>2243</v>
      </c>
      <c r="I752" s="81" t="s">
        <v>6099</v>
      </c>
      <c r="J752" s="81" t="s">
        <v>2186</v>
      </c>
      <c r="K752" s="81" t="s">
        <v>6099</v>
      </c>
      <c r="L752" s="81" t="s">
        <v>2392</v>
      </c>
      <c r="M752" s="81" t="s">
        <v>6099</v>
      </c>
      <c r="N752" s="81" t="s">
        <v>2231</v>
      </c>
      <c r="O752" s="81" t="s">
        <v>2187</v>
      </c>
      <c r="P752" s="81" t="s">
        <v>2187</v>
      </c>
      <c r="Q752" s="81" t="s">
        <v>43</v>
      </c>
      <c r="R752" s="81" t="s">
        <v>524</v>
      </c>
      <c r="S752" s="81" t="s">
        <v>525</v>
      </c>
      <c r="T752" s="81" t="s">
        <v>48</v>
      </c>
      <c r="U752" s="81" t="s">
        <v>48</v>
      </c>
      <c r="V752" s="81" t="s">
        <v>49</v>
      </c>
      <c r="W752" s="81" t="s">
        <v>48</v>
      </c>
      <c r="X752" s="81" t="s">
        <v>48</v>
      </c>
      <c r="Y752" s="81" t="s">
        <v>48</v>
      </c>
    </row>
    <row r="753" spans="1:25" x14ac:dyDescent="0.3">
      <c r="A753" s="16">
        <v>7502270710014</v>
      </c>
      <c r="B753" s="81" t="s">
        <v>43</v>
      </c>
      <c r="C753" s="81" t="s">
        <v>751</v>
      </c>
      <c r="D753" s="81" t="s">
        <v>45</v>
      </c>
      <c r="E753" s="81" t="s">
        <v>2308</v>
      </c>
      <c r="F753" s="81" t="s">
        <v>2179</v>
      </c>
      <c r="G753" s="81" t="s">
        <v>2537</v>
      </c>
      <c r="H753" s="81" t="s">
        <v>3224</v>
      </c>
      <c r="I753" s="81" t="s">
        <v>6100</v>
      </c>
      <c r="J753" s="81" t="s">
        <v>2186</v>
      </c>
      <c r="K753" s="81" t="s">
        <v>6100</v>
      </c>
      <c r="L753" s="81" t="s">
        <v>2392</v>
      </c>
      <c r="M753" s="81" t="s">
        <v>6100</v>
      </c>
      <c r="N753" s="81" t="s">
        <v>2231</v>
      </c>
      <c r="O753" s="81" t="s">
        <v>2187</v>
      </c>
      <c r="P753" s="81" t="s">
        <v>2187</v>
      </c>
      <c r="Q753" s="81" t="s">
        <v>43</v>
      </c>
      <c r="R753" s="81" t="s">
        <v>524</v>
      </c>
      <c r="S753" s="81" t="s">
        <v>525</v>
      </c>
      <c r="T753" s="81" t="s">
        <v>48</v>
      </c>
      <c r="U753" s="81" t="s">
        <v>48</v>
      </c>
      <c r="V753" s="81" t="s">
        <v>49</v>
      </c>
      <c r="W753" s="81" t="s">
        <v>48</v>
      </c>
      <c r="X753" s="81" t="s">
        <v>48</v>
      </c>
      <c r="Y753" s="81" t="s">
        <v>48</v>
      </c>
    </row>
    <row r="754" spans="1:25" x14ac:dyDescent="0.3">
      <c r="A754" s="16">
        <v>7502270710038</v>
      </c>
      <c r="B754" s="81" t="s">
        <v>43</v>
      </c>
      <c r="C754" s="81" t="s">
        <v>752</v>
      </c>
      <c r="D754" s="81" t="s">
        <v>45</v>
      </c>
      <c r="E754" s="81" t="s">
        <v>2368</v>
      </c>
      <c r="F754" s="81" t="s">
        <v>2369</v>
      </c>
      <c r="G754" s="81" t="s">
        <v>2537</v>
      </c>
      <c r="H754" s="81" t="s">
        <v>2243</v>
      </c>
      <c r="I754" s="81" t="s">
        <v>6099</v>
      </c>
      <c r="J754" s="81" t="s">
        <v>2186</v>
      </c>
      <c r="K754" s="81" t="s">
        <v>6099</v>
      </c>
      <c r="L754" s="81" t="s">
        <v>2392</v>
      </c>
      <c r="M754" s="81" t="s">
        <v>6099</v>
      </c>
      <c r="N754" s="81" t="s">
        <v>2231</v>
      </c>
      <c r="O754" s="81" t="s">
        <v>2187</v>
      </c>
      <c r="P754" s="81" t="s">
        <v>2187</v>
      </c>
      <c r="Q754" s="81" t="s">
        <v>43</v>
      </c>
      <c r="R754" s="81" t="s">
        <v>524</v>
      </c>
      <c r="S754" s="81" t="s">
        <v>525</v>
      </c>
      <c r="T754" s="81" t="s">
        <v>48</v>
      </c>
      <c r="U754" s="81" t="s">
        <v>48</v>
      </c>
      <c r="V754" s="81" t="s">
        <v>49</v>
      </c>
      <c r="W754" s="81" t="s">
        <v>48</v>
      </c>
      <c r="X754" s="81" t="s">
        <v>48</v>
      </c>
      <c r="Y754" s="81" t="s">
        <v>48</v>
      </c>
    </row>
    <row r="755" spans="1:25" x14ac:dyDescent="0.3">
      <c r="A755" s="16">
        <v>7502270710076</v>
      </c>
      <c r="B755" s="81" t="s">
        <v>43</v>
      </c>
      <c r="C755" s="81" t="s">
        <v>753</v>
      </c>
      <c r="D755" s="81" t="s">
        <v>45</v>
      </c>
      <c r="E755" s="81" t="s">
        <v>2369</v>
      </c>
      <c r="F755" s="81" t="s">
        <v>2442</v>
      </c>
      <c r="G755" s="81" t="s">
        <v>2537</v>
      </c>
      <c r="H755" s="81" t="s">
        <v>3224</v>
      </c>
      <c r="I755" s="81" t="s">
        <v>6100</v>
      </c>
      <c r="J755" s="81" t="s">
        <v>2186</v>
      </c>
      <c r="K755" s="81" t="s">
        <v>6100</v>
      </c>
      <c r="L755" s="81" t="s">
        <v>2392</v>
      </c>
      <c r="M755" s="81" t="s">
        <v>6100</v>
      </c>
      <c r="N755" s="81" t="s">
        <v>2231</v>
      </c>
      <c r="O755" s="81" t="s">
        <v>2187</v>
      </c>
      <c r="P755" s="81" t="s">
        <v>2187</v>
      </c>
      <c r="Q755" s="81" t="s">
        <v>43</v>
      </c>
      <c r="R755" s="81" t="s">
        <v>524</v>
      </c>
      <c r="S755" s="81" t="s">
        <v>525</v>
      </c>
      <c r="T755" s="81" t="s">
        <v>48</v>
      </c>
      <c r="U755" s="81" t="s">
        <v>48</v>
      </c>
      <c r="V755" s="81" t="s">
        <v>49</v>
      </c>
      <c r="W755" s="81" t="s">
        <v>48</v>
      </c>
      <c r="X755" s="81" t="s">
        <v>48</v>
      </c>
      <c r="Y755" s="81" t="s">
        <v>48</v>
      </c>
    </row>
    <row r="756" spans="1:25" x14ac:dyDescent="0.3">
      <c r="A756" s="16">
        <v>785118754273</v>
      </c>
      <c r="B756" s="81" t="s">
        <v>43</v>
      </c>
      <c r="C756" s="81" t="s">
        <v>754</v>
      </c>
      <c r="D756" s="81" t="s">
        <v>45</v>
      </c>
      <c r="E756" s="81" t="s">
        <v>2323</v>
      </c>
      <c r="F756" s="81" t="s">
        <v>2324</v>
      </c>
      <c r="G756" s="81" t="s">
        <v>5495</v>
      </c>
      <c r="H756" s="81" t="s">
        <v>3357</v>
      </c>
      <c r="I756" s="81" t="s">
        <v>6101</v>
      </c>
      <c r="J756" s="81" t="s">
        <v>2186</v>
      </c>
      <c r="K756" s="81" t="s">
        <v>6101</v>
      </c>
      <c r="L756" s="81" t="s">
        <v>2392</v>
      </c>
      <c r="M756" s="81" t="s">
        <v>6101</v>
      </c>
      <c r="N756" s="81" t="s">
        <v>2231</v>
      </c>
      <c r="O756" s="81" t="s">
        <v>2187</v>
      </c>
      <c r="P756" s="81" t="s">
        <v>2187</v>
      </c>
      <c r="Q756" s="81" t="s">
        <v>4453</v>
      </c>
      <c r="R756" s="81" t="s">
        <v>46</v>
      </c>
      <c r="S756" s="81" t="s">
        <v>47</v>
      </c>
      <c r="T756" s="81" t="s">
        <v>48</v>
      </c>
      <c r="U756" s="81" t="s">
        <v>48</v>
      </c>
      <c r="V756" s="81" t="s">
        <v>48</v>
      </c>
      <c r="W756" s="81" t="s">
        <v>49</v>
      </c>
      <c r="X756" s="81" t="s">
        <v>48</v>
      </c>
      <c r="Y756" s="81" t="s">
        <v>48</v>
      </c>
    </row>
    <row r="757" spans="1:25" x14ac:dyDescent="0.3">
      <c r="A757" s="16">
        <v>7502009740978</v>
      </c>
      <c r="B757" s="81" t="s">
        <v>43</v>
      </c>
      <c r="C757" s="81" t="s">
        <v>1817</v>
      </c>
      <c r="D757" s="81" t="s">
        <v>45</v>
      </c>
      <c r="E757" s="81" t="s">
        <v>2477</v>
      </c>
      <c r="F757" s="81" t="s">
        <v>3328</v>
      </c>
      <c r="G757" s="81" t="s">
        <v>5399</v>
      </c>
      <c r="H757" s="81" t="s">
        <v>2441</v>
      </c>
      <c r="I757" s="81" t="s">
        <v>6102</v>
      </c>
      <c r="J757" s="81" t="s">
        <v>2186</v>
      </c>
      <c r="K757" s="81" t="s">
        <v>6102</v>
      </c>
      <c r="L757" s="81" t="s">
        <v>2392</v>
      </c>
      <c r="M757" s="81" t="s">
        <v>6102</v>
      </c>
      <c r="N757" s="81" t="s">
        <v>2231</v>
      </c>
      <c r="O757" s="81" t="s">
        <v>2187</v>
      </c>
      <c r="P757" s="81" t="s">
        <v>2187</v>
      </c>
      <c r="Q757" s="81" t="s">
        <v>755</v>
      </c>
      <c r="R757" s="81" t="s">
        <v>51</v>
      </c>
      <c r="S757" s="81" t="s">
        <v>81</v>
      </c>
      <c r="T757" s="81" t="s">
        <v>49</v>
      </c>
      <c r="U757" s="81" t="s">
        <v>48</v>
      </c>
      <c r="V757" s="81" t="s">
        <v>48</v>
      </c>
      <c r="W757" s="81" t="s">
        <v>49</v>
      </c>
      <c r="X757" s="81" t="s">
        <v>48</v>
      </c>
      <c r="Y757" s="81" t="s">
        <v>48</v>
      </c>
    </row>
    <row r="758" spans="1:25" x14ac:dyDescent="0.3">
      <c r="A758" s="16">
        <v>7502009741043</v>
      </c>
      <c r="B758" s="81" t="s">
        <v>43</v>
      </c>
      <c r="C758" s="81" t="s">
        <v>756</v>
      </c>
      <c r="D758" s="81" t="s">
        <v>45</v>
      </c>
      <c r="E758" s="81" t="s">
        <v>2358</v>
      </c>
      <c r="F758" s="81" t="s">
        <v>2557</v>
      </c>
      <c r="G758" s="81" t="s">
        <v>3329</v>
      </c>
      <c r="H758" s="81" t="s">
        <v>2503</v>
      </c>
      <c r="I758" s="81" t="s">
        <v>6103</v>
      </c>
      <c r="J758" s="81" t="s">
        <v>2186</v>
      </c>
      <c r="K758" s="81" t="s">
        <v>6103</v>
      </c>
      <c r="L758" s="81" t="s">
        <v>2392</v>
      </c>
      <c r="M758" s="81" t="s">
        <v>6103</v>
      </c>
      <c r="N758" s="81" t="s">
        <v>2231</v>
      </c>
      <c r="O758" s="81" t="s">
        <v>2187</v>
      </c>
      <c r="P758" s="81" t="s">
        <v>2187</v>
      </c>
      <c r="Q758" s="81" t="s">
        <v>4454</v>
      </c>
      <c r="R758" s="81" t="s">
        <v>51</v>
      </c>
      <c r="S758" s="81" t="s">
        <v>81</v>
      </c>
      <c r="T758" s="81" t="s">
        <v>49</v>
      </c>
      <c r="U758" s="81" t="s">
        <v>48</v>
      </c>
      <c r="V758" s="81" t="s">
        <v>48</v>
      </c>
      <c r="W758" s="81" t="s">
        <v>49</v>
      </c>
      <c r="X758" s="81" t="s">
        <v>48</v>
      </c>
      <c r="Y758" s="81" t="s">
        <v>48</v>
      </c>
    </row>
    <row r="759" spans="1:25" x14ac:dyDescent="0.3">
      <c r="A759" s="16">
        <v>7502009741067</v>
      </c>
      <c r="B759" s="81" t="s">
        <v>43</v>
      </c>
      <c r="C759" s="81" t="s">
        <v>757</v>
      </c>
      <c r="D759" s="81" t="s">
        <v>45</v>
      </c>
      <c r="E759" s="81" t="s">
        <v>2483</v>
      </c>
      <c r="F759" s="81" t="s">
        <v>2378</v>
      </c>
      <c r="G759" s="81" t="s">
        <v>3331</v>
      </c>
      <c r="H759" s="81" t="s">
        <v>2941</v>
      </c>
      <c r="I759" s="81" t="s">
        <v>6104</v>
      </c>
      <c r="J759" s="81" t="s">
        <v>2186</v>
      </c>
      <c r="K759" s="81" t="s">
        <v>6104</v>
      </c>
      <c r="L759" s="81" t="s">
        <v>2392</v>
      </c>
      <c r="M759" s="81" t="s">
        <v>6104</v>
      </c>
      <c r="N759" s="81" t="s">
        <v>2231</v>
      </c>
      <c r="O759" s="81" t="s">
        <v>2187</v>
      </c>
      <c r="P759" s="81" t="s">
        <v>2187</v>
      </c>
      <c r="Q759" s="81" t="s">
        <v>4455</v>
      </c>
      <c r="R759" s="81" t="s">
        <v>51</v>
      </c>
      <c r="S759" s="81" t="s">
        <v>81</v>
      </c>
      <c r="T759" s="81" t="s">
        <v>49</v>
      </c>
      <c r="U759" s="81" t="s">
        <v>48</v>
      </c>
      <c r="V759" s="81" t="s">
        <v>48</v>
      </c>
      <c r="W759" s="81" t="s">
        <v>49</v>
      </c>
      <c r="X759" s="81" t="s">
        <v>48</v>
      </c>
      <c r="Y759" s="81" t="s">
        <v>48</v>
      </c>
    </row>
    <row r="760" spans="1:25" x14ac:dyDescent="0.3">
      <c r="A760" s="16">
        <v>7501361681028</v>
      </c>
      <c r="B760" s="81" t="s">
        <v>43</v>
      </c>
      <c r="C760" s="81" t="s">
        <v>3332</v>
      </c>
      <c r="D760" s="81" t="s">
        <v>45</v>
      </c>
      <c r="E760" s="81" t="s">
        <v>2613</v>
      </c>
      <c r="F760" s="81" t="s">
        <v>3070</v>
      </c>
      <c r="G760" s="81" t="s">
        <v>4751</v>
      </c>
      <c r="H760" s="81" t="s">
        <v>6105</v>
      </c>
      <c r="I760" s="81" t="s">
        <v>6106</v>
      </c>
      <c r="J760" s="81" t="s">
        <v>2186</v>
      </c>
      <c r="K760" s="81" t="s">
        <v>6106</v>
      </c>
      <c r="L760" s="81" t="s">
        <v>2392</v>
      </c>
      <c r="M760" s="81" t="s">
        <v>6106</v>
      </c>
      <c r="N760" s="81" t="s">
        <v>2231</v>
      </c>
      <c r="O760" s="81" t="s">
        <v>2187</v>
      </c>
      <c r="P760" s="81" t="s">
        <v>2187</v>
      </c>
      <c r="Q760" s="81" t="s">
        <v>758</v>
      </c>
      <c r="R760" s="81" t="s">
        <v>46</v>
      </c>
      <c r="S760" s="81" t="s">
        <v>47</v>
      </c>
      <c r="T760" s="81" t="s">
        <v>48</v>
      </c>
      <c r="U760" s="81" t="s">
        <v>48</v>
      </c>
      <c r="V760" s="81" t="s">
        <v>48</v>
      </c>
      <c r="W760" s="81" t="s">
        <v>49</v>
      </c>
      <c r="X760" s="81" t="s">
        <v>48</v>
      </c>
      <c r="Y760" s="81" t="s">
        <v>48</v>
      </c>
    </row>
    <row r="761" spans="1:25" x14ac:dyDescent="0.3">
      <c r="A761" s="16">
        <v>7501547522220</v>
      </c>
      <c r="B761" s="81" t="s">
        <v>43</v>
      </c>
      <c r="C761" s="81" t="s">
        <v>759</v>
      </c>
      <c r="D761" s="81" t="s">
        <v>45</v>
      </c>
      <c r="E761" s="81" t="s">
        <v>2419</v>
      </c>
      <c r="F761" s="81" t="s">
        <v>2703</v>
      </c>
      <c r="G761" s="81" t="s">
        <v>3333</v>
      </c>
      <c r="H761" s="81" t="s">
        <v>2260</v>
      </c>
      <c r="I761" s="81" t="s">
        <v>5724</v>
      </c>
      <c r="J761" s="81" t="s">
        <v>2186</v>
      </c>
      <c r="K761" s="81" t="s">
        <v>5724</v>
      </c>
      <c r="L761" s="81" t="s">
        <v>2392</v>
      </c>
      <c r="M761" s="81" t="s">
        <v>5724</v>
      </c>
      <c r="N761" s="81" t="s">
        <v>2231</v>
      </c>
      <c r="O761" s="81" t="s">
        <v>2187</v>
      </c>
      <c r="P761" s="81" t="s">
        <v>2187</v>
      </c>
      <c r="Q761" s="81" t="s">
        <v>43</v>
      </c>
      <c r="R761" s="81" t="s">
        <v>46</v>
      </c>
      <c r="S761" s="81" t="s">
        <v>47</v>
      </c>
      <c r="T761" s="81" t="s">
        <v>48</v>
      </c>
      <c r="U761" s="81" t="s">
        <v>48</v>
      </c>
      <c r="V761" s="81" t="s">
        <v>48</v>
      </c>
      <c r="W761" s="81" t="s">
        <v>49</v>
      </c>
      <c r="X761" s="81" t="s">
        <v>48</v>
      </c>
      <c r="Y761" s="81" t="s">
        <v>48</v>
      </c>
    </row>
    <row r="762" spans="1:25" x14ac:dyDescent="0.3">
      <c r="A762" s="16">
        <v>7501547522138</v>
      </c>
      <c r="B762" s="81" t="s">
        <v>43</v>
      </c>
      <c r="C762" s="81" t="s">
        <v>760</v>
      </c>
      <c r="D762" s="81" t="s">
        <v>45</v>
      </c>
      <c r="E762" s="81" t="s">
        <v>2419</v>
      </c>
      <c r="F762" s="81" t="s">
        <v>2703</v>
      </c>
      <c r="G762" s="81" t="s">
        <v>2500</v>
      </c>
      <c r="H762" s="81" t="s">
        <v>2209</v>
      </c>
      <c r="I762" s="81" t="s">
        <v>5619</v>
      </c>
      <c r="J762" s="81" t="s">
        <v>2186</v>
      </c>
      <c r="K762" s="81" t="s">
        <v>5619</v>
      </c>
      <c r="L762" s="81" t="s">
        <v>2392</v>
      </c>
      <c r="M762" s="81" t="s">
        <v>5619</v>
      </c>
      <c r="N762" s="81" t="s">
        <v>2231</v>
      </c>
      <c r="O762" s="81" t="s">
        <v>2187</v>
      </c>
      <c r="P762" s="81" t="s">
        <v>2187</v>
      </c>
      <c r="Q762" s="81" t="s">
        <v>43</v>
      </c>
      <c r="R762" s="81" t="s">
        <v>46</v>
      </c>
      <c r="S762" s="81" t="s">
        <v>47</v>
      </c>
      <c r="T762" s="81" t="s">
        <v>48</v>
      </c>
      <c r="U762" s="81" t="s">
        <v>48</v>
      </c>
      <c r="V762" s="81" t="s">
        <v>48</v>
      </c>
      <c r="W762" s="81" t="s">
        <v>49</v>
      </c>
      <c r="X762" s="81" t="s">
        <v>48</v>
      </c>
      <c r="Y762" s="81" t="s">
        <v>48</v>
      </c>
    </row>
    <row r="763" spans="1:25" x14ac:dyDescent="0.3">
      <c r="A763" s="16">
        <v>7502006922711</v>
      </c>
      <c r="B763" s="81" t="s">
        <v>43</v>
      </c>
      <c r="C763" s="81" t="s">
        <v>761</v>
      </c>
      <c r="D763" s="81" t="s">
        <v>45</v>
      </c>
      <c r="E763" s="81" t="s">
        <v>2443</v>
      </c>
      <c r="F763" s="81" t="s">
        <v>2512</v>
      </c>
      <c r="G763" s="81" t="s">
        <v>4374</v>
      </c>
      <c r="H763" s="81" t="s">
        <v>2259</v>
      </c>
      <c r="I763" s="81" t="s">
        <v>6107</v>
      </c>
      <c r="J763" s="81" t="s">
        <v>2186</v>
      </c>
      <c r="K763" s="81" t="s">
        <v>6107</v>
      </c>
      <c r="L763" s="81" t="s">
        <v>2392</v>
      </c>
      <c r="M763" s="81" t="s">
        <v>6107</v>
      </c>
      <c r="N763" s="81" t="s">
        <v>2231</v>
      </c>
      <c r="O763" s="81" t="s">
        <v>2187</v>
      </c>
      <c r="P763" s="81" t="s">
        <v>2187</v>
      </c>
      <c r="Q763" s="81" t="s">
        <v>762</v>
      </c>
      <c r="R763" s="81" t="s">
        <v>46</v>
      </c>
      <c r="S763" s="81" t="s">
        <v>46</v>
      </c>
      <c r="T763" s="81" t="s">
        <v>48</v>
      </c>
      <c r="U763" s="81" t="s">
        <v>48</v>
      </c>
      <c r="V763" s="81" t="s">
        <v>48</v>
      </c>
      <c r="W763" s="81" t="s">
        <v>49</v>
      </c>
      <c r="X763" s="81" t="s">
        <v>48</v>
      </c>
      <c r="Y763" s="81" t="s">
        <v>48</v>
      </c>
    </row>
    <row r="764" spans="1:25" x14ac:dyDescent="0.3">
      <c r="A764" s="16">
        <v>7502006922728</v>
      </c>
      <c r="B764" s="81" t="s">
        <v>43</v>
      </c>
      <c r="C764" s="81" t="s">
        <v>4375</v>
      </c>
      <c r="D764" s="81" t="s">
        <v>45</v>
      </c>
      <c r="E764" s="81" t="s">
        <v>2312</v>
      </c>
      <c r="F764" s="81" t="s">
        <v>2313</v>
      </c>
      <c r="G764" s="81" t="s">
        <v>5341</v>
      </c>
      <c r="H764" s="81" t="s">
        <v>2259</v>
      </c>
      <c r="I764" s="81" t="s">
        <v>5751</v>
      </c>
      <c r="J764" s="81" t="s">
        <v>2186</v>
      </c>
      <c r="K764" s="81" t="s">
        <v>5751</v>
      </c>
      <c r="L764" s="81" t="s">
        <v>2392</v>
      </c>
      <c r="M764" s="81" t="s">
        <v>5751</v>
      </c>
      <c r="N764" s="81" t="s">
        <v>2231</v>
      </c>
      <c r="O764" s="81" t="s">
        <v>2187</v>
      </c>
      <c r="P764" s="81" t="s">
        <v>2187</v>
      </c>
      <c r="Q764" s="81" t="s">
        <v>4376</v>
      </c>
      <c r="R764" s="81" t="s">
        <v>46</v>
      </c>
      <c r="S764" s="81" t="s">
        <v>46</v>
      </c>
      <c r="T764" s="81" t="s">
        <v>48</v>
      </c>
      <c r="U764" s="81" t="s">
        <v>48</v>
      </c>
      <c r="V764" s="81" t="s">
        <v>48</v>
      </c>
      <c r="W764" s="81" t="s">
        <v>49</v>
      </c>
      <c r="X764" s="81" t="s">
        <v>48</v>
      </c>
      <c r="Y764" s="81" t="s">
        <v>48</v>
      </c>
    </row>
    <row r="765" spans="1:25" x14ac:dyDescent="0.3">
      <c r="A765" s="16" t="s">
        <v>763</v>
      </c>
      <c r="B765" s="81" t="s">
        <v>43</v>
      </c>
      <c r="C765" s="81" t="s">
        <v>764</v>
      </c>
      <c r="D765" s="81" t="s">
        <v>45</v>
      </c>
      <c r="E765" s="81" t="s">
        <v>2465</v>
      </c>
      <c r="F765" s="81" t="s">
        <v>2210</v>
      </c>
      <c r="G765" s="81" t="s">
        <v>4730</v>
      </c>
      <c r="H765" s="81" t="s">
        <v>6108</v>
      </c>
      <c r="I765" s="81" t="s">
        <v>6109</v>
      </c>
      <c r="J765" s="81" t="s">
        <v>2186</v>
      </c>
      <c r="K765" s="81" t="s">
        <v>6109</v>
      </c>
      <c r="L765" s="81" t="s">
        <v>2392</v>
      </c>
      <c r="M765" s="81" t="s">
        <v>6109</v>
      </c>
      <c r="N765" s="81" t="s">
        <v>2231</v>
      </c>
      <c r="O765" s="81" t="s">
        <v>2187</v>
      </c>
      <c r="P765" s="81" t="s">
        <v>2187</v>
      </c>
      <c r="Q765" s="81" t="s">
        <v>43</v>
      </c>
      <c r="R765" s="81" t="s">
        <v>122</v>
      </c>
      <c r="S765" s="81" t="s">
        <v>123</v>
      </c>
      <c r="T765" s="81" t="s">
        <v>48</v>
      </c>
      <c r="U765" s="81" t="s">
        <v>48</v>
      </c>
      <c r="V765" s="81" t="s">
        <v>49</v>
      </c>
      <c r="W765" s="81" t="s">
        <v>48</v>
      </c>
      <c r="X765" s="81" t="s">
        <v>48</v>
      </c>
      <c r="Y765" s="81" t="s">
        <v>48</v>
      </c>
    </row>
    <row r="766" spans="1:25" x14ac:dyDescent="0.3">
      <c r="A766" s="16">
        <v>7502270710052</v>
      </c>
      <c r="B766" s="81" t="s">
        <v>43</v>
      </c>
      <c r="C766" s="81" t="s">
        <v>765</v>
      </c>
      <c r="D766" s="81" t="s">
        <v>45</v>
      </c>
      <c r="E766" s="81" t="s">
        <v>2368</v>
      </c>
      <c r="F766" s="81" t="s">
        <v>2369</v>
      </c>
      <c r="G766" s="81" t="s">
        <v>2537</v>
      </c>
      <c r="H766" s="81" t="s">
        <v>2243</v>
      </c>
      <c r="I766" s="81" t="s">
        <v>6099</v>
      </c>
      <c r="J766" s="81" t="s">
        <v>2186</v>
      </c>
      <c r="K766" s="81" t="s">
        <v>6099</v>
      </c>
      <c r="L766" s="81" t="s">
        <v>2392</v>
      </c>
      <c r="M766" s="81" t="s">
        <v>6099</v>
      </c>
      <c r="N766" s="81" t="s">
        <v>2231</v>
      </c>
      <c r="O766" s="81" t="s">
        <v>2187</v>
      </c>
      <c r="P766" s="81" t="s">
        <v>2187</v>
      </c>
      <c r="Q766" s="81" t="s">
        <v>43</v>
      </c>
      <c r="R766" s="81" t="s">
        <v>524</v>
      </c>
      <c r="S766" s="81" t="s">
        <v>525</v>
      </c>
      <c r="T766" s="81" t="s">
        <v>48</v>
      </c>
      <c r="U766" s="81" t="s">
        <v>48</v>
      </c>
      <c r="V766" s="81" t="s">
        <v>49</v>
      </c>
      <c r="W766" s="81" t="s">
        <v>48</v>
      </c>
      <c r="X766" s="81" t="s">
        <v>48</v>
      </c>
      <c r="Y766" s="81" t="s">
        <v>48</v>
      </c>
    </row>
    <row r="767" spans="1:25" x14ac:dyDescent="0.3">
      <c r="A767" s="16" t="s">
        <v>3334</v>
      </c>
      <c r="B767" s="81" t="s">
        <v>43</v>
      </c>
      <c r="C767" s="81" t="s">
        <v>3335</v>
      </c>
      <c r="D767" s="81" t="s">
        <v>45</v>
      </c>
      <c r="E767" s="81" t="s">
        <v>2316</v>
      </c>
      <c r="F767" s="81" t="s">
        <v>2332</v>
      </c>
      <c r="G767" s="81" t="s">
        <v>2921</v>
      </c>
      <c r="H767" s="81" t="s">
        <v>2885</v>
      </c>
      <c r="I767" s="81" t="s">
        <v>3336</v>
      </c>
      <c r="J767" s="81" t="s">
        <v>2186</v>
      </c>
      <c r="K767" s="81" t="s">
        <v>3220</v>
      </c>
      <c r="L767" s="81" t="s">
        <v>2392</v>
      </c>
      <c r="M767" s="81" t="s">
        <v>3017</v>
      </c>
      <c r="N767" s="81" t="s">
        <v>2231</v>
      </c>
      <c r="O767" s="81" t="s">
        <v>2187</v>
      </c>
      <c r="P767" s="81" t="s">
        <v>2187</v>
      </c>
      <c r="Q767" s="81" t="s">
        <v>43</v>
      </c>
      <c r="R767" s="81" t="s">
        <v>506</v>
      </c>
      <c r="S767" s="81" t="s">
        <v>506</v>
      </c>
      <c r="T767" s="81" t="s">
        <v>48</v>
      </c>
      <c r="U767" s="81" t="s">
        <v>48</v>
      </c>
      <c r="V767" s="81" t="s">
        <v>48</v>
      </c>
      <c r="W767" s="81" t="s">
        <v>49</v>
      </c>
      <c r="X767" s="81" t="s">
        <v>48</v>
      </c>
      <c r="Y767" s="81" t="s">
        <v>48</v>
      </c>
    </row>
    <row r="768" spans="1:25" x14ac:dyDescent="0.3">
      <c r="A768" s="16">
        <v>785118753528</v>
      </c>
      <c r="B768" s="81" t="s">
        <v>43</v>
      </c>
      <c r="C768" s="81" t="s">
        <v>766</v>
      </c>
      <c r="D768" s="81" t="s">
        <v>45</v>
      </c>
      <c r="E768" s="81" t="s">
        <v>2545</v>
      </c>
      <c r="F768" s="81" t="s">
        <v>2333</v>
      </c>
      <c r="G768" s="81" t="s">
        <v>5176</v>
      </c>
      <c r="H768" s="81" t="s">
        <v>6110</v>
      </c>
      <c r="I768" s="81" t="s">
        <v>6111</v>
      </c>
      <c r="J768" s="81" t="s">
        <v>2186</v>
      </c>
      <c r="K768" s="81" t="s">
        <v>6111</v>
      </c>
      <c r="L768" s="81" t="s">
        <v>2392</v>
      </c>
      <c r="M768" s="81" t="s">
        <v>6111</v>
      </c>
      <c r="N768" s="81" t="s">
        <v>2231</v>
      </c>
      <c r="O768" s="81" t="s">
        <v>2187</v>
      </c>
      <c r="P768" s="81" t="s">
        <v>2187</v>
      </c>
      <c r="Q768" s="81" t="s">
        <v>43</v>
      </c>
      <c r="R768" s="81" t="s">
        <v>46</v>
      </c>
      <c r="S768" s="81" t="s">
        <v>46</v>
      </c>
      <c r="T768" s="81" t="s">
        <v>48</v>
      </c>
      <c r="U768" s="81" t="s">
        <v>48</v>
      </c>
      <c r="V768" s="81" t="s">
        <v>48</v>
      </c>
      <c r="W768" s="81" t="s">
        <v>49</v>
      </c>
      <c r="X768" s="81" t="s">
        <v>48</v>
      </c>
      <c r="Y768" s="81" t="s">
        <v>48</v>
      </c>
    </row>
    <row r="769" spans="1:25" x14ac:dyDescent="0.3">
      <c r="A769" s="16">
        <v>7501249607768</v>
      </c>
      <c r="B769" s="81" t="s">
        <v>43</v>
      </c>
      <c r="C769" s="81" t="s">
        <v>767</v>
      </c>
      <c r="D769" s="81" t="s">
        <v>45</v>
      </c>
      <c r="E769" s="81" t="s">
        <v>2303</v>
      </c>
      <c r="F769" s="81" t="s">
        <v>2304</v>
      </c>
      <c r="G769" s="81" t="s">
        <v>4770</v>
      </c>
      <c r="H769" s="81" t="s">
        <v>2416</v>
      </c>
      <c r="I769" s="81" t="s">
        <v>2463</v>
      </c>
      <c r="J769" s="81" t="s">
        <v>2186</v>
      </c>
      <c r="K769" s="81" t="s">
        <v>2463</v>
      </c>
      <c r="L769" s="81" t="s">
        <v>2392</v>
      </c>
      <c r="M769" s="81" t="s">
        <v>2463</v>
      </c>
      <c r="N769" s="81" t="s">
        <v>2231</v>
      </c>
      <c r="O769" s="81" t="s">
        <v>2187</v>
      </c>
      <c r="P769" s="81" t="s">
        <v>2187</v>
      </c>
      <c r="Q769" s="81" t="s">
        <v>768</v>
      </c>
      <c r="R769" s="81" t="s">
        <v>46</v>
      </c>
      <c r="S769" s="81" t="s">
        <v>47</v>
      </c>
      <c r="T769" s="81" t="s">
        <v>48</v>
      </c>
      <c r="U769" s="81" t="s">
        <v>48</v>
      </c>
      <c r="V769" s="81" t="s">
        <v>48</v>
      </c>
      <c r="W769" s="81" t="s">
        <v>49</v>
      </c>
      <c r="X769" s="81" t="s">
        <v>48</v>
      </c>
      <c r="Y769" s="81" t="s">
        <v>48</v>
      </c>
    </row>
    <row r="770" spans="1:25" x14ac:dyDescent="0.3">
      <c r="A770" s="16">
        <v>7501836002020</v>
      </c>
      <c r="B770" s="81" t="s">
        <v>43</v>
      </c>
      <c r="C770" s="81" t="s">
        <v>769</v>
      </c>
      <c r="D770" s="81" t="s">
        <v>45</v>
      </c>
      <c r="E770" s="81" t="s">
        <v>2312</v>
      </c>
      <c r="F770" s="81" t="s">
        <v>2313</v>
      </c>
      <c r="G770" s="81" t="s">
        <v>4417</v>
      </c>
      <c r="H770" s="81" t="s">
        <v>2343</v>
      </c>
      <c r="I770" s="81" t="s">
        <v>6112</v>
      </c>
      <c r="J770" s="81" t="s">
        <v>2186</v>
      </c>
      <c r="K770" s="81" t="s">
        <v>6112</v>
      </c>
      <c r="L770" s="81" t="s">
        <v>2392</v>
      </c>
      <c r="M770" s="81" t="s">
        <v>6112</v>
      </c>
      <c r="N770" s="81" t="s">
        <v>2231</v>
      </c>
      <c r="O770" s="81" t="s">
        <v>2187</v>
      </c>
      <c r="P770" s="81" t="s">
        <v>2187</v>
      </c>
      <c r="Q770" s="81" t="s">
        <v>770</v>
      </c>
      <c r="R770" s="81" t="s">
        <v>46</v>
      </c>
      <c r="S770" s="81" t="s">
        <v>46</v>
      </c>
      <c r="T770" s="81" t="s">
        <v>48</v>
      </c>
      <c r="U770" s="81" t="s">
        <v>48</v>
      </c>
      <c r="V770" s="81" t="s">
        <v>48</v>
      </c>
      <c r="W770" s="81" t="s">
        <v>49</v>
      </c>
      <c r="X770" s="81" t="s">
        <v>48</v>
      </c>
      <c r="Y770" s="81" t="s">
        <v>48</v>
      </c>
    </row>
    <row r="771" spans="1:25" x14ac:dyDescent="0.3">
      <c r="A771" s="16">
        <v>7502216805118</v>
      </c>
      <c r="B771" s="81" t="s">
        <v>43</v>
      </c>
      <c r="C771" s="81" t="s">
        <v>771</v>
      </c>
      <c r="D771" s="81" t="s">
        <v>45</v>
      </c>
      <c r="E771" s="81" t="s">
        <v>2358</v>
      </c>
      <c r="F771" s="81" t="s">
        <v>2557</v>
      </c>
      <c r="G771" s="81" t="s">
        <v>4331</v>
      </c>
      <c r="H771" s="81" t="s">
        <v>2259</v>
      </c>
      <c r="I771" s="81" t="s">
        <v>6113</v>
      </c>
      <c r="J771" s="81" t="s">
        <v>2186</v>
      </c>
      <c r="K771" s="81" t="s">
        <v>6113</v>
      </c>
      <c r="L771" s="81" t="s">
        <v>2392</v>
      </c>
      <c r="M771" s="81" t="s">
        <v>6113</v>
      </c>
      <c r="N771" s="81" t="s">
        <v>2231</v>
      </c>
      <c r="O771" s="81" t="s">
        <v>2187</v>
      </c>
      <c r="P771" s="81" t="s">
        <v>2187</v>
      </c>
      <c r="Q771" s="81" t="s">
        <v>43</v>
      </c>
      <c r="R771" s="81" t="s">
        <v>46</v>
      </c>
      <c r="S771" s="81" t="s">
        <v>47</v>
      </c>
      <c r="T771" s="81" t="s">
        <v>48</v>
      </c>
      <c r="U771" s="81" t="s">
        <v>48</v>
      </c>
      <c r="V771" s="81" t="s">
        <v>48</v>
      </c>
      <c r="W771" s="81" t="s">
        <v>49</v>
      </c>
      <c r="X771" s="81" t="s">
        <v>48</v>
      </c>
      <c r="Y771" s="81" t="s">
        <v>48</v>
      </c>
    </row>
    <row r="772" spans="1:25" x14ac:dyDescent="0.3">
      <c r="A772" s="16">
        <v>7506452400007</v>
      </c>
      <c r="B772" s="81" t="s">
        <v>43</v>
      </c>
      <c r="C772" s="81" t="s">
        <v>772</v>
      </c>
      <c r="D772" s="81" t="s">
        <v>45</v>
      </c>
      <c r="E772" s="81" t="s">
        <v>2465</v>
      </c>
      <c r="F772" s="81" t="s">
        <v>2257</v>
      </c>
      <c r="G772" s="81" t="s">
        <v>3337</v>
      </c>
      <c r="H772" s="81" t="s">
        <v>3339</v>
      </c>
      <c r="I772" s="81" t="s">
        <v>6114</v>
      </c>
      <c r="J772" s="81" t="s">
        <v>2186</v>
      </c>
      <c r="K772" s="81" t="s">
        <v>6114</v>
      </c>
      <c r="L772" s="81" t="s">
        <v>2392</v>
      </c>
      <c r="M772" s="81" t="s">
        <v>6114</v>
      </c>
      <c r="N772" s="81" t="s">
        <v>2231</v>
      </c>
      <c r="O772" s="81" t="s">
        <v>2187</v>
      </c>
      <c r="P772" s="81" t="s">
        <v>2187</v>
      </c>
      <c r="Q772" s="81" t="s">
        <v>43</v>
      </c>
      <c r="R772" s="81" t="s">
        <v>203</v>
      </c>
      <c r="S772" s="81" t="s">
        <v>203</v>
      </c>
      <c r="T772" s="81" t="s">
        <v>48</v>
      </c>
      <c r="U772" s="81" t="s">
        <v>48</v>
      </c>
      <c r="V772" s="81" t="s">
        <v>48</v>
      </c>
      <c r="W772" s="81" t="s">
        <v>48</v>
      </c>
      <c r="X772" s="81" t="s">
        <v>48</v>
      </c>
      <c r="Y772" s="81" t="s">
        <v>49</v>
      </c>
    </row>
    <row r="773" spans="1:25" x14ac:dyDescent="0.3">
      <c r="A773" s="16">
        <v>7500462746643</v>
      </c>
      <c r="B773" s="81" t="s">
        <v>43</v>
      </c>
      <c r="C773" s="81" t="s">
        <v>773</v>
      </c>
      <c r="D773" s="81" t="s">
        <v>45</v>
      </c>
      <c r="E773" s="81" t="s">
        <v>2370</v>
      </c>
      <c r="F773" s="81" t="s">
        <v>2814</v>
      </c>
      <c r="G773" s="81" t="s">
        <v>3338</v>
      </c>
      <c r="H773" s="81" t="s">
        <v>3339</v>
      </c>
      <c r="I773" s="81" t="s">
        <v>6115</v>
      </c>
      <c r="J773" s="81" t="s">
        <v>2186</v>
      </c>
      <c r="K773" s="81" t="s">
        <v>6115</v>
      </c>
      <c r="L773" s="81" t="s">
        <v>2392</v>
      </c>
      <c r="M773" s="81" t="s">
        <v>6115</v>
      </c>
      <c r="N773" s="81" t="s">
        <v>2231</v>
      </c>
      <c r="O773" s="81" t="s">
        <v>2187</v>
      </c>
      <c r="P773" s="81" t="s">
        <v>2187</v>
      </c>
      <c r="Q773" s="81" t="s">
        <v>43</v>
      </c>
      <c r="R773" s="81" t="s">
        <v>203</v>
      </c>
      <c r="S773" s="81" t="s">
        <v>203</v>
      </c>
      <c r="T773" s="81" t="s">
        <v>48</v>
      </c>
      <c r="U773" s="81" t="s">
        <v>48</v>
      </c>
      <c r="V773" s="81" t="s">
        <v>48</v>
      </c>
      <c r="W773" s="81" t="s">
        <v>49</v>
      </c>
      <c r="X773" s="81" t="s">
        <v>48</v>
      </c>
      <c r="Y773" s="81" t="s">
        <v>49</v>
      </c>
    </row>
    <row r="774" spans="1:25" x14ac:dyDescent="0.3">
      <c r="A774" s="16">
        <v>7506452400014</v>
      </c>
      <c r="B774" s="81" t="s">
        <v>43</v>
      </c>
      <c r="C774" s="81" t="s">
        <v>774</v>
      </c>
      <c r="D774" s="81" t="s">
        <v>45</v>
      </c>
      <c r="E774" s="81" t="s">
        <v>2521</v>
      </c>
      <c r="F774" s="81" t="s">
        <v>2528</v>
      </c>
      <c r="G774" s="81" t="s">
        <v>3340</v>
      </c>
      <c r="H774" s="81" t="s">
        <v>3341</v>
      </c>
      <c r="I774" s="81" t="s">
        <v>6116</v>
      </c>
      <c r="J774" s="81" t="s">
        <v>2186</v>
      </c>
      <c r="K774" s="81" t="s">
        <v>6116</v>
      </c>
      <c r="L774" s="81" t="s">
        <v>2392</v>
      </c>
      <c r="M774" s="81" t="s">
        <v>6116</v>
      </c>
      <c r="N774" s="81" t="s">
        <v>2231</v>
      </c>
      <c r="O774" s="81" t="s">
        <v>2187</v>
      </c>
      <c r="P774" s="81" t="s">
        <v>2187</v>
      </c>
      <c r="Q774" s="81" t="s">
        <v>43</v>
      </c>
      <c r="R774" s="81" t="s">
        <v>203</v>
      </c>
      <c r="S774" s="81" t="s">
        <v>203</v>
      </c>
      <c r="T774" s="81" t="s">
        <v>48</v>
      </c>
      <c r="U774" s="81" t="s">
        <v>48</v>
      </c>
      <c r="V774" s="81" t="s">
        <v>48</v>
      </c>
      <c r="W774" s="81" t="s">
        <v>49</v>
      </c>
      <c r="X774" s="81" t="s">
        <v>48</v>
      </c>
      <c r="Y774" s="81" t="s">
        <v>49</v>
      </c>
    </row>
    <row r="775" spans="1:25" x14ac:dyDescent="0.3">
      <c r="A775" s="16">
        <v>780083140939</v>
      </c>
      <c r="B775" s="81" t="s">
        <v>43</v>
      </c>
      <c r="C775" s="81" t="s">
        <v>1971</v>
      </c>
      <c r="D775" s="81" t="s">
        <v>45</v>
      </c>
      <c r="E775" s="81" t="s">
        <v>2420</v>
      </c>
      <c r="F775" s="81" t="s">
        <v>2722</v>
      </c>
      <c r="G775" s="81" t="s">
        <v>4999</v>
      </c>
      <c r="H775" s="81" t="s">
        <v>2416</v>
      </c>
      <c r="I775" s="81" t="s">
        <v>6117</v>
      </c>
      <c r="J775" s="81" t="s">
        <v>2186</v>
      </c>
      <c r="K775" s="81" t="s">
        <v>6117</v>
      </c>
      <c r="L775" s="81" t="s">
        <v>2392</v>
      </c>
      <c r="M775" s="81" t="s">
        <v>6117</v>
      </c>
      <c r="N775" s="81" t="s">
        <v>2231</v>
      </c>
      <c r="O775" s="81" t="s">
        <v>2187</v>
      </c>
      <c r="P775" s="81" t="s">
        <v>2187</v>
      </c>
      <c r="Q775" s="81" t="s">
        <v>43</v>
      </c>
      <c r="R775" s="81" t="s">
        <v>51</v>
      </c>
      <c r="S775" s="81" t="s">
        <v>81</v>
      </c>
      <c r="T775" s="81" t="s">
        <v>49</v>
      </c>
      <c r="U775" s="81" t="s">
        <v>48</v>
      </c>
      <c r="V775" s="81" t="s">
        <v>48</v>
      </c>
      <c r="W775" s="81" t="s">
        <v>49</v>
      </c>
      <c r="X775" s="81" t="s">
        <v>48</v>
      </c>
      <c r="Y775" s="81" t="s">
        <v>48</v>
      </c>
    </row>
    <row r="776" spans="1:25" x14ac:dyDescent="0.3">
      <c r="A776" s="16">
        <v>7501033956317</v>
      </c>
      <c r="B776" s="81" t="s">
        <v>43</v>
      </c>
      <c r="C776" s="81" t="s">
        <v>2144</v>
      </c>
      <c r="D776" s="81" t="s">
        <v>45</v>
      </c>
      <c r="E776" s="81" t="s">
        <v>2471</v>
      </c>
      <c r="F776" s="81" t="s">
        <v>2472</v>
      </c>
      <c r="G776" s="81" t="s">
        <v>5115</v>
      </c>
      <c r="H776" s="81" t="s">
        <v>6118</v>
      </c>
      <c r="I776" s="81" t="s">
        <v>6119</v>
      </c>
      <c r="J776" s="81" t="s">
        <v>2186</v>
      </c>
      <c r="K776" s="81" t="s">
        <v>6119</v>
      </c>
      <c r="L776" s="81" t="s">
        <v>2392</v>
      </c>
      <c r="M776" s="81" t="s">
        <v>6119</v>
      </c>
      <c r="N776" s="81" t="s">
        <v>2231</v>
      </c>
      <c r="O776" s="81" t="s">
        <v>2187</v>
      </c>
      <c r="P776" s="81" t="s">
        <v>2187</v>
      </c>
      <c r="Q776" s="81" t="s">
        <v>43</v>
      </c>
      <c r="R776" s="81" t="s">
        <v>506</v>
      </c>
      <c r="S776" s="81" t="s">
        <v>506</v>
      </c>
      <c r="T776" s="81" t="s">
        <v>48</v>
      </c>
      <c r="U776" s="81" t="s">
        <v>48</v>
      </c>
      <c r="V776" s="81" t="s">
        <v>49</v>
      </c>
      <c r="W776" s="81" t="s">
        <v>48</v>
      </c>
      <c r="X776" s="81" t="s">
        <v>48</v>
      </c>
      <c r="Y776" s="81" t="s">
        <v>48</v>
      </c>
    </row>
    <row r="777" spans="1:25" x14ac:dyDescent="0.3">
      <c r="A777" s="16">
        <v>7502009741296</v>
      </c>
      <c r="B777" s="81" t="s">
        <v>43</v>
      </c>
      <c r="C777" s="81" t="s">
        <v>775</v>
      </c>
      <c r="D777" s="81" t="s">
        <v>45</v>
      </c>
      <c r="E777" s="81" t="s">
        <v>2494</v>
      </c>
      <c r="F777" s="81" t="s">
        <v>2495</v>
      </c>
      <c r="G777" s="81" t="s">
        <v>5342</v>
      </c>
      <c r="H777" s="81" t="s">
        <v>2415</v>
      </c>
      <c r="I777" s="81" t="s">
        <v>6120</v>
      </c>
      <c r="J777" s="81" t="s">
        <v>2186</v>
      </c>
      <c r="K777" s="81" t="s">
        <v>6120</v>
      </c>
      <c r="L777" s="81" t="s">
        <v>2392</v>
      </c>
      <c r="M777" s="81" t="s">
        <v>6120</v>
      </c>
      <c r="N777" s="81" t="s">
        <v>2231</v>
      </c>
      <c r="O777" s="81" t="s">
        <v>2187</v>
      </c>
      <c r="P777" s="81" t="s">
        <v>2187</v>
      </c>
      <c r="Q777" s="81" t="s">
        <v>43</v>
      </c>
      <c r="R777" s="81" t="s">
        <v>51</v>
      </c>
      <c r="S777" s="81" t="s">
        <v>81</v>
      </c>
      <c r="T777" s="81" t="s">
        <v>49</v>
      </c>
      <c r="U777" s="81" t="s">
        <v>48</v>
      </c>
      <c r="V777" s="81" t="s">
        <v>48</v>
      </c>
      <c r="W777" s="81" t="s">
        <v>49</v>
      </c>
      <c r="X777" s="81" t="s">
        <v>48</v>
      </c>
      <c r="Y777" s="81" t="s">
        <v>48</v>
      </c>
    </row>
    <row r="778" spans="1:25" x14ac:dyDescent="0.3">
      <c r="A778" s="16">
        <v>7501258207010</v>
      </c>
      <c r="B778" s="81" t="s">
        <v>43</v>
      </c>
      <c r="C778" s="81" t="s">
        <v>776</v>
      </c>
      <c r="D778" s="81" t="s">
        <v>45</v>
      </c>
      <c r="E778" s="81" t="s">
        <v>2378</v>
      </c>
      <c r="F778" s="81" t="s">
        <v>2634</v>
      </c>
      <c r="G778" s="81" t="s">
        <v>6121</v>
      </c>
      <c r="H778" s="81" t="s">
        <v>2279</v>
      </c>
      <c r="I778" s="81" t="s">
        <v>6122</v>
      </c>
      <c r="J778" s="81" t="s">
        <v>2186</v>
      </c>
      <c r="K778" s="81" t="s">
        <v>6122</v>
      </c>
      <c r="L778" s="81" t="s">
        <v>2392</v>
      </c>
      <c r="M778" s="81" t="s">
        <v>6122</v>
      </c>
      <c r="N778" s="81" t="s">
        <v>2231</v>
      </c>
      <c r="O778" s="81" t="s">
        <v>2187</v>
      </c>
      <c r="P778" s="81" t="s">
        <v>2187</v>
      </c>
      <c r="Q778" s="81" t="s">
        <v>43</v>
      </c>
      <c r="R778" s="81" t="s">
        <v>46</v>
      </c>
      <c r="S778" s="81" t="s">
        <v>47</v>
      </c>
      <c r="T778" s="81" t="s">
        <v>48</v>
      </c>
      <c r="U778" s="81" t="s">
        <v>48</v>
      </c>
      <c r="V778" s="81" t="s">
        <v>48</v>
      </c>
      <c r="W778" s="81" t="s">
        <v>49</v>
      </c>
      <c r="X778" s="81" t="s">
        <v>48</v>
      </c>
      <c r="Y778" s="81" t="s">
        <v>48</v>
      </c>
    </row>
    <row r="779" spans="1:25" x14ac:dyDescent="0.3">
      <c r="A779" s="16">
        <v>7501075724684</v>
      </c>
      <c r="B779" s="81" t="s">
        <v>43</v>
      </c>
      <c r="C779" s="81" t="s">
        <v>777</v>
      </c>
      <c r="D779" s="81" t="s">
        <v>45</v>
      </c>
      <c r="E779" s="81" t="s">
        <v>2457</v>
      </c>
      <c r="F779" s="81" t="s">
        <v>2645</v>
      </c>
      <c r="G779" s="81" t="s">
        <v>3343</v>
      </c>
      <c r="H779" s="81" t="s">
        <v>2743</v>
      </c>
      <c r="I779" s="81" t="s">
        <v>6123</v>
      </c>
      <c r="J779" s="81" t="s">
        <v>2186</v>
      </c>
      <c r="K779" s="81" t="s">
        <v>6123</v>
      </c>
      <c r="L779" s="81" t="s">
        <v>2392</v>
      </c>
      <c r="M779" s="81" t="s">
        <v>6123</v>
      </c>
      <c r="N779" s="81" t="s">
        <v>2231</v>
      </c>
      <c r="O779" s="81" t="s">
        <v>2187</v>
      </c>
      <c r="P779" s="81" t="s">
        <v>2187</v>
      </c>
      <c r="Q779" s="81" t="s">
        <v>43</v>
      </c>
      <c r="R779" s="81" t="s">
        <v>46</v>
      </c>
      <c r="S779" s="81" t="s">
        <v>47</v>
      </c>
      <c r="T779" s="81" t="s">
        <v>48</v>
      </c>
      <c r="U779" s="81" t="s">
        <v>48</v>
      </c>
      <c r="V779" s="81" t="s">
        <v>48</v>
      </c>
      <c r="W779" s="81" t="s">
        <v>49</v>
      </c>
      <c r="X779" s="81" t="s">
        <v>48</v>
      </c>
      <c r="Y779" s="81" t="s">
        <v>48</v>
      </c>
    </row>
    <row r="780" spans="1:25" x14ac:dyDescent="0.3">
      <c r="A780" s="16">
        <v>7501258208000</v>
      </c>
      <c r="B780" s="81" t="s">
        <v>43</v>
      </c>
      <c r="C780" s="81" t="s">
        <v>778</v>
      </c>
      <c r="D780" s="81" t="s">
        <v>45</v>
      </c>
      <c r="E780" s="81" t="s">
        <v>2298</v>
      </c>
      <c r="F780" s="81" t="s">
        <v>2262</v>
      </c>
      <c r="G780" s="81" t="s">
        <v>3344</v>
      </c>
      <c r="H780" s="81" t="s">
        <v>6124</v>
      </c>
      <c r="I780" s="81" t="s">
        <v>6125</v>
      </c>
      <c r="J780" s="81" t="s">
        <v>2186</v>
      </c>
      <c r="K780" s="81" t="s">
        <v>6125</v>
      </c>
      <c r="L780" s="81" t="s">
        <v>2392</v>
      </c>
      <c r="M780" s="81" t="s">
        <v>6125</v>
      </c>
      <c r="N780" s="81" t="s">
        <v>2231</v>
      </c>
      <c r="O780" s="81" t="s">
        <v>2187</v>
      </c>
      <c r="P780" s="81" t="s">
        <v>2187</v>
      </c>
      <c r="Q780" s="81" t="s">
        <v>43</v>
      </c>
      <c r="R780" s="81" t="s">
        <v>46</v>
      </c>
      <c r="S780" s="81" t="s">
        <v>47</v>
      </c>
      <c r="T780" s="81" t="s">
        <v>48</v>
      </c>
      <c r="U780" s="81" t="s">
        <v>48</v>
      </c>
      <c r="V780" s="81" t="s">
        <v>48</v>
      </c>
      <c r="W780" s="81" t="s">
        <v>49</v>
      </c>
      <c r="X780" s="81" t="s">
        <v>48</v>
      </c>
      <c r="Y780" s="81" t="s">
        <v>48</v>
      </c>
    </row>
    <row r="781" spans="1:25" x14ac:dyDescent="0.3">
      <c r="A781" s="16">
        <v>729513107883</v>
      </c>
      <c r="B781" s="81" t="s">
        <v>43</v>
      </c>
      <c r="C781" s="81" t="s">
        <v>2145</v>
      </c>
      <c r="D781" s="81" t="s">
        <v>45</v>
      </c>
      <c r="E781" s="81" t="s">
        <v>2412</v>
      </c>
      <c r="F781" s="81" t="s">
        <v>2412</v>
      </c>
      <c r="G781" s="81" t="s">
        <v>3345</v>
      </c>
      <c r="H781" s="81" t="s">
        <v>3346</v>
      </c>
      <c r="I781" s="81" t="s">
        <v>6126</v>
      </c>
      <c r="J781" s="81" t="s">
        <v>2186</v>
      </c>
      <c r="K781" s="81" t="s">
        <v>6126</v>
      </c>
      <c r="L781" s="81" t="s">
        <v>2392</v>
      </c>
      <c r="M781" s="81" t="s">
        <v>6126</v>
      </c>
      <c r="N781" s="81" t="s">
        <v>2231</v>
      </c>
      <c r="O781" s="81" t="s">
        <v>2187</v>
      </c>
      <c r="P781" s="81" t="s">
        <v>2187</v>
      </c>
      <c r="Q781" s="81" t="s">
        <v>43</v>
      </c>
      <c r="R781" s="81" t="s">
        <v>122</v>
      </c>
      <c r="S781" s="81" t="s">
        <v>123</v>
      </c>
      <c r="T781" s="81" t="s">
        <v>48</v>
      </c>
      <c r="U781" s="81" t="s">
        <v>48</v>
      </c>
      <c r="V781" s="81" t="s">
        <v>49</v>
      </c>
      <c r="W781" s="81" t="s">
        <v>48</v>
      </c>
      <c r="X781" s="81" t="s">
        <v>48</v>
      </c>
      <c r="Y781" s="81" t="s">
        <v>48</v>
      </c>
    </row>
    <row r="782" spans="1:25" x14ac:dyDescent="0.3">
      <c r="A782" s="16">
        <v>729513107906</v>
      </c>
      <c r="B782" s="81" t="s">
        <v>43</v>
      </c>
      <c r="C782" s="81" t="s">
        <v>2146</v>
      </c>
      <c r="D782" s="81" t="s">
        <v>45</v>
      </c>
      <c r="E782" s="81" t="s">
        <v>2227</v>
      </c>
      <c r="F782" s="81" t="s">
        <v>2227</v>
      </c>
      <c r="G782" s="81" t="s">
        <v>5216</v>
      </c>
      <c r="H782" s="81" t="s">
        <v>3247</v>
      </c>
      <c r="I782" s="81" t="s">
        <v>3047</v>
      </c>
      <c r="J782" s="81" t="s">
        <v>2186</v>
      </c>
      <c r="K782" s="81" t="s">
        <v>3347</v>
      </c>
      <c r="L782" s="81" t="s">
        <v>2392</v>
      </c>
      <c r="M782" s="81" t="s">
        <v>2376</v>
      </c>
      <c r="N782" s="81" t="s">
        <v>2231</v>
      </c>
      <c r="O782" s="81" t="s">
        <v>2187</v>
      </c>
      <c r="P782" s="81" t="s">
        <v>2187</v>
      </c>
      <c r="Q782" s="81" t="s">
        <v>43</v>
      </c>
      <c r="R782" s="81" t="s">
        <v>122</v>
      </c>
      <c r="S782" s="81" t="s">
        <v>123</v>
      </c>
      <c r="T782" s="81" t="s">
        <v>48</v>
      </c>
      <c r="U782" s="81" t="s">
        <v>48</v>
      </c>
      <c r="V782" s="81" t="s">
        <v>49</v>
      </c>
      <c r="W782" s="81" t="s">
        <v>48</v>
      </c>
      <c r="X782" s="81" t="s">
        <v>48</v>
      </c>
      <c r="Y782" s="81" t="s">
        <v>48</v>
      </c>
    </row>
    <row r="783" spans="1:25" x14ac:dyDescent="0.3">
      <c r="A783" s="16">
        <v>729513107944</v>
      </c>
      <c r="B783" s="81" t="s">
        <v>43</v>
      </c>
      <c r="C783" s="81" t="s">
        <v>3348</v>
      </c>
      <c r="D783" s="81" t="s">
        <v>45</v>
      </c>
      <c r="E783" s="81" t="s">
        <v>2227</v>
      </c>
      <c r="F783" s="81" t="s">
        <v>2227</v>
      </c>
      <c r="G783" s="81" t="s">
        <v>3349</v>
      </c>
      <c r="H783" s="81" t="s">
        <v>3350</v>
      </c>
      <c r="I783" s="81" t="s">
        <v>6127</v>
      </c>
      <c r="J783" s="81" t="s">
        <v>2186</v>
      </c>
      <c r="K783" s="81" t="s">
        <v>6127</v>
      </c>
      <c r="L783" s="81" t="s">
        <v>2392</v>
      </c>
      <c r="M783" s="81" t="s">
        <v>6127</v>
      </c>
      <c r="N783" s="81" t="s">
        <v>2231</v>
      </c>
      <c r="O783" s="81" t="s">
        <v>2187</v>
      </c>
      <c r="P783" s="81" t="s">
        <v>2187</v>
      </c>
      <c r="Q783" s="81" t="s">
        <v>43</v>
      </c>
      <c r="R783" s="81" t="s">
        <v>122</v>
      </c>
      <c r="S783" s="81" t="s">
        <v>123</v>
      </c>
      <c r="T783" s="81" t="s">
        <v>48</v>
      </c>
      <c r="U783" s="81" t="s">
        <v>48</v>
      </c>
      <c r="V783" s="81" t="s">
        <v>49</v>
      </c>
      <c r="W783" s="81" t="s">
        <v>48</v>
      </c>
      <c r="X783" s="81" t="s">
        <v>48</v>
      </c>
      <c r="Y783" s="81" t="s">
        <v>48</v>
      </c>
    </row>
    <row r="784" spans="1:25" x14ac:dyDescent="0.3">
      <c r="A784" s="16" t="s">
        <v>779</v>
      </c>
      <c r="B784" s="81" t="s">
        <v>43</v>
      </c>
      <c r="C784" s="81" t="s">
        <v>780</v>
      </c>
      <c r="D784" s="81" t="s">
        <v>45</v>
      </c>
      <c r="E784" s="81" t="s">
        <v>2431</v>
      </c>
      <c r="F784" s="81" t="s">
        <v>2432</v>
      </c>
      <c r="G784" s="81" t="s">
        <v>2411</v>
      </c>
      <c r="H784" s="81" t="s">
        <v>2270</v>
      </c>
      <c r="I784" s="81" t="s">
        <v>6128</v>
      </c>
      <c r="J784" s="81" t="s">
        <v>2186</v>
      </c>
      <c r="K784" s="81" t="s">
        <v>6128</v>
      </c>
      <c r="L784" s="81" t="s">
        <v>2392</v>
      </c>
      <c r="M784" s="81" t="s">
        <v>6128</v>
      </c>
      <c r="N784" s="81" t="s">
        <v>2231</v>
      </c>
      <c r="O784" s="81" t="s">
        <v>2187</v>
      </c>
      <c r="P784" s="81" t="s">
        <v>2187</v>
      </c>
      <c r="Q784" s="81" t="s">
        <v>781</v>
      </c>
      <c r="R784" s="81" t="s">
        <v>46</v>
      </c>
      <c r="S784" s="81" t="s">
        <v>46</v>
      </c>
      <c r="T784" s="81" t="s">
        <v>48</v>
      </c>
      <c r="U784" s="81" t="s">
        <v>48</v>
      </c>
      <c r="V784" s="81" t="s">
        <v>48</v>
      </c>
      <c r="W784" s="81" t="s">
        <v>49</v>
      </c>
      <c r="X784" s="81" t="s">
        <v>48</v>
      </c>
      <c r="Y784" s="81" t="s">
        <v>48</v>
      </c>
    </row>
    <row r="785" spans="1:25" x14ac:dyDescent="0.3">
      <c r="A785" s="16">
        <v>7501547522145</v>
      </c>
      <c r="B785" s="81" t="s">
        <v>43</v>
      </c>
      <c r="C785" s="81" t="s">
        <v>1972</v>
      </c>
      <c r="D785" s="81" t="s">
        <v>45</v>
      </c>
      <c r="E785" s="81" t="s">
        <v>2283</v>
      </c>
      <c r="F785" s="81" t="s">
        <v>2510</v>
      </c>
      <c r="G785" s="81" t="s">
        <v>2500</v>
      </c>
      <c r="H785" s="81" t="s">
        <v>2209</v>
      </c>
      <c r="I785" s="81" t="s">
        <v>5562</v>
      </c>
      <c r="J785" s="81" t="s">
        <v>2186</v>
      </c>
      <c r="K785" s="81" t="s">
        <v>5562</v>
      </c>
      <c r="L785" s="81" t="s">
        <v>2392</v>
      </c>
      <c r="M785" s="81" t="s">
        <v>5562</v>
      </c>
      <c r="N785" s="81" t="s">
        <v>2231</v>
      </c>
      <c r="O785" s="81" t="s">
        <v>2187</v>
      </c>
      <c r="P785" s="81" t="s">
        <v>2187</v>
      </c>
      <c r="Q785" s="81" t="s">
        <v>43</v>
      </c>
      <c r="R785" s="81" t="s">
        <v>46</v>
      </c>
      <c r="S785" s="81" t="s">
        <v>47</v>
      </c>
      <c r="T785" s="81" t="s">
        <v>48</v>
      </c>
      <c r="U785" s="81" t="s">
        <v>48</v>
      </c>
      <c r="V785" s="81" t="s">
        <v>48</v>
      </c>
      <c r="W785" s="81" t="s">
        <v>49</v>
      </c>
      <c r="X785" s="81" t="s">
        <v>48</v>
      </c>
      <c r="Y785" s="81" t="s">
        <v>48</v>
      </c>
    </row>
    <row r="786" spans="1:25" x14ac:dyDescent="0.3">
      <c r="A786" s="16">
        <v>7501573901105</v>
      </c>
      <c r="B786" s="81" t="s">
        <v>43</v>
      </c>
      <c r="C786" s="81" t="s">
        <v>782</v>
      </c>
      <c r="D786" s="81" t="s">
        <v>45</v>
      </c>
      <c r="E786" s="81" t="s">
        <v>2180</v>
      </c>
      <c r="F786" s="81" t="s">
        <v>2298</v>
      </c>
      <c r="G786" s="81" t="s">
        <v>3351</v>
      </c>
      <c r="H786" s="81" t="s">
        <v>6129</v>
      </c>
      <c r="I786" s="81" t="s">
        <v>6130</v>
      </c>
      <c r="J786" s="81" t="s">
        <v>2186</v>
      </c>
      <c r="K786" s="81" t="s">
        <v>6130</v>
      </c>
      <c r="L786" s="81" t="s">
        <v>2392</v>
      </c>
      <c r="M786" s="81" t="s">
        <v>6130</v>
      </c>
      <c r="N786" s="81" t="s">
        <v>2231</v>
      </c>
      <c r="O786" s="81" t="s">
        <v>2187</v>
      </c>
      <c r="P786" s="81" t="s">
        <v>2187</v>
      </c>
      <c r="Q786" s="81" t="s">
        <v>783</v>
      </c>
      <c r="R786" s="81" t="s">
        <v>46</v>
      </c>
      <c r="S786" s="81" t="s">
        <v>46</v>
      </c>
      <c r="T786" s="81" t="s">
        <v>48</v>
      </c>
      <c r="U786" s="81" t="s">
        <v>48</v>
      </c>
      <c r="V786" s="81" t="s">
        <v>48</v>
      </c>
      <c r="W786" s="81" t="s">
        <v>49</v>
      </c>
      <c r="X786" s="81" t="s">
        <v>48</v>
      </c>
      <c r="Y786" s="81" t="s">
        <v>48</v>
      </c>
    </row>
    <row r="787" spans="1:25" x14ac:dyDescent="0.3">
      <c r="A787" s="16">
        <v>7501537161118</v>
      </c>
      <c r="B787" s="81" t="s">
        <v>43</v>
      </c>
      <c r="C787" s="81" t="s">
        <v>1729</v>
      </c>
      <c r="D787" s="81" t="s">
        <v>45</v>
      </c>
      <c r="E787" s="81" t="s">
        <v>2227</v>
      </c>
      <c r="F787" s="81" t="s">
        <v>2227</v>
      </c>
      <c r="G787" s="81" t="s">
        <v>4425</v>
      </c>
      <c r="H787" s="81" t="s">
        <v>2381</v>
      </c>
      <c r="I787" s="81" t="s">
        <v>6131</v>
      </c>
      <c r="J787" s="81" t="s">
        <v>2186</v>
      </c>
      <c r="K787" s="81" t="s">
        <v>6131</v>
      </c>
      <c r="L787" s="81" t="s">
        <v>2392</v>
      </c>
      <c r="M787" s="81" t="s">
        <v>6131</v>
      </c>
      <c r="N787" s="81" t="s">
        <v>2231</v>
      </c>
      <c r="O787" s="81" t="s">
        <v>2187</v>
      </c>
      <c r="P787" s="81" t="s">
        <v>2187</v>
      </c>
      <c r="Q787" s="81" t="s">
        <v>1730</v>
      </c>
      <c r="R787" s="81" t="s">
        <v>46</v>
      </c>
      <c r="S787" s="81" t="s">
        <v>46</v>
      </c>
      <c r="T787" s="81" t="s">
        <v>48</v>
      </c>
      <c r="U787" s="81" t="s">
        <v>48</v>
      </c>
      <c r="V787" s="81" t="s">
        <v>48</v>
      </c>
      <c r="W787" s="81" t="s">
        <v>49</v>
      </c>
      <c r="X787" s="81" t="s">
        <v>48</v>
      </c>
      <c r="Y787" s="81" t="s">
        <v>48</v>
      </c>
    </row>
    <row r="788" spans="1:25" x14ac:dyDescent="0.3">
      <c r="A788" s="16">
        <v>110</v>
      </c>
      <c r="B788" s="81" t="s">
        <v>43</v>
      </c>
      <c r="C788" s="81" t="s">
        <v>784</v>
      </c>
      <c r="D788" s="81" t="s">
        <v>45</v>
      </c>
      <c r="E788" s="81" t="s">
        <v>2227</v>
      </c>
      <c r="F788" s="81" t="s">
        <v>2227</v>
      </c>
      <c r="G788" s="81" t="s">
        <v>3072</v>
      </c>
      <c r="H788" s="81" t="s">
        <v>5947</v>
      </c>
      <c r="I788" s="81" t="s">
        <v>5948</v>
      </c>
      <c r="J788" s="81" t="s">
        <v>2186</v>
      </c>
      <c r="K788" s="81" t="s">
        <v>5948</v>
      </c>
      <c r="L788" s="81" t="s">
        <v>2392</v>
      </c>
      <c r="M788" s="81" t="s">
        <v>5948</v>
      </c>
      <c r="N788" s="81" t="s">
        <v>2231</v>
      </c>
      <c r="O788" s="81" t="s">
        <v>2187</v>
      </c>
      <c r="P788" s="81" t="s">
        <v>2187</v>
      </c>
      <c r="Q788" s="81" t="s">
        <v>43</v>
      </c>
      <c r="R788" s="81" t="s">
        <v>122</v>
      </c>
      <c r="S788" s="81" t="s">
        <v>123</v>
      </c>
      <c r="T788" s="81" t="s">
        <v>48</v>
      </c>
      <c r="U788" s="81" t="s">
        <v>48</v>
      </c>
      <c r="V788" s="81" t="s">
        <v>49</v>
      </c>
      <c r="W788" s="81" t="s">
        <v>48</v>
      </c>
      <c r="X788" s="81" t="s">
        <v>48</v>
      </c>
      <c r="Y788" s="81" t="s">
        <v>48</v>
      </c>
    </row>
    <row r="789" spans="1:25" x14ac:dyDescent="0.3">
      <c r="A789" s="16">
        <v>7501672690948</v>
      </c>
      <c r="B789" s="81" t="s">
        <v>43</v>
      </c>
      <c r="C789" s="81" t="s">
        <v>3352</v>
      </c>
      <c r="D789" s="81" t="s">
        <v>45</v>
      </c>
      <c r="E789" s="81" t="s">
        <v>2180</v>
      </c>
      <c r="F789" s="81" t="s">
        <v>2363</v>
      </c>
      <c r="G789" s="81" t="s">
        <v>4953</v>
      </c>
      <c r="H789" s="81" t="s">
        <v>2213</v>
      </c>
      <c r="I789" s="81" t="s">
        <v>5712</v>
      </c>
      <c r="J789" s="81" t="s">
        <v>2186</v>
      </c>
      <c r="K789" s="81" t="s">
        <v>5712</v>
      </c>
      <c r="L789" s="81" t="s">
        <v>2392</v>
      </c>
      <c r="M789" s="81" t="s">
        <v>5712</v>
      </c>
      <c r="N789" s="81" t="s">
        <v>2231</v>
      </c>
      <c r="O789" s="81" t="s">
        <v>2187</v>
      </c>
      <c r="P789" s="81" t="s">
        <v>2187</v>
      </c>
      <c r="Q789" s="81" t="s">
        <v>785</v>
      </c>
      <c r="R789" s="81" t="s">
        <v>46</v>
      </c>
      <c r="S789" s="81" t="s">
        <v>164</v>
      </c>
      <c r="T789" s="81" t="s">
        <v>48</v>
      </c>
      <c r="U789" s="81" t="s">
        <v>48</v>
      </c>
      <c r="V789" s="81" t="s">
        <v>48</v>
      </c>
      <c r="W789" s="81" t="s">
        <v>49</v>
      </c>
      <c r="X789" s="81" t="s">
        <v>48</v>
      </c>
      <c r="Y789" s="81" t="s">
        <v>48</v>
      </c>
    </row>
    <row r="790" spans="1:25" x14ac:dyDescent="0.3">
      <c r="A790" s="16">
        <v>7503027446248</v>
      </c>
      <c r="B790" s="81" t="s">
        <v>43</v>
      </c>
      <c r="C790" s="81" t="s">
        <v>786</v>
      </c>
      <c r="D790" s="81" t="s">
        <v>45</v>
      </c>
      <c r="E790" s="81" t="s">
        <v>2304</v>
      </c>
      <c r="F790" s="81" t="s">
        <v>2435</v>
      </c>
      <c r="G790" s="81" t="s">
        <v>4456</v>
      </c>
      <c r="H790" s="81" t="s">
        <v>3010</v>
      </c>
      <c r="I790" s="81" t="s">
        <v>6132</v>
      </c>
      <c r="J790" s="81" t="s">
        <v>2186</v>
      </c>
      <c r="K790" s="81" t="s">
        <v>6132</v>
      </c>
      <c r="L790" s="81" t="s">
        <v>2392</v>
      </c>
      <c r="M790" s="81" t="s">
        <v>6132</v>
      </c>
      <c r="N790" s="81" t="s">
        <v>2231</v>
      </c>
      <c r="O790" s="81" t="s">
        <v>2187</v>
      </c>
      <c r="P790" s="81" t="s">
        <v>2187</v>
      </c>
      <c r="Q790" s="81" t="s">
        <v>787</v>
      </c>
      <c r="R790" s="81" t="s">
        <v>46</v>
      </c>
      <c r="S790" s="81" t="s">
        <v>46</v>
      </c>
      <c r="T790" s="81" t="s">
        <v>48</v>
      </c>
      <c r="U790" s="81" t="s">
        <v>48</v>
      </c>
      <c r="V790" s="81" t="s">
        <v>48</v>
      </c>
      <c r="W790" s="81" t="s">
        <v>49</v>
      </c>
      <c r="X790" s="81" t="s">
        <v>48</v>
      </c>
      <c r="Y790" s="81" t="s">
        <v>48</v>
      </c>
    </row>
    <row r="791" spans="1:25" x14ac:dyDescent="0.3">
      <c r="A791" s="16">
        <v>7509546058955</v>
      </c>
      <c r="B791" s="81" t="s">
        <v>43</v>
      </c>
      <c r="C791" s="81" t="s">
        <v>3353</v>
      </c>
      <c r="D791" s="81" t="s">
        <v>45</v>
      </c>
      <c r="E791" s="81" t="s">
        <v>2368</v>
      </c>
      <c r="F791" s="81" t="s">
        <v>2308</v>
      </c>
      <c r="G791" s="81" t="s">
        <v>6133</v>
      </c>
      <c r="H791" s="81" t="s">
        <v>3159</v>
      </c>
      <c r="I791" s="81" t="s">
        <v>6134</v>
      </c>
      <c r="J791" s="81" t="s">
        <v>2186</v>
      </c>
      <c r="K791" s="81" t="s">
        <v>6134</v>
      </c>
      <c r="L791" s="81" t="s">
        <v>2392</v>
      </c>
      <c r="M791" s="81" t="s">
        <v>6134</v>
      </c>
      <c r="N791" s="81" t="s">
        <v>2231</v>
      </c>
      <c r="O791" s="81" t="s">
        <v>2187</v>
      </c>
      <c r="P791" s="81" t="s">
        <v>2187</v>
      </c>
      <c r="Q791" s="81" t="s">
        <v>43</v>
      </c>
      <c r="R791" s="81" t="s">
        <v>524</v>
      </c>
      <c r="S791" s="81" t="s">
        <v>525</v>
      </c>
      <c r="T791" s="81" t="s">
        <v>48</v>
      </c>
      <c r="U791" s="81" t="s">
        <v>48</v>
      </c>
      <c r="V791" s="81" t="s">
        <v>49</v>
      </c>
      <c r="W791" s="81" t="s">
        <v>48</v>
      </c>
      <c r="X791" s="81" t="s">
        <v>48</v>
      </c>
      <c r="Y791" s="81" t="s">
        <v>48</v>
      </c>
    </row>
    <row r="792" spans="1:25" x14ac:dyDescent="0.3">
      <c r="A792" s="16">
        <v>7506335703416</v>
      </c>
      <c r="B792" s="81" t="s">
        <v>43</v>
      </c>
      <c r="C792" s="81" t="s">
        <v>788</v>
      </c>
      <c r="D792" s="81" t="s">
        <v>45</v>
      </c>
      <c r="E792" s="81" t="s">
        <v>2620</v>
      </c>
      <c r="F792" s="81" t="s">
        <v>2780</v>
      </c>
      <c r="G792" s="81" t="s">
        <v>5400</v>
      </c>
      <c r="H792" s="81" t="s">
        <v>3356</v>
      </c>
      <c r="I792" s="81" t="s">
        <v>6135</v>
      </c>
      <c r="J792" s="81" t="s">
        <v>2186</v>
      </c>
      <c r="K792" s="81" t="s">
        <v>6135</v>
      </c>
      <c r="L792" s="81" t="s">
        <v>2392</v>
      </c>
      <c r="M792" s="81" t="s">
        <v>6135</v>
      </c>
      <c r="N792" s="81" t="s">
        <v>2231</v>
      </c>
      <c r="O792" s="81" t="s">
        <v>2187</v>
      </c>
      <c r="P792" s="81" t="s">
        <v>2187</v>
      </c>
      <c r="Q792" s="81" t="s">
        <v>789</v>
      </c>
      <c r="R792" s="81" t="s">
        <v>46</v>
      </c>
      <c r="S792" s="81" t="s">
        <v>47</v>
      </c>
      <c r="T792" s="81" t="s">
        <v>48</v>
      </c>
      <c r="U792" s="81" t="s">
        <v>48</v>
      </c>
      <c r="V792" s="81" t="s">
        <v>48</v>
      </c>
      <c r="W792" s="81" t="s">
        <v>49</v>
      </c>
      <c r="X792" s="81" t="s">
        <v>48</v>
      </c>
      <c r="Y792" s="81" t="s">
        <v>48</v>
      </c>
    </row>
    <row r="793" spans="1:25" x14ac:dyDescent="0.3">
      <c r="A793" s="16">
        <v>7509546058986</v>
      </c>
      <c r="B793" s="81" t="s">
        <v>43</v>
      </c>
      <c r="C793" s="81" t="s">
        <v>790</v>
      </c>
      <c r="D793" s="81" t="s">
        <v>45</v>
      </c>
      <c r="E793" s="81" t="s">
        <v>2227</v>
      </c>
      <c r="F793" s="81" t="s">
        <v>2227</v>
      </c>
      <c r="G793" s="81" t="s">
        <v>4414</v>
      </c>
      <c r="H793" s="81" t="s">
        <v>3160</v>
      </c>
      <c r="I793" s="81" t="s">
        <v>5265</v>
      </c>
      <c r="J793" s="81" t="s">
        <v>2186</v>
      </c>
      <c r="K793" s="81" t="s">
        <v>5265</v>
      </c>
      <c r="L793" s="81" t="s">
        <v>2392</v>
      </c>
      <c r="M793" s="81" t="s">
        <v>5265</v>
      </c>
      <c r="N793" s="81" t="s">
        <v>2231</v>
      </c>
      <c r="O793" s="81" t="s">
        <v>2187</v>
      </c>
      <c r="P793" s="81" t="s">
        <v>2187</v>
      </c>
      <c r="Q793" s="81" t="s">
        <v>43</v>
      </c>
      <c r="R793" s="81" t="s">
        <v>524</v>
      </c>
      <c r="S793" s="81" t="s">
        <v>525</v>
      </c>
      <c r="T793" s="81" t="s">
        <v>48</v>
      </c>
      <c r="U793" s="81" t="s">
        <v>48</v>
      </c>
      <c r="V793" s="81" t="s">
        <v>49</v>
      </c>
      <c r="W793" s="81" t="s">
        <v>48</v>
      </c>
      <c r="X793" s="81" t="s">
        <v>48</v>
      </c>
      <c r="Y793" s="81" t="s">
        <v>48</v>
      </c>
    </row>
    <row r="794" spans="1:25" x14ac:dyDescent="0.3">
      <c r="A794" s="16">
        <v>7501384546809</v>
      </c>
      <c r="B794" s="81" t="s">
        <v>43</v>
      </c>
      <c r="C794" s="81" t="s">
        <v>791</v>
      </c>
      <c r="D794" s="81" t="s">
        <v>45</v>
      </c>
      <c r="E794" s="81" t="s">
        <v>2179</v>
      </c>
      <c r="F794" s="81" t="s">
        <v>2704</v>
      </c>
      <c r="G794" s="81" t="s">
        <v>3358</v>
      </c>
      <c r="H794" s="81" t="s">
        <v>2391</v>
      </c>
      <c r="I794" s="81" t="s">
        <v>6136</v>
      </c>
      <c r="J794" s="81" t="s">
        <v>2186</v>
      </c>
      <c r="K794" s="81" t="s">
        <v>6136</v>
      </c>
      <c r="L794" s="81" t="s">
        <v>2392</v>
      </c>
      <c r="M794" s="81" t="s">
        <v>6136</v>
      </c>
      <c r="N794" s="81" t="s">
        <v>2231</v>
      </c>
      <c r="O794" s="81" t="s">
        <v>2187</v>
      </c>
      <c r="P794" s="81" t="s">
        <v>2187</v>
      </c>
      <c r="Q794" s="81" t="s">
        <v>792</v>
      </c>
      <c r="R794" s="81" t="s">
        <v>46</v>
      </c>
      <c r="S794" s="81" t="s">
        <v>47</v>
      </c>
      <c r="T794" s="81" t="s">
        <v>48</v>
      </c>
      <c r="U794" s="81" t="s">
        <v>48</v>
      </c>
      <c r="V794" s="81" t="s">
        <v>48</v>
      </c>
      <c r="W794" s="81" t="s">
        <v>49</v>
      </c>
      <c r="X794" s="81" t="s">
        <v>48</v>
      </c>
      <c r="Y794" s="81" t="s">
        <v>48</v>
      </c>
    </row>
    <row r="795" spans="1:25" x14ac:dyDescent="0.3">
      <c r="A795" s="16">
        <v>7501825300274</v>
      </c>
      <c r="B795" s="81" t="s">
        <v>43</v>
      </c>
      <c r="C795" s="81" t="s">
        <v>1973</v>
      </c>
      <c r="D795" s="81" t="s">
        <v>45</v>
      </c>
      <c r="E795" s="81" t="s">
        <v>2833</v>
      </c>
      <c r="F795" s="81" t="s">
        <v>3359</v>
      </c>
      <c r="G795" s="81" t="s">
        <v>5496</v>
      </c>
      <c r="H795" s="81" t="s">
        <v>2230</v>
      </c>
      <c r="I795" s="81" t="s">
        <v>2394</v>
      </c>
      <c r="J795" s="81" t="s">
        <v>2186</v>
      </c>
      <c r="K795" s="81" t="s">
        <v>2394</v>
      </c>
      <c r="L795" s="81" t="s">
        <v>2392</v>
      </c>
      <c r="M795" s="81" t="s">
        <v>2394</v>
      </c>
      <c r="N795" s="81" t="s">
        <v>2231</v>
      </c>
      <c r="O795" s="81" t="s">
        <v>2187</v>
      </c>
      <c r="P795" s="81" t="s">
        <v>2187</v>
      </c>
      <c r="Q795" s="81" t="s">
        <v>43</v>
      </c>
      <c r="R795" s="81" t="s">
        <v>46</v>
      </c>
      <c r="S795" s="81" t="s">
        <v>164</v>
      </c>
      <c r="T795" s="81" t="s">
        <v>48</v>
      </c>
      <c r="U795" s="81" t="s">
        <v>48</v>
      </c>
      <c r="V795" s="81" t="s">
        <v>48</v>
      </c>
      <c r="W795" s="81" t="s">
        <v>49</v>
      </c>
      <c r="X795" s="81" t="s">
        <v>48</v>
      </c>
      <c r="Y795" s="81" t="s">
        <v>48</v>
      </c>
    </row>
    <row r="796" spans="1:25" x14ac:dyDescent="0.3">
      <c r="A796" s="16">
        <v>656599040226</v>
      </c>
      <c r="B796" s="81" t="s">
        <v>43</v>
      </c>
      <c r="C796" s="81" t="s">
        <v>1974</v>
      </c>
      <c r="D796" s="81" t="s">
        <v>45</v>
      </c>
      <c r="E796" s="81" t="s">
        <v>2227</v>
      </c>
      <c r="F796" s="81" t="s">
        <v>2227</v>
      </c>
      <c r="G796" s="81" t="s">
        <v>2451</v>
      </c>
      <c r="H796" s="81" t="s">
        <v>2209</v>
      </c>
      <c r="I796" s="81" t="s">
        <v>5558</v>
      </c>
      <c r="J796" s="81" t="s">
        <v>2186</v>
      </c>
      <c r="K796" s="81" t="s">
        <v>5558</v>
      </c>
      <c r="L796" s="81" t="s">
        <v>2392</v>
      </c>
      <c r="M796" s="81" t="s">
        <v>5558</v>
      </c>
      <c r="N796" s="81" t="s">
        <v>2231</v>
      </c>
      <c r="O796" s="81" t="s">
        <v>2187</v>
      </c>
      <c r="P796" s="81" t="s">
        <v>2187</v>
      </c>
      <c r="Q796" s="81" t="s">
        <v>43</v>
      </c>
      <c r="R796" s="81" t="s">
        <v>46</v>
      </c>
      <c r="S796" s="81" t="s">
        <v>46</v>
      </c>
      <c r="T796" s="81" t="s">
        <v>48</v>
      </c>
      <c r="U796" s="81" t="s">
        <v>48</v>
      </c>
      <c r="V796" s="81" t="s">
        <v>48</v>
      </c>
      <c r="W796" s="81" t="s">
        <v>49</v>
      </c>
      <c r="X796" s="81" t="s">
        <v>48</v>
      </c>
      <c r="Y796" s="81" t="s">
        <v>48</v>
      </c>
    </row>
    <row r="797" spans="1:25" x14ac:dyDescent="0.3">
      <c r="A797" s="16">
        <v>7501384545574</v>
      </c>
      <c r="B797" s="81" t="s">
        <v>43</v>
      </c>
      <c r="C797" s="81" t="s">
        <v>793</v>
      </c>
      <c r="D797" s="81" t="s">
        <v>45</v>
      </c>
      <c r="E797" s="81" t="s">
        <v>2294</v>
      </c>
      <c r="F797" s="81" t="s">
        <v>2490</v>
      </c>
      <c r="G797" s="81" t="s">
        <v>3360</v>
      </c>
      <c r="H797" s="81" t="s">
        <v>5259</v>
      </c>
      <c r="I797" s="81" t="s">
        <v>6137</v>
      </c>
      <c r="J797" s="81" t="s">
        <v>2186</v>
      </c>
      <c r="K797" s="81" t="s">
        <v>6137</v>
      </c>
      <c r="L797" s="81" t="s">
        <v>2392</v>
      </c>
      <c r="M797" s="81" t="s">
        <v>6137</v>
      </c>
      <c r="N797" s="81" t="s">
        <v>2231</v>
      </c>
      <c r="O797" s="81" t="s">
        <v>2187</v>
      </c>
      <c r="P797" s="81" t="s">
        <v>2187</v>
      </c>
      <c r="Q797" s="81" t="s">
        <v>43</v>
      </c>
      <c r="R797" s="81" t="s">
        <v>46</v>
      </c>
      <c r="S797" s="81" t="s">
        <v>47</v>
      </c>
      <c r="T797" s="81" t="s">
        <v>48</v>
      </c>
      <c r="U797" s="81" t="s">
        <v>48</v>
      </c>
      <c r="V797" s="81" t="s">
        <v>48</v>
      </c>
      <c r="W797" s="81" t="s">
        <v>49</v>
      </c>
      <c r="X797" s="81" t="s">
        <v>48</v>
      </c>
      <c r="Y797" s="81" t="s">
        <v>48</v>
      </c>
    </row>
    <row r="798" spans="1:25" x14ac:dyDescent="0.3">
      <c r="A798" s="16">
        <v>7501825301004</v>
      </c>
      <c r="B798" s="81" t="s">
        <v>43</v>
      </c>
      <c r="C798" s="81" t="s">
        <v>1975</v>
      </c>
      <c r="D798" s="81" t="s">
        <v>45</v>
      </c>
      <c r="E798" s="81" t="s">
        <v>2750</v>
      </c>
      <c r="F798" s="81" t="s">
        <v>2751</v>
      </c>
      <c r="G798" s="81" t="s">
        <v>3361</v>
      </c>
      <c r="H798" s="81" t="s">
        <v>2213</v>
      </c>
      <c r="I798" s="81" t="s">
        <v>5630</v>
      </c>
      <c r="J798" s="81" t="s">
        <v>2186</v>
      </c>
      <c r="K798" s="81" t="s">
        <v>5630</v>
      </c>
      <c r="L798" s="81" t="s">
        <v>2392</v>
      </c>
      <c r="M798" s="81" t="s">
        <v>5630</v>
      </c>
      <c r="N798" s="81" t="s">
        <v>2231</v>
      </c>
      <c r="O798" s="81" t="s">
        <v>2187</v>
      </c>
      <c r="P798" s="81" t="s">
        <v>2187</v>
      </c>
      <c r="Q798" s="81" t="s">
        <v>43</v>
      </c>
      <c r="R798" s="81" t="s">
        <v>46</v>
      </c>
      <c r="S798" s="81" t="s">
        <v>164</v>
      </c>
      <c r="T798" s="81" t="s">
        <v>48</v>
      </c>
      <c r="U798" s="81" t="s">
        <v>48</v>
      </c>
      <c r="V798" s="81" t="s">
        <v>48</v>
      </c>
      <c r="W798" s="81" t="s">
        <v>49</v>
      </c>
      <c r="X798" s="81" t="s">
        <v>48</v>
      </c>
      <c r="Y798" s="81" t="s">
        <v>48</v>
      </c>
    </row>
    <row r="799" spans="1:25" x14ac:dyDescent="0.3">
      <c r="A799" s="16">
        <v>7502216803183</v>
      </c>
      <c r="B799" s="81" t="s">
        <v>43</v>
      </c>
      <c r="C799" s="81" t="s">
        <v>2147</v>
      </c>
      <c r="D799" s="81" t="s">
        <v>45</v>
      </c>
      <c r="E799" s="81" t="s">
        <v>2179</v>
      </c>
      <c r="F799" s="81" t="s">
        <v>2704</v>
      </c>
      <c r="G799" s="81" t="s">
        <v>7112</v>
      </c>
      <c r="H799" s="81" t="s">
        <v>2315</v>
      </c>
      <c r="I799" s="81" t="s">
        <v>2691</v>
      </c>
      <c r="J799" s="81" t="s">
        <v>2186</v>
      </c>
      <c r="K799" s="81" t="s">
        <v>2691</v>
      </c>
      <c r="L799" s="81" t="s">
        <v>2392</v>
      </c>
      <c r="M799" s="81" t="s">
        <v>2691</v>
      </c>
      <c r="N799" s="81" t="s">
        <v>2231</v>
      </c>
      <c r="O799" s="81" t="s">
        <v>2187</v>
      </c>
      <c r="P799" s="81" t="s">
        <v>2187</v>
      </c>
      <c r="Q799" s="81" t="s">
        <v>794</v>
      </c>
      <c r="R799" s="81" t="s">
        <v>46</v>
      </c>
      <c r="S799" s="81" t="s">
        <v>47</v>
      </c>
      <c r="T799" s="81" t="s">
        <v>48</v>
      </c>
      <c r="U799" s="81" t="s">
        <v>48</v>
      </c>
      <c r="V799" s="81" t="s">
        <v>48</v>
      </c>
      <c r="W799" s="81" t="s">
        <v>49</v>
      </c>
      <c r="X799" s="81" t="s">
        <v>48</v>
      </c>
      <c r="Y799" s="81" t="s">
        <v>48</v>
      </c>
    </row>
    <row r="800" spans="1:25" x14ac:dyDescent="0.3">
      <c r="A800" s="16">
        <v>7500435169035</v>
      </c>
      <c r="B800" s="81" t="s">
        <v>43</v>
      </c>
      <c r="C800" s="81" t="s">
        <v>4880</v>
      </c>
      <c r="D800" s="81" t="s">
        <v>45</v>
      </c>
      <c r="E800" s="81" t="s">
        <v>2354</v>
      </c>
      <c r="F800" s="81" t="s">
        <v>2404</v>
      </c>
      <c r="G800" s="81" t="s">
        <v>5029</v>
      </c>
      <c r="H800" s="81" t="s">
        <v>6138</v>
      </c>
      <c r="I800" s="81" t="s">
        <v>6139</v>
      </c>
      <c r="J800" s="81" t="s">
        <v>2186</v>
      </c>
      <c r="K800" s="81" t="s">
        <v>6139</v>
      </c>
      <c r="L800" s="81" t="s">
        <v>2392</v>
      </c>
      <c r="M800" s="81" t="s">
        <v>6139</v>
      </c>
      <c r="N800" s="81" t="s">
        <v>2231</v>
      </c>
      <c r="O800" s="81" t="s">
        <v>2187</v>
      </c>
      <c r="P800" s="81" t="s">
        <v>2187</v>
      </c>
      <c r="Q800" s="81" t="s">
        <v>43</v>
      </c>
      <c r="R800" s="81" t="s">
        <v>524</v>
      </c>
      <c r="S800" s="81" t="s">
        <v>525</v>
      </c>
      <c r="T800" s="81" t="s">
        <v>48</v>
      </c>
      <c r="U800" s="81" t="s">
        <v>48</v>
      </c>
      <c r="V800" s="81" t="s">
        <v>49</v>
      </c>
      <c r="W800" s="81" t="s">
        <v>48</v>
      </c>
      <c r="X800" s="81" t="s">
        <v>48</v>
      </c>
      <c r="Y800" s="81" t="s">
        <v>48</v>
      </c>
    </row>
    <row r="801" spans="1:25" x14ac:dyDescent="0.3">
      <c r="A801" s="16">
        <v>7502213042752</v>
      </c>
      <c r="B801" s="81" t="s">
        <v>43</v>
      </c>
      <c r="C801" s="81" t="s">
        <v>795</v>
      </c>
      <c r="D801" s="81" t="s">
        <v>45</v>
      </c>
      <c r="E801" s="81" t="s">
        <v>2257</v>
      </c>
      <c r="F801" s="81" t="s">
        <v>2258</v>
      </c>
      <c r="G801" s="81" t="s">
        <v>5401</v>
      </c>
      <c r="H801" s="81" t="s">
        <v>2400</v>
      </c>
      <c r="I801" s="81" t="s">
        <v>5835</v>
      </c>
      <c r="J801" s="81" t="s">
        <v>2186</v>
      </c>
      <c r="K801" s="81" t="s">
        <v>5835</v>
      </c>
      <c r="L801" s="81" t="s">
        <v>2392</v>
      </c>
      <c r="M801" s="81" t="s">
        <v>5835</v>
      </c>
      <c r="N801" s="81" t="s">
        <v>2231</v>
      </c>
      <c r="O801" s="81" t="s">
        <v>2187</v>
      </c>
      <c r="P801" s="81" t="s">
        <v>2187</v>
      </c>
      <c r="Q801" s="81" t="s">
        <v>43</v>
      </c>
      <c r="R801" s="81" t="s">
        <v>46</v>
      </c>
      <c r="S801" s="81" t="s">
        <v>46</v>
      </c>
      <c r="T801" s="81" t="s">
        <v>48</v>
      </c>
      <c r="U801" s="81" t="s">
        <v>48</v>
      </c>
      <c r="V801" s="81" t="s">
        <v>48</v>
      </c>
      <c r="W801" s="81" t="s">
        <v>49</v>
      </c>
      <c r="X801" s="81" t="s">
        <v>48</v>
      </c>
      <c r="Y801" s="81" t="s">
        <v>48</v>
      </c>
    </row>
    <row r="802" spans="1:25" x14ac:dyDescent="0.3">
      <c r="A802" s="16">
        <v>7502213042745</v>
      </c>
      <c r="B802" s="81" t="s">
        <v>43</v>
      </c>
      <c r="C802" s="81" t="s">
        <v>796</v>
      </c>
      <c r="D802" s="81" t="s">
        <v>45</v>
      </c>
      <c r="E802" s="81" t="s">
        <v>2358</v>
      </c>
      <c r="F802" s="81" t="s">
        <v>2557</v>
      </c>
      <c r="G802" s="81" t="s">
        <v>5402</v>
      </c>
      <c r="H802" s="81" t="s">
        <v>2459</v>
      </c>
      <c r="I802" s="81" t="s">
        <v>6140</v>
      </c>
      <c r="J802" s="81" t="s">
        <v>2186</v>
      </c>
      <c r="K802" s="81" t="s">
        <v>6140</v>
      </c>
      <c r="L802" s="81" t="s">
        <v>2392</v>
      </c>
      <c r="M802" s="81" t="s">
        <v>6140</v>
      </c>
      <c r="N802" s="81" t="s">
        <v>2231</v>
      </c>
      <c r="O802" s="81" t="s">
        <v>2187</v>
      </c>
      <c r="P802" s="81" t="s">
        <v>2187</v>
      </c>
      <c r="Q802" s="81" t="s">
        <v>43</v>
      </c>
      <c r="R802" s="81" t="s">
        <v>46</v>
      </c>
      <c r="S802" s="81" t="s">
        <v>46</v>
      </c>
      <c r="T802" s="81" t="s">
        <v>48</v>
      </c>
      <c r="U802" s="81" t="s">
        <v>48</v>
      </c>
      <c r="V802" s="81" t="s">
        <v>48</v>
      </c>
      <c r="W802" s="81" t="s">
        <v>49</v>
      </c>
      <c r="X802" s="81" t="s">
        <v>48</v>
      </c>
      <c r="Y802" s="81" t="s">
        <v>48</v>
      </c>
    </row>
    <row r="803" spans="1:25" x14ac:dyDescent="0.3">
      <c r="A803" s="16">
        <v>614143495502</v>
      </c>
      <c r="B803" s="81" t="s">
        <v>43</v>
      </c>
      <c r="C803" s="81" t="s">
        <v>797</v>
      </c>
      <c r="D803" s="81" t="s">
        <v>45</v>
      </c>
      <c r="E803" s="81" t="s">
        <v>2227</v>
      </c>
      <c r="F803" s="81" t="s">
        <v>2227</v>
      </c>
      <c r="G803" s="81" t="s">
        <v>3126</v>
      </c>
      <c r="H803" s="81" t="s">
        <v>3187</v>
      </c>
      <c r="I803" s="81" t="s">
        <v>6141</v>
      </c>
      <c r="J803" s="81" t="s">
        <v>2186</v>
      </c>
      <c r="K803" s="81" t="s">
        <v>6141</v>
      </c>
      <c r="L803" s="81" t="s">
        <v>2392</v>
      </c>
      <c r="M803" s="81" t="s">
        <v>6141</v>
      </c>
      <c r="N803" s="81" t="s">
        <v>2231</v>
      </c>
      <c r="O803" s="81" t="s">
        <v>2187</v>
      </c>
      <c r="P803" s="81" t="s">
        <v>2187</v>
      </c>
      <c r="Q803" s="81" t="s">
        <v>43</v>
      </c>
      <c r="R803" s="81" t="s">
        <v>122</v>
      </c>
      <c r="S803" s="81" t="s">
        <v>123</v>
      </c>
      <c r="T803" s="81" t="s">
        <v>48</v>
      </c>
      <c r="U803" s="81" t="s">
        <v>48</v>
      </c>
      <c r="V803" s="81" t="s">
        <v>49</v>
      </c>
      <c r="W803" s="81" t="s">
        <v>48</v>
      </c>
      <c r="X803" s="81" t="s">
        <v>48</v>
      </c>
      <c r="Y803" s="81" t="s">
        <v>48</v>
      </c>
    </row>
    <row r="804" spans="1:25" x14ac:dyDescent="0.3">
      <c r="A804" s="16">
        <v>788115529752</v>
      </c>
      <c r="B804" s="81" t="s">
        <v>43</v>
      </c>
      <c r="C804" s="81" t="s">
        <v>798</v>
      </c>
      <c r="D804" s="81" t="s">
        <v>45</v>
      </c>
      <c r="E804" s="81" t="s">
        <v>2227</v>
      </c>
      <c r="F804" s="81" t="s">
        <v>2227</v>
      </c>
      <c r="G804" s="81" t="s">
        <v>3364</v>
      </c>
      <c r="H804" s="81" t="s">
        <v>6142</v>
      </c>
      <c r="I804" s="81" t="s">
        <v>6143</v>
      </c>
      <c r="J804" s="81" t="s">
        <v>2186</v>
      </c>
      <c r="K804" s="81" t="s">
        <v>6143</v>
      </c>
      <c r="L804" s="81" t="s">
        <v>2392</v>
      </c>
      <c r="M804" s="81" t="s">
        <v>6143</v>
      </c>
      <c r="N804" s="81" t="s">
        <v>2231</v>
      </c>
      <c r="O804" s="81" t="s">
        <v>2187</v>
      </c>
      <c r="P804" s="81" t="s">
        <v>2187</v>
      </c>
      <c r="Q804" s="81" t="s">
        <v>43</v>
      </c>
      <c r="R804" s="81" t="s">
        <v>122</v>
      </c>
      <c r="S804" s="81" t="s">
        <v>122</v>
      </c>
      <c r="T804" s="81" t="s">
        <v>48</v>
      </c>
      <c r="U804" s="81" t="s">
        <v>48</v>
      </c>
      <c r="V804" s="81" t="s">
        <v>49</v>
      </c>
      <c r="W804" s="81" t="s">
        <v>48</v>
      </c>
      <c r="X804" s="81" t="s">
        <v>48</v>
      </c>
      <c r="Y804" s="81" t="s">
        <v>48</v>
      </c>
    </row>
    <row r="805" spans="1:25" x14ac:dyDescent="0.3">
      <c r="A805" s="16">
        <v>788115529790</v>
      </c>
      <c r="B805" s="81" t="s">
        <v>43</v>
      </c>
      <c r="C805" s="81" t="s">
        <v>799</v>
      </c>
      <c r="D805" s="81" t="s">
        <v>45</v>
      </c>
      <c r="E805" s="81" t="s">
        <v>2227</v>
      </c>
      <c r="F805" s="81" t="s">
        <v>2227</v>
      </c>
      <c r="G805" s="81" t="s">
        <v>3364</v>
      </c>
      <c r="H805" s="81" t="s">
        <v>3365</v>
      </c>
      <c r="I805" s="81" t="s">
        <v>6144</v>
      </c>
      <c r="J805" s="81" t="s">
        <v>2186</v>
      </c>
      <c r="K805" s="81" t="s">
        <v>6144</v>
      </c>
      <c r="L805" s="81" t="s">
        <v>2392</v>
      </c>
      <c r="M805" s="81" t="s">
        <v>6144</v>
      </c>
      <c r="N805" s="81" t="s">
        <v>2231</v>
      </c>
      <c r="O805" s="81" t="s">
        <v>2187</v>
      </c>
      <c r="P805" s="81" t="s">
        <v>2187</v>
      </c>
      <c r="Q805" s="81" t="s">
        <v>43</v>
      </c>
      <c r="R805" s="81" t="s">
        <v>122</v>
      </c>
      <c r="S805" s="81" t="s">
        <v>123</v>
      </c>
      <c r="T805" s="81" t="s">
        <v>48</v>
      </c>
      <c r="U805" s="81" t="s">
        <v>48</v>
      </c>
      <c r="V805" s="81" t="s">
        <v>49</v>
      </c>
      <c r="W805" s="81" t="s">
        <v>48</v>
      </c>
      <c r="X805" s="81" t="s">
        <v>48</v>
      </c>
      <c r="Y805" s="81" t="s">
        <v>48</v>
      </c>
    </row>
    <row r="806" spans="1:25" x14ac:dyDescent="0.3">
      <c r="A806" s="16">
        <v>7502253602350</v>
      </c>
      <c r="B806" s="81" t="s">
        <v>43</v>
      </c>
      <c r="C806" s="81" t="s">
        <v>800</v>
      </c>
      <c r="D806" s="81" t="s">
        <v>45</v>
      </c>
      <c r="E806" s="81" t="s">
        <v>2369</v>
      </c>
      <c r="F806" s="81" t="s">
        <v>2442</v>
      </c>
      <c r="G806" s="81" t="s">
        <v>3366</v>
      </c>
      <c r="H806" s="81" t="s">
        <v>3367</v>
      </c>
      <c r="I806" s="81" t="s">
        <v>6145</v>
      </c>
      <c r="J806" s="81" t="s">
        <v>2186</v>
      </c>
      <c r="K806" s="81" t="s">
        <v>6145</v>
      </c>
      <c r="L806" s="81" t="s">
        <v>2392</v>
      </c>
      <c r="M806" s="81" t="s">
        <v>6145</v>
      </c>
      <c r="N806" s="81" t="s">
        <v>2231</v>
      </c>
      <c r="O806" s="81" t="s">
        <v>2187</v>
      </c>
      <c r="P806" s="81" t="s">
        <v>2187</v>
      </c>
      <c r="Q806" s="81" t="s">
        <v>43</v>
      </c>
      <c r="R806" s="81" t="s">
        <v>46</v>
      </c>
      <c r="S806" s="81" t="s">
        <v>46</v>
      </c>
      <c r="T806" s="81" t="s">
        <v>48</v>
      </c>
      <c r="U806" s="81" t="s">
        <v>48</v>
      </c>
      <c r="V806" s="81" t="s">
        <v>49</v>
      </c>
      <c r="W806" s="81" t="s">
        <v>48</v>
      </c>
      <c r="X806" s="81" t="s">
        <v>48</v>
      </c>
      <c r="Y806" s="81" t="s">
        <v>48</v>
      </c>
    </row>
    <row r="807" spans="1:25" x14ac:dyDescent="0.3">
      <c r="A807" s="16">
        <v>8400009265</v>
      </c>
      <c r="B807" s="81" t="s">
        <v>43</v>
      </c>
      <c r="C807" s="81" t="s">
        <v>801</v>
      </c>
      <c r="D807" s="81" t="s">
        <v>45</v>
      </c>
      <c r="E807" s="81" t="s">
        <v>2227</v>
      </c>
      <c r="F807" s="81" t="s">
        <v>2227</v>
      </c>
      <c r="G807" s="81" t="s">
        <v>5054</v>
      </c>
      <c r="H807" s="81" t="s">
        <v>2479</v>
      </c>
      <c r="I807" s="81" t="s">
        <v>6146</v>
      </c>
      <c r="J807" s="81" t="s">
        <v>2186</v>
      </c>
      <c r="K807" s="81" t="s">
        <v>6146</v>
      </c>
      <c r="L807" s="81" t="s">
        <v>2392</v>
      </c>
      <c r="M807" s="81" t="s">
        <v>6146</v>
      </c>
      <c r="N807" s="81" t="s">
        <v>2231</v>
      </c>
      <c r="O807" s="81" t="s">
        <v>2187</v>
      </c>
      <c r="P807" s="81" t="s">
        <v>2187</v>
      </c>
      <c r="Q807" s="81" t="s">
        <v>802</v>
      </c>
      <c r="R807" s="81" t="s">
        <v>112</v>
      </c>
      <c r="S807" s="81" t="s">
        <v>112</v>
      </c>
      <c r="T807" s="81" t="s">
        <v>48</v>
      </c>
      <c r="U807" s="81" t="s">
        <v>48</v>
      </c>
      <c r="V807" s="81" t="s">
        <v>48</v>
      </c>
      <c r="W807" s="81" t="s">
        <v>49</v>
      </c>
      <c r="X807" s="81" t="s">
        <v>48</v>
      </c>
      <c r="Y807" s="81" t="s">
        <v>48</v>
      </c>
    </row>
    <row r="808" spans="1:25" x14ac:dyDescent="0.3">
      <c r="A808" s="16">
        <v>7502009745737</v>
      </c>
      <c r="B808" s="81" t="s">
        <v>43</v>
      </c>
      <c r="C808" s="81" t="s">
        <v>803</v>
      </c>
      <c r="D808" s="81" t="s">
        <v>45</v>
      </c>
      <c r="E808" s="81" t="s">
        <v>2439</v>
      </c>
      <c r="F808" s="81" t="s">
        <v>2280</v>
      </c>
      <c r="G808" s="81" t="s">
        <v>3368</v>
      </c>
      <c r="H808" s="81" t="s">
        <v>2993</v>
      </c>
      <c r="I808" s="81" t="s">
        <v>6147</v>
      </c>
      <c r="J808" s="81" t="s">
        <v>2186</v>
      </c>
      <c r="K808" s="81" t="s">
        <v>6147</v>
      </c>
      <c r="L808" s="81" t="s">
        <v>2392</v>
      </c>
      <c r="M808" s="81" t="s">
        <v>6147</v>
      </c>
      <c r="N808" s="81" t="s">
        <v>2231</v>
      </c>
      <c r="O808" s="81" t="s">
        <v>2187</v>
      </c>
      <c r="P808" s="81" t="s">
        <v>2187</v>
      </c>
      <c r="Q808" s="81" t="s">
        <v>804</v>
      </c>
      <c r="R808" s="81" t="s">
        <v>51</v>
      </c>
      <c r="S808" s="81" t="s">
        <v>81</v>
      </c>
      <c r="T808" s="81" t="s">
        <v>49</v>
      </c>
      <c r="U808" s="81" t="s">
        <v>48</v>
      </c>
      <c r="V808" s="81" t="s">
        <v>48</v>
      </c>
      <c r="W808" s="81" t="s">
        <v>49</v>
      </c>
      <c r="X808" s="81" t="s">
        <v>48</v>
      </c>
      <c r="Y808" s="81" t="s">
        <v>48</v>
      </c>
    </row>
    <row r="809" spans="1:25" x14ac:dyDescent="0.3">
      <c r="A809" s="16">
        <v>7501537102968</v>
      </c>
      <c r="B809" s="81" t="s">
        <v>43</v>
      </c>
      <c r="C809" s="81" t="s">
        <v>805</v>
      </c>
      <c r="D809" s="81" t="s">
        <v>45</v>
      </c>
      <c r="E809" s="81" t="s">
        <v>2355</v>
      </c>
      <c r="F809" s="81" t="s">
        <v>2507</v>
      </c>
      <c r="G809" s="81" t="s">
        <v>3369</v>
      </c>
      <c r="H809" s="81" t="s">
        <v>2217</v>
      </c>
      <c r="I809" s="81" t="s">
        <v>6148</v>
      </c>
      <c r="J809" s="81" t="s">
        <v>2186</v>
      </c>
      <c r="K809" s="81" t="s">
        <v>6148</v>
      </c>
      <c r="L809" s="81" t="s">
        <v>2392</v>
      </c>
      <c r="M809" s="81" t="s">
        <v>6148</v>
      </c>
      <c r="N809" s="81" t="s">
        <v>2231</v>
      </c>
      <c r="O809" s="81" t="s">
        <v>2187</v>
      </c>
      <c r="P809" s="81" t="s">
        <v>2187</v>
      </c>
      <c r="Q809" s="81" t="s">
        <v>806</v>
      </c>
      <c r="R809" s="81" t="s">
        <v>46</v>
      </c>
      <c r="S809" s="81" t="s">
        <v>164</v>
      </c>
      <c r="T809" s="81" t="s">
        <v>48</v>
      </c>
      <c r="U809" s="81" t="s">
        <v>48</v>
      </c>
      <c r="V809" s="81" t="s">
        <v>48</v>
      </c>
      <c r="W809" s="81" t="s">
        <v>49</v>
      </c>
      <c r="X809" s="81" t="s">
        <v>48</v>
      </c>
      <c r="Y809" s="81" t="s">
        <v>48</v>
      </c>
    </row>
    <row r="810" spans="1:25" x14ac:dyDescent="0.3">
      <c r="A810" s="16">
        <v>7502259891543</v>
      </c>
      <c r="B810" s="81" t="s">
        <v>43</v>
      </c>
      <c r="C810" s="81" t="s">
        <v>807</v>
      </c>
      <c r="D810" s="81" t="s">
        <v>45</v>
      </c>
      <c r="E810" s="81" t="s">
        <v>2308</v>
      </c>
      <c r="F810" s="81" t="s">
        <v>2179</v>
      </c>
      <c r="G810" s="81" t="s">
        <v>3370</v>
      </c>
      <c r="H810" s="81" t="s">
        <v>6149</v>
      </c>
      <c r="I810" s="81" t="s">
        <v>6150</v>
      </c>
      <c r="J810" s="81" t="s">
        <v>2186</v>
      </c>
      <c r="K810" s="81" t="s">
        <v>6150</v>
      </c>
      <c r="L810" s="81" t="s">
        <v>2392</v>
      </c>
      <c r="M810" s="81" t="s">
        <v>6150</v>
      </c>
      <c r="N810" s="81" t="s">
        <v>2231</v>
      </c>
      <c r="O810" s="81" t="s">
        <v>2187</v>
      </c>
      <c r="P810" s="81" t="s">
        <v>2187</v>
      </c>
      <c r="Q810" s="81" t="s">
        <v>43</v>
      </c>
      <c r="R810" s="81" t="s">
        <v>106</v>
      </c>
      <c r="S810" s="81" t="s">
        <v>106</v>
      </c>
      <c r="T810" s="81" t="s">
        <v>48</v>
      </c>
      <c r="U810" s="81" t="s">
        <v>48</v>
      </c>
      <c r="V810" s="81" t="s">
        <v>49</v>
      </c>
      <c r="W810" s="81" t="s">
        <v>48</v>
      </c>
      <c r="X810" s="81" t="s">
        <v>48</v>
      </c>
      <c r="Y810" s="81" t="s">
        <v>48</v>
      </c>
    </row>
    <row r="811" spans="1:25" x14ac:dyDescent="0.3">
      <c r="A811" s="16">
        <v>7501028610361</v>
      </c>
      <c r="B811" s="81" t="s">
        <v>43</v>
      </c>
      <c r="C811" s="81" t="s">
        <v>808</v>
      </c>
      <c r="D811" s="81" t="s">
        <v>45</v>
      </c>
      <c r="E811" s="81" t="s">
        <v>2227</v>
      </c>
      <c r="F811" s="81" t="s">
        <v>2227</v>
      </c>
      <c r="G811" s="81" t="s">
        <v>3371</v>
      </c>
      <c r="H811" s="81" t="s">
        <v>3372</v>
      </c>
      <c r="I811" s="81" t="s">
        <v>5276</v>
      </c>
      <c r="J811" s="81" t="s">
        <v>2186</v>
      </c>
      <c r="K811" s="81" t="s">
        <v>5276</v>
      </c>
      <c r="L811" s="81" t="s">
        <v>2392</v>
      </c>
      <c r="M811" s="81" t="s">
        <v>5276</v>
      </c>
      <c r="N811" s="81" t="s">
        <v>2231</v>
      </c>
      <c r="O811" s="81" t="s">
        <v>2187</v>
      </c>
      <c r="P811" s="81" t="s">
        <v>2187</v>
      </c>
      <c r="Q811" s="81" t="s">
        <v>43</v>
      </c>
      <c r="R811" s="81" t="s">
        <v>524</v>
      </c>
      <c r="S811" s="81" t="s">
        <v>525</v>
      </c>
      <c r="T811" s="81" t="s">
        <v>48</v>
      </c>
      <c r="U811" s="81" t="s">
        <v>48</v>
      </c>
      <c r="V811" s="81" t="s">
        <v>49</v>
      </c>
      <c r="W811" s="81" t="s">
        <v>48</v>
      </c>
      <c r="X811" s="81" t="s">
        <v>48</v>
      </c>
      <c r="Y811" s="81" t="s">
        <v>48</v>
      </c>
    </row>
    <row r="812" spans="1:25" x14ac:dyDescent="0.3">
      <c r="A812" s="16">
        <v>7501075718225</v>
      </c>
      <c r="B812" s="81" t="s">
        <v>43</v>
      </c>
      <c r="C812" s="81" t="s">
        <v>809</v>
      </c>
      <c r="D812" s="81" t="s">
        <v>45</v>
      </c>
      <c r="E812" s="81" t="s">
        <v>2368</v>
      </c>
      <c r="F812" s="81" t="s">
        <v>2369</v>
      </c>
      <c r="G812" s="81" t="s">
        <v>3374</v>
      </c>
      <c r="H812" s="81" t="s">
        <v>2381</v>
      </c>
      <c r="I812" s="81" t="s">
        <v>2377</v>
      </c>
      <c r="J812" s="81" t="s">
        <v>2186</v>
      </c>
      <c r="K812" s="81" t="s">
        <v>2730</v>
      </c>
      <c r="L812" s="81" t="s">
        <v>2392</v>
      </c>
      <c r="M812" s="81" t="s">
        <v>2823</v>
      </c>
      <c r="N812" s="81" t="s">
        <v>2231</v>
      </c>
      <c r="O812" s="81" t="s">
        <v>2187</v>
      </c>
      <c r="P812" s="81" t="s">
        <v>2187</v>
      </c>
      <c r="Q812" s="81" t="s">
        <v>43</v>
      </c>
      <c r="R812" s="81" t="s">
        <v>46</v>
      </c>
      <c r="S812" s="81" t="s">
        <v>46</v>
      </c>
      <c r="T812" s="81" t="s">
        <v>48</v>
      </c>
      <c r="U812" s="81" t="s">
        <v>48</v>
      </c>
      <c r="V812" s="81" t="s">
        <v>48</v>
      </c>
      <c r="W812" s="81" t="s">
        <v>49</v>
      </c>
      <c r="X812" s="81" t="s">
        <v>48</v>
      </c>
      <c r="Y812" s="81" t="s">
        <v>48</v>
      </c>
    </row>
    <row r="813" spans="1:25" x14ac:dyDescent="0.3">
      <c r="A813" s="16">
        <v>7501361681288</v>
      </c>
      <c r="B813" s="81" t="s">
        <v>43</v>
      </c>
      <c r="C813" s="81" t="s">
        <v>810</v>
      </c>
      <c r="D813" s="81" t="s">
        <v>45</v>
      </c>
      <c r="E813" s="81" t="s">
        <v>2619</v>
      </c>
      <c r="F813" s="81" t="s">
        <v>2444</v>
      </c>
      <c r="G813" s="81" t="s">
        <v>4491</v>
      </c>
      <c r="H813" s="81" t="s">
        <v>6151</v>
      </c>
      <c r="I813" s="81" t="s">
        <v>6152</v>
      </c>
      <c r="J813" s="81" t="s">
        <v>2186</v>
      </c>
      <c r="K813" s="81" t="s">
        <v>6152</v>
      </c>
      <c r="L813" s="81" t="s">
        <v>2392</v>
      </c>
      <c r="M813" s="81" t="s">
        <v>6152</v>
      </c>
      <c r="N813" s="81" t="s">
        <v>2231</v>
      </c>
      <c r="O813" s="81" t="s">
        <v>2187</v>
      </c>
      <c r="P813" s="81" t="s">
        <v>2187</v>
      </c>
      <c r="Q813" s="81" t="s">
        <v>43</v>
      </c>
      <c r="R813" s="81" t="s">
        <v>46</v>
      </c>
      <c r="S813" s="81" t="s">
        <v>46</v>
      </c>
      <c r="T813" s="81" t="s">
        <v>48</v>
      </c>
      <c r="U813" s="81" t="s">
        <v>48</v>
      </c>
      <c r="V813" s="81" t="s">
        <v>48</v>
      </c>
      <c r="W813" s="81" t="s">
        <v>49</v>
      </c>
      <c r="X813" s="81" t="s">
        <v>48</v>
      </c>
      <c r="Y813" s="81" t="s">
        <v>48</v>
      </c>
    </row>
    <row r="814" spans="1:25" x14ac:dyDescent="0.3">
      <c r="A814" s="16">
        <v>650240036385</v>
      </c>
      <c r="B814" s="81" t="s">
        <v>43</v>
      </c>
      <c r="C814" s="81" t="s">
        <v>811</v>
      </c>
      <c r="D814" s="81" t="s">
        <v>45</v>
      </c>
      <c r="E814" s="81" t="s">
        <v>2354</v>
      </c>
      <c r="F814" s="81" t="s">
        <v>2355</v>
      </c>
      <c r="G814" s="81" t="s">
        <v>4504</v>
      </c>
      <c r="H814" s="81" t="s">
        <v>2609</v>
      </c>
      <c r="I814" s="81" t="s">
        <v>4580</v>
      </c>
      <c r="J814" s="81" t="s">
        <v>2186</v>
      </c>
      <c r="K814" s="81" t="s">
        <v>4581</v>
      </c>
      <c r="L814" s="81" t="s">
        <v>2392</v>
      </c>
      <c r="M814" s="81" t="s">
        <v>4582</v>
      </c>
      <c r="N814" s="81" t="s">
        <v>2231</v>
      </c>
      <c r="O814" s="81" t="s">
        <v>2187</v>
      </c>
      <c r="P814" s="81" t="s">
        <v>2187</v>
      </c>
      <c r="Q814" s="81" t="s">
        <v>43</v>
      </c>
      <c r="R814" s="81" t="s">
        <v>203</v>
      </c>
      <c r="S814" s="81" t="s">
        <v>164</v>
      </c>
      <c r="T814" s="81" t="s">
        <v>48</v>
      </c>
      <c r="U814" s="81" t="s">
        <v>48</v>
      </c>
      <c r="V814" s="81" t="s">
        <v>48</v>
      </c>
      <c r="W814" s="81" t="s">
        <v>49</v>
      </c>
      <c r="X814" s="81" t="s">
        <v>48</v>
      </c>
      <c r="Y814" s="81" t="s">
        <v>48</v>
      </c>
    </row>
    <row r="815" spans="1:25" x14ac:dyDescent="0.3">
      <c r="A815" s="16">
        <v>7502001165298</v>
      </c>
      <c r="B815" s="81" t="s">
        <v>43</v>
      </c>
      <c r="C815" s="81" t="s">
        <v>2148</v>
      </c>
      <c r="D815" s="81" t="s">
        <v>45</v>
      </c>
      <c r="E815" s="81" t="s">
        <v>2371</v>
      </c>
      <c r="F815" s="81" t="s">
        <v>3376</v>
      </c>
      <c r="G815" s="81" t="s">
        <v>2500</v>
      </c>
      <c r="H815" s="81" t="s">
        <v>2259</v>
      </c>
      <c r="I815" s="81" t="s">
        <v>5697</v>
      </c>
      <c r="J815" s="81" t="s">
        <v>2186</v>
      </c>
      <c r="K815" s="81" t="s">
        <v>5697</v>
      </c>
      <c r="L815" s="81" t="s">
        <v>2392</v>
      </c>
      <c r="M815" s="81" t="s">
        <v>5697</v>
      </c>
      <c r="N815" s="81" t="s">
        <v>2231</v>
      </c>
      <c r="O815" s="81" t="s">
        <v>2187</v>
      </c>
      <c r="P815" s="81" t="s">
        <v>2187</v>
      </c>
      <c r="Q815" s="81" t="s">
        <v>43</v>
      </c>
      <c r="R815" s="81" t="s">
        <v>46</v>
      </c>
      <c r="S815" s="81" t="s">
        <v>46</v>
      </c>
      <c r="T815" s="81" t="s">
        <v>48</v>
      </c>
      <c r="U815" s="81" t="s">
        <v>48</v>
      </c>
      <c r="V815" s="81" t="s">
        <v>48</v>
      </c>
      <c r="W815" s="81" t="s">
        <v>49</v>
      </c>
      <c r="X815" s="81" t="s">
        <v>48</v>
      </c>
      <c r="Y815" s="81" t="s">
        <v>48</v>
      </c>
    </row>
    <row r="816" spans="1:25" x14ac:dyDescent="0.3">
      <c r="A816" s="16">
        <v>7503027446279</v>
      </c>
      <c r="B816" s="81" t="s">
        <v>43</v>
      </c>
      <c r="C816" s="81" t="s">
        <v>812</v>
      </c>
      <c r="D816" s="81" t="s">
        <v>45</v>
      </c>
      <c r="E816" s="81" t="s">
        <v>2538</v>
      </c>
      <c r="F816" s="81" t="s">
        <v>3377</v>
      </c>
      <c r="G816" s="81" t="s">
        <v>3378</v>
      </c>
      <c r="H816" s="81" t="s">
        <v>2220</v>
      </c>
      <c r="I816" s="81" t="s">
        <v>2838</v>
      </c>
      <c r="J816" s="81" t="s">
        <v>2186</v>
      </c>
      <c r="K816" s="81" t="s">
        <v>2838</v>
      </c>
      <c r="L816" s="81" t="s">
        <v>2392</v>
      </c>
      <c r="M816" s="81" t="s">
        <v>2838</v>
      </c>
      <c r="N816" s="81" t="s">
        <v>2231</v>
      </c>
      <c r="O816" s="81" t="s">
        <v>2187</v>
      </c>
      <c r="P816" s="81" t="s">
        <v>2187</v>
      </c>
      <c r="Q816" s="81" t="s">
        <v>43</v>
      </c>
      <c r="R816" s="81" t="s">
        <v>46</v>
      </c>
      <c r="S816" s="81" t="s">
        <v>46</v>
      </c>
      <c r="T816" s="81" t="s">
        <v>48</v>
      </c>
      <c r="U816" s="81" t="s">
        <v>48</v>
      </c>
      <c r="V816" s="81" t="s">
        <v>48</v>
      </c>
      <c r="W816" s="81" t="s">
        <v>49</v>
      </c>
      <c r="X816" s="81" t="s">
        <v>48</v>
      </c>
      <c r="Y816" s="81" t="s">
        <v>48</v>
      </c>
    </row>
    <row r="817" spans="1:25" x14ac:dyDescent="0.3">
      <c r="A817" s="16">
        <v>7502211789031</v>
      </c>
      <c r="B817" s="81" t="s">
        <v>43</v>
      </c>
      <c r="C817" s="81" t="s">
        <v>813</v>
      </c>
      <c r="D817" s="81" t="s">
        <v>45</v>
      </c>
      <c r="E817" s="81" t="s">
        <v>2227</v>
      </c>
      <c r="F817" s="81" t="s">
        <v>2227</v>
      </c>
      <c r="G817" s="81" t="s">
        <v>5095</v>
      </c>
      <c r="H817" s="81" t="s">
        <v>2217</v>
      </c>
      <c r="I817" s="81" t="s">
        <v>5531</v>
      </c>
      <c r="J817" s="81" t="s">
        <v>2186</v>
      </c>
      <c r="K817" s="81" t="s">
        <v>5531</v>
      </c>
      <c r="L817" s="81" t="s">
        <v>2392</v>
      </c>
      <c r="M817" s="81" t="s">
        <v>5531</v>
      </c>
      <c r="N817" s="81" t="s">
        <v>2231</v>
      </c>
      <c r="O817" s="81" t="s">
        <v>2187</v>
      </c>
      <c r="P817" s="81" t="s">
        <v>2187</v>
      </c>
      <c r="Q817" s="81" t="s">
        <v>43</v>
      </c>
      <c r="R817" s="81" t="s">
        <v>203</v>
      </c>
      <c r="S817" s="81" t="s">
        <v>203</v>
      </c>
      <c r="T817" s="81" t="s">
        <v>48</v>
      </c>
      <c r="U817" s="81" t="s">
        <v>48</v>
      </c>
      <c r="V817" s="81" t="s">
        <v>48</v>
      </c>
      <c r="W817" s="81" t="s">
        <v>49</v>
      </c>
      <c r="X817" s="81" t="s">
        <v>48</v>
      </c>
      <c r="Y817" s="81" t="s">
        <v>48</v>
      </c>
    </row>
    <row r="818" spans="1:25" x14ac:dyDescent="0.3">
      <c r="A818" s="16">
        <v>7501825304555</v>
      </c>
      <c r="B818" s="81" t="s">
        <v>43</v>
      </c>
      <c r="C818" s="81" t="s">
        <v>814</v>
      </c>
      <c r="D818" s="81" t="s">
        <v>45</v>
      </c>
      <c r="E818" s="81" t="s">
        <v>2215</v>
      </c>
      <c r="F818" s="81" t="s">
        <v>2216</v>
      </c>
      <c r="G818" s="81" t="s">
        <v>5116</v>
      </c>
      <c r="H818" s="81" t="s">
        <v>2401</v>
      </c>
      <c r="I818" s="81" t="s">
        <v>3085</v>
      </c>
      <c r="J818" s="81" t="s">
        <v>2186</v>
      </c>
      <c r="K818" s="81" t="s">
        <v>3085</v>
      </c>
      <c r="L818" s="81" t="s">
        <v>2392</v>
      </c>
      <c r="M818" s="81" t="s">
        <v>3085</v>
      </c>
      <c r="N818" s="81" t="s">
        <v>2231</v>
      </c>
      <c r="O818" s="81" t="s">
        <v>2187</v>
      </c>
      <c r="P818" s="81" t="s">
        <v>2187</v>
      </c>
      <c r="Q818" s="81" t="s">
        <v>43</v>
      </c>
      <c r="R818" s="81" t="s">
        <v>46</v>
      </c>
      <c r="S818" s="81" t="s">
        <v>46</v>
      </c>
      <c r="T818" s="81" t="s">
        <v>49</v>
      </c>
      <c r="U818" s="81" t="s">
        <v>48</v>
      </c>
      <c r="V818" s="81" t="s">
        <v>48</v>
      </c>
      <c r="W818" s="81" t="s">
        <v>49</v>
      </c>
      <c r="X818" s="81" t="s">
        <v>48</v>
      </c>
      <c r="Y818" s="81" t="s">
        <v>48</v>
      </c>
    </row>
    <row r="819" spans="1:25" x14ac:dyDescent="0.3">
      <c r="A819" s="16">
        <v>7502211783527</v>
      </c>
      <c r="B819" s="81" t="s">
        <v>43</v>
      </c>
      <c r="C819" s="81" t="s">
        <v>815</v>
      </c>
      <c r="D819" s="81" t="s">
        <v>45</v>
      </c>
      <c r="E819" s="81" t="s">
        <v>2620</v>
      </c>
      <c r="F819" s="81" t="s">
        <v>2780</v>
      </c>
      <c r="G819" s="81" t="s">
        <v>5260</v>
      </c>
      <c r="H819" s="81" t="s">
        <v>2277</v>
      </c>
      <c r="I819" s="81" t="s">
        <v>6153</v>
      </c>
      <c r="J819" s="81" t="s">
        <v>2186</v>
      </c>
      <c r="K819" s="81" t="s">
        <v>6153</v>
      </c>
      <c r="L819" s="81" t="s">
        <v>2392</v>
      </c>
      <c r="M819" s="81" t="s">
        <v>6153</v>
      </c>
      <c r="N819" s="81" t="s">
        <v>2231</v>
      </c>
      <c r="O819" s="81" t="s">
        <v>2187</v>
      </c>
      <c r="P819" s="81" t="s">
        <v>2187</v>
      </c>
      <c r="Q819" s="81" t="s">
        <v>43</v>
      </c>
      <c r="R819" s="81" t="s">
        <v>51</v>
      </c>
      <c r="S819" s="81" t="s">
        <v>81</v>
      </c>
      <c r="T819" s="81" t="s">
        <v>49</v>
      </c>
      <c r="U819" s="81" t="s">
        <v>48</v>
      </c>
      <c r="V819" s="81" t="s">
        <v>48</v>
      </c>
      <c r="W819" s="81" t="s">
        <v>49</v>
      </c>
      <c r="X819" s="81" t="s">
        <v>48</v>
      </c>
      <c r="Y819" s="81" t="s">
        <v>48</v>
      </c>
    </row>
    <row r="820" spans="1:25" x14ac:dyDescent="0.3">
      <c r="A820" s="16">
        <v>7501825301875</v>
      </c>
      <c r="B820" s="81" t="s">
        <v>43</v>
      </c>
      <c r="C820" s="81" t="s">
        <v>816</v>
      </c>
      <c r="D820" s="81" t="s">
        <v>45</v>
      </c>
      <c r="E820" s="81" t="s">
        <v>2419</v>
      </c>
      <c r="F820" s="81" t="s">
        <v>2703</v>
      </c>
      <c r="G820" s="81" t="s">
        <v>3381</v>
      </c>
      <c r="H820" s="81" t="s">
        <v>2259</v>
      </c>
      <c r="I820" s="81" t="s">
        <v>6154</v>
      </c>
      <c r="J820" s="81" t="s">
        <v>2186</v>
      </c>
      <c r="K820" s="81" t="s">
        <v>6154</v>
      </c>
      <c r="L820" s="81" t="s">
        <v>2392</v>
      </c>
      <c r="M820" s="81" t="s">
        <v>6154</v>
      </c>
      <c r="N820" s="81" t="s">
        <v>2231</v>
      </c>
      <c r="O820" s="81" t="s">
        <v>2187</v>
      </c>
      <c r="P820" s="81" t="s">
        <v>2187</v>
      </c>
      <c r="Q820" s="81" t="s">
        <v>43</v>
      </c>
      <c r="R820" s="81" t="s">
        <v>46</v>
      </c>
      <c r="S820" s="81" t="s">
        <v>46</v>
      </c>
      <c r="T820" s="81" t="s">
        <v>48</v>
      </c>
      <c r="U820" s="81" t="s">
        <v>48</v>
      </c>
      <c r="V820" s="81" t="s">
        <v>48</v>
      </c>
      <c r="W820" s="81" t="s">
        <v>49</v>
      </c>
      <c r="X820" s="81" t="s">
        <v>48</v>
      </c>
      <c r="Y820" s="81" t="s">
        <v>48</v>
      </c>
    </row>
    <row r="821" spans="1:25" x14ac:dyDescent="0.3">
      <c r="A821" s="16">
        <v>7502001163775</v>
      </c>
      <c r="B821" s="81" t="s">
        <v>43</v>
      </c>
      <c r="C821" s="81" t="s">
        <v>1976</v>
      </c>
      <c r="D821" s="81" t="s">
        <v>45</v>
      </c>
      <c r="E821" s="81" t="s">
        <v>2283</v>
      </c>
      <c r="F821" s="81" t="s">
        <v>2510</v>
      </c>
      <c r="G821" s="81" t="s">
        <v>5497</v>
      </c>
      <c r="H821" s="81" t="s">
        <v>2217</v>
      </c>
      <c r="I821" s="81" t="s">
        <v>5975</v>
      </c>
      <c r="J821" s="81" t="s">
        <v>2186</v>
      </c>
      <c r="K821" s="81" t="s">
        <v>5975</v>
      </c>
      <c r="L821" s="81" t="s">
        <v>2392</v>
      </c>
      <c r="M821" s="81" t="s">
        <v>5975</v>
      </c>
      <c r="N821" s="81" t="s">
        <v>2231</v>
      </c>
      <c r="O821" s="81" t="s">
        <v>2187</v>
      </c>
      <c r="P821" s="81" t="s">
        <v>2187</v>
      </c>
      <c r="Q821" s="81" t="s">
        <v>43</v>
      </c>
      <c r="R821" s="81" t="s">
        <v>51</v>
      </c>
      <c r="S821" s="81" t="s">
        <v>81</v>
      </c>
      <c r="T821" s="81" t="s">
        <v>49</v>
      </c>
      <c r="U821" s="81" t="s">
        <v>48</v>
      </c>
      <c r="V821" s="81" t="s">
        <v>48</v>
      </c>
      <c r="W821" s="81" t="s">
        <v>49</v>
      </c>
      <c r="X821" s="81" t="s">
        <v>48</v>
      </c>
      <c r="Y821" s="81" t="s">
        <v>48</v>
      </c>
    </row>
    <row r="822" spans="1:25" x14ac:dyDescent="0.3">
      <c r="A822" s="16">
        <v>7502211781189</v>
      </c>
      <c r="B822" s="81" t="s">
        <v>43</v>
      </c>
      <c r="C822" s="81" t="s">
        <v>817</v>
      </c>
      <c r="D822" s="81" t="s">
        <v>45</v>
      </c>
      <c r="E822" s="81" t="s">
        <v>3382</v>
      </c>
      <c r="F822" s="81" t="s">
        <v>3383</v>
      </c>
      <c r="G822" s="81" t="s">
        <v>3384</v>
      </c>
      <c r="H822" s="81" t="s">
        <v>2264</v>
      </c>
      <c r="I822" s="81" t="s">
        <v>4583</v>
      </c>
      <c r="J822" s="81" t="s">
        <v>2186</v>
      </c>
      <c r="K822" s="81" t="s">
        <v>4584</v>
      </c>
      <c r="L822" s="81" t="s">
        <v>2392</v>
      </c>
      <c r="M822" s="81" t="s">
        <v>2202</v>
      </c>
      <c r="N822" s="81" t="s">
        <v>2231</v>
      </c>
      <c r="O822" s="81" t="s">
        <v>2187</v>
      </c>
      <c r="P822" s="81" t="s">
        <v>2187</v>
      </c>
      <c r="Q822" s="81" t="s">
        <v>43</v>
      </c>
      <c r="R822" s="81" t="s">
        <v>46</v>
      </c>
      <c r="S822" s="81" t="s">
        <v>46</v>
      </c>
      <c r="T822" s="81" t="s">
        <v>48</v>
      </c>
      <c r="U822" s="81" t="s">
        <v>48</v>
      </c>
      <c r="V822" s="81" t="s">
        <v>48</v>
      </c>
      <c r="W822" s="81" t="s">
        <v>49</v>
      </c>
      <c r="X822" s="81" t="s">
        <v>48</v>
      </c>
      <c r="Y822" s="81" t="s">
        <v>48</v>
      </c>
    </row>
    <row r="823" spans="1:25" x14ac:dyDescent="0.3">
      <c r="A823" s="16">
        <v>7502223112384</v>
      </c>
      <c r="B823" s="81" t="s">
        <v>43</v>
      </c>
      <c r="C823" s="81" t="s">
        <v>4365</v>
      </c>
      <c r="D823" s="81" t="s">
        <v>45</v>
      </c>
      <c r="E823" s="81" t="s">
        <v>2179</v>
      </c>
      <c r="F823" s="81" t="s">
        <v>2192</v>
      </c>
      <c r="G823" s="81" t="s">
        <v>5217</v>
      </c>
      <c r="H823" s="81" t="s">
        <v>6155</v>
      </c>
      <c r="I823" s="81" t="s">
        <v>6156</v>
      </c>
      <c r="J823" s="81" t="s">
        <v>2186</v>
      </c>
      <c r="K823" s="81" t="s">
        <v>6156</v>
      </c>
      <c r="L823" s="81" t="s">
        <v>2392</v>
      </c>
      <c r="M823" s="81" t="s">
        <v>6156</v>
      </c>
      <c r="N823" s="81" t="s">
        <v>2231</v>
      </c>
      <c r="O823" s="81" t="s">
        <v>2187</v>
      </c>
      <c r="P823" s="81" t="s">
        <v>2187</v>
      </c>
      <c r="Q823" s="81" t="s">
        <v>43</v>
      </c>
      <c r="R823" s="81" t="s">
        <v>46</v>
      </c>
      <c r="S823" s="81" t="s">
        <v>46</v>
      </c>
      <c r="T823" s="81" t="s">
        <v>48</v>
      </c>
      <c r="U823" s="81" t="s">
        <v>48</v>
      </c>
      <c r="V823" s="81" t="s">
        <v>48</v>
      </c>
      <c r="W823" s="81" t="s">
        <v>49</v>
      </c>
      <c r="X823" s="81" t="s">
        <v>48</v>
      </c>
      <c r="Y823" s="81" t="s">
        <v>48</v>
      </c>
    </row>
    <row r="824" spans="1:25" x14ac:dyDescent="0.3">
      <c r="A824" s="16">
        <v>7501075718232</v>
      </c>
      <c r="B824" s="81" t="s">
        <v>43</v>
      </c>
      <c r="C824" s="81" t="s">
        <v>818</v>
      </c>
      <c r="D824" s="81" t="s">
        <v>45</v>
      </c>
      <c r="E824" s="81" t="s">
        <v>2439</v>
      </c>
      <c r="F824" s="81" t="s">
        <v>2577</v>
      </c>
      <c r="G824" s="81" t="s">
        <v>3385</v>
      </c>
      <c r="H824" s="81" t="s">
        <v>2377</v>
      </c>
      <c r="I824" s="81" t="s">
        <v>6157</v>
      </c>
      <c r="J824" s="81" t="s">
        <v>2186</v>
      </c>
      <c r="K824" s="81" t="s">
        <v>6157</v>
      </c>
      <c r="L824" s="81" t="s">
        <v>2392</v>
      </c>
      <c r="M824" s="81" t="s">
        <v>6157</v>
      </c>
      <c r="N824" s="81" t="s">
        <v>2231</v>
      </c>
      <c r="O824" s="81" t="s">
        <v>2187</v>
      </c>
      <c r="P824" s="81" t="s">
        <v>2187</v>
      </c>
      <c r="Q824" s="81" t="s">
        <v>43</v>
      </c>
      <c r="R824" s="81" t="s">
        <v>46</v>
      </c>
      <c r="S824" s="81" t="s">
        <v>46</v>
      </c>
      <c r="T824" s="81" t="s">
        <v>48</v>
      </c>
      <c r="U824" s="81" t="s">
        <v>48</v>
      </c>
      <c r="V824" s="81" t="s">
        <v>48</v>
      </c>
      <c r="W824" s="81" t="s">
        <v>49</v>
      </c>
      <c r="X824" s="81" t="s">
        <v>48</v>
      </c>
      <c r="Y824" s="81" t="s">
        <v>48</v>
      </c>
    </row>
    <row r="825" spans="1:25" x14ac:dyDescent="0.3">
      <c r="A825" s="16">
        <v>7502274790791</v>
      </c>
      <c r="B825" s="81" t="s">
        <v>43</v>
      </c>
      <c r="C825" s="81" t="s">
        <v>819</v>
      </c>
      <c r="D825" s="81" t="s">
        <v>45</v>
      </c>
      <c r="E825" s="81" t="s">
        <v>2354</v>
      </c>
      <c r="F825" s="81" t="s">
        <v>2404</v>
      </c>
      <c r="G825" s="81" t="s">
        <v>3386</v>
      </c>
      <c r="H825" s="81" t="s">
        <v>2823</v>
      </c>
      <c r="I825" s="81" t="s">
        <v>3387</v>
      </c>
      <c r="J825" s="81" t="s">
        <v>2186</v>
      </c>
      <c r="K825" s="81" t="s">
        <v>2824</v>
      </c>
      <c r="L825" s="81" t="s">
        <v>2392</v>
      </c>
      <c r="M825" s="81" t="s">
        <v>2824</v>
      </c>
      <c r="N825" s="81" t="s">
        <v>2231</v>
      </c>
      <c r="O825" s="81" t="s">
        <v>2187</v>
      </c>
      <c r="P825" s="81" t="s">
        <v>2187</v>
      </c>
      <c r="Q825" s="81" t="s">
        <v>43</v>
      </c>
      <c r="R825" s="81" t="s">
        <v>46</v>
      </c>
      <c r="S825" s="81" t="s">
        <v>46</v>
      </c>
      <c r="T825" s="81" t="s">
        <v>48</v>
      </c>
      <c r="U825" s="81" t="s">
        <v>48</v>
      </c>
      <c r="V825" s="81" t="s">
        <v>48</v>
      </c>
      <c r="W825" s="81" t="s">
        <v>49</v>
      </c>
      <c r="X825" s="81" t="s">
        <v>48</v>
      </c>
      <c r="Y825" s="81" t="s">
        <v>48</v>
      </c>
    </row>
    <row r="826" spans="1:25" x14ac:dyDescent="0.3">
      <c r="A826" s="16">
        <v>7502009740770</v>
      </c>
      <c r="B826" s="81" t="s">
        <v>43</v>
      </c>
      <c r="C826" s="81" t="s">
        <v>820</v>
      </c>
      <c r="D826" s="81" t="s">
        <v>45</v>
      </c>
      <c r="E826" s="81" t="s">
        <v>2191</v>
      </c>
      <c r="F826" s="81" t="s">
        <v>2192</v>
      </c>
      <c r="G826" s="81" t="s">
        <v>3388</v>
      </c>
      <c r="H826" s="81" t="s">
        <v>2434</v>
      </c>
      <c r="I826" s="81" t="s">
        <v>3354</v>
      </c>
      <c r="J826" s="81" t="s">
        <v>2186</v>
      </c>
      <c r="K826" s="81" t="s">
        <v>3354</v>
      </c>
      <c r="L826" s="81" t="s">
        <v>2392</v>
      </c>
      <c r="M826" s="81" t="s">
        <v>3354</v>
      </c>
      <c r="N826" s="81" t="s">
        <v>2231</v>
      </c>
      <c r="O826" s="81" t="s">
        <v>2187</v>
      </c>
      <c r="P826" s="81" t="s">
        <v>2187</v>
      </c>
      <c r="Q826" s="81" t="s">
        <v>43</v>
      </c>
      <c r="R826" s="81" t="s">
        <v>51</v>
      </c>
      <c r="S826" s="81" t="s">
        <v>81</v>
      </c>
      <c r="T826" s="81" t="s">
        <v>49</v>
      </c>
      <c r="U826" s="81" t="s">
        <v>48</v>
      </c>
      <c r="V826" s="81" t="s">
        <v>48</v>
      </c>
      <c r="W826" s="81" t="s">
        <v>49</v>
      </c>
      <c r="X826" s="81" t="s">
        <v>48</v>
      </c>
      <c r="Y826" s="81" t="s">
        <v>48</v>
      </c>
    </row>
    <row r="827" spans="1:25" x14ac:dyDescent="0.3">
      <c r="A827" s="16">
        <v>7502001166110</v>
      </c>
      <c r="B827" s="81" t="s">
        <v>43</v>
      </c>
      <c r="C827" s="81" t="s">
        <v>821</v>
      </c>
      <c r="D827" s="81" t="s">
        <v>45</v>
      </c>
      <c r="E827" s="81" t="s">
        <v>2435</v>
      </c>
      <c r="F827" s="81" t="s">
        <v>2204</v>
      </c>
      <c r="G827" s="81" t="s">
        <v>4359</v>
      </c>
      <c r="H827" s="81" t="s">
        <v>2279</v>
      </c>
      <c r="I827" s="81" t="s">
        <v>5574</v>
      </c>
      <c r="J827" s="81" t="s">
        <v>2186</v>
      </c>
      <c r="K827" s="81" t="s">
        <v>5574</v>
      </c>
      <c r="L827" s="81" t="s">
        <v>2392</v>
      </c>
      <c r="M827" s="81" t="s">
        <v>5574</v>
      </c>
      <c r="N827" s="81" t="s">
        <v>2231</v>
      </c>
      <c r="O827" s="81" t="s">
        <v>2187</v>
      </c>
      <c r="P827" s="81" t="s">
        <v>2187</v>
      </c>
      <c r="Q827" s="81" t="s">
        <v>43</v>
      </c>
      <c r="R827" s="81" t="s">
        <v>46</v>
      </c>
      <c r="S827" s="81" t="s">
        <v>47</v>
      </c>
      <c r="T827" s="81" t="s">
        <v>48</v>
      </c>
      <c r="U827" s="81" t="s">
        <v>48</v>
      </c>
      <c r="V827" s="81" t="s">
        <v>48</v>
      </c>
      <c r="W827" s="81" t="s">
        <v>49</v>
      </c>
      <c r="X827" s="81" t="s">
        <v>48</v>
      </c>
      <c r="Y827" s="81" t="s">
        <v>48</v>
      </c>
    </row>
    <row r="828" spans="1:25" x14ac:dyDescent="0.3">
      <c r="A828" s="16">
        <v>7503001007694</v>
      </c>
      <c r="B828" s="81" t="s">
        <v>43</v>
      </c>
      <c r="C828" s="81" t="s">
        <v>3389</v>
      </c>
      <c r="D828" s="81" t="s">
        <v>45</v>
      </c>
      <c r="E828" s="81" t="s">
        <v>2211</v>
      </c>
      <c r="F828" s="81" t="s">
        <v>2686</v>
      </c>
      <c r="G828" s="81" t="s">
        <v>4816</v>
      </c>
      <c r="H828" s="81" t="s">
        <v>2264</v>
      </c>
      <c r="I828" s="81" t="s">
        <v>5544</v>
      </c>
      <c r="J828" s="81" t="s">
        <v>2186</v>
      </c>
      <c r="K828" s="81" t="s">
        <v>5544</v>
      </c>
      <c r="L828" s="81" t="s">
        <v>2392</v>
      </c>
      <c r="M828" s="81" t="s">
        <v>5544</v>
      </c>
      <c r="N828" s="81" t="s">
        <v>2231</v>
      </c>
      <c r="O828" s="81" t="s">
        <v>2187</v>
      </c>
      <c r="P828" s="81" t="s">
        <v>2187</v>
      </c>
      <c r="Q828" s="81" t="s">
        <v>43</v>
      </c>
      <c r="R828" s="81" t="s">
        <v>46</v>
      </c>
      <c r="S828" s="81" t="s">
        <v>46</v>
      </c>
      <c r="T828" s="81" t="s">
        <v>48</v>
      </c>
      <c r="U828" s="81" t="s">
        <v>48</v>
      </c>
      <c r="V828" s="81" t="s">
        <v>48</v>
      </c>
      <c r="W828" s="81" t="s">
        <v>49</v>
      </c>
      <c r="X828" s="81" t="s">
        <v>48</v>
      </c>
      <c r="Y828" s="81" t="s">
        <v>48</v>
      </c>
    </row>
    <row r="829" spans="1:25" x14ac:dyDescent="0.3">
      <c r="A829" s="16">
        <v>7501299303085</v>
      </c>
      <c r="B829" s="81" t="s">
        <v>43</v>
      </c>
      <c r="C829" s="81" t="s">
        <v>822</v>
      </c>
      <c r="D829" s="81" t="s">
        <v>45</v>
      </c>
      <c r="E829" s="81" t="s">
        <v>2262</v>
      </c>
      <c r="F829" s="81" t="s">
        <v>2263</v>
      </c>
      <c r="G829" s="81" t="s">
        <v>5185</v>
      </c>
      <c r="H829" s="81" t="s">
        <v>2511</v>
      </c>
      <c r="I829" s="81" t="s">
        <v>6158</v>
      </c>
      <c r="J829" s="81" t="s">
        <v>2186</v>
      </c>
      <c r="K829" s="81" t="s">
        <v>6158</v>
      </c>
      <c r="L829" s="81" t="s">
        <v>2392</v>
      </c>
      <c r="M829" s="81" t="s">
        <v>6158</v>
      </c>
      <c r="N829" s="81" t="s">
        <v>2231</v>
      </c>
      <c r="O829" s="81" t="s">
        <v>2187</v>
      </c>
      <c r="P829" s="81" t="s">
        <v>2187</v>
      </c>
      <c r="Q829" s="81" t="s">
        <v>43</v>
      </c>
      <c r="R829" s="81" t="s">
        <v>203</v>
      </c>
      <c r="S829" s="81" t="s">
        <v>203</v>
      </c>
      <c r="T829" s="81" t="s">
        <v>48</v>
      </c>
      <c r="U829" s="81" t="s">
        <v>48</v>
      </c>
      <c r="V829" s="81" t="s">
        <v>48</v>
      </c>
      <c r="W829" s="81" t="s">
        <v>49</v>
      </c>
      <c r="X829" s="81" t="s">
        <v>48</v>
      </c>
      <c r="Y829" s="81" t="s">
        <v>48</v>
      </c>
    </row>
    <row r="830" spans="1:25" x14ac:dyDescent="0.3">
      <c r="A830" s="16">
        <v>7502209810082</v>
      </c>
      <c r="B830" s="81" t="s">
        <v>43</v>
      </c>
      <c r="C830" s="81" t="s">
        <v>823</v>
      </c>
      <c r="D830" s="81" t="s">
        <v>45</v>
      </c>
      <c r="E830" s="81" t="s">
        <v>2257</v>
      </c>
      <c r="F830" s="81" t="s">
        <v>2258</v>
      </c>
      <c r="G830" s="81" t="s">
        <v>3390</v>
      </c>
      <c r="H830" s="81" t="s">
        <v>6159</v>
      </c>
      <c r="I830" s="81" t="s">
        <v>6160</v>
      </c>
      <c r="J830" s="81" t="s">
        <v>2186</v>
      </c>
      <c r="K830" s="81" t="s">
        <v>6160</v>
      </c>
      <c r="L830" s="81" t="s">
        <v>2392</v>
      </c>
      <c r="M830" s="81" t="s">
        <v>6160</v>
      </c>
      <c r="N830" s="81" t="s">
        <v>2231</v>
      </c>
      <c r="O830" s="81" t="s">
        <v>2187</v>
      </c>
      <c r="P830" s="81" t="s">
        <v>2187</v>
      </c>
      <c r="Q830" s="81" t="s">
        <v>43</v>
      </c>
      <c r="R830" s="81" t="s">
        <v>51</v>
      </c>
      <c r="S830" s="81" t="s">
        <v>81</v>
      </c>
      <c r="T830" s="81" t="s">
        <v>49</v>
      </c>
      <c r="U830" s="81" t="s">
        <v>48</v>
      </c>
      <c r="V830" s="81" t="s">
        <v>48</v>
      </c>
      <c r="W830" s="81" t="s">
        <v>49</v>
      </c>
      <c r="X830" s="81" t="s">
        <v>48</v>
      </c>
      <c r="Y830" s="81" t="s">
        <v>48</v>
      </c>
    </row>
    <row r="831" spans="1:25" x14ac:dyDescent="0.3">
      <c r="A831" s="16">
        <v>7501573906346</v>
      </c>
      <c r="B831" s="81" t="s">
        <v>43</v>
      </c>
      <c r="C831" s="81" t="s">
        <v>3391</v>
      </c>
      <c r="D831" s="81" t="s">
        <v>45</v>
      </c>
      <c r="E831" s="81" t="s">
        <v>2368</v>
      </c>
      <c r="F831" s="81" t="s">
        <v>2357</v>
      </c>
      <c r="G831" s="81" t="s">
        <v>5193</v>
      </c>
      <c r="H831" s="81" t="s">
        <v>2193</v>
      </c>
      <c r="I831" s="81" t="s">
        <v>6161</v>
      </c>
      <c r="J831" s="81" t="s">
        <v>2186</v>
      </c>
      <c r="K831" s="81" t="s">
        <v>6161</v>
      </c>
      <c r="L831" s="81" t="s">
        <v>2392</v>
      </c>
      <c r="M831" s="81" t="s">
        <v>6161</v>
      </c>
      <c r="N831" s="81" t="s">
        <v>2231</v>
      </c>
      <c r="O831" s="81" t="s">
        <v>2187</v>
      </c>
      <c r="P831" s="81" t="s">
        <v>2187</v>
      </c>
      <c r="Q831" s="81" t="s">
        <v>43</v>
      </c>
      <c r="R831" s="81" t="s">
        <v>46</v>
      </c>
      <c r="S831" s="81" t="s">
        <v>46</v>
      </c>
      <c r="T831" s="81" t="s">
        <v>48</v>
      </c>
      <c r="U831" s="81" t="s">
        <v>48</v>
      </c>
      <c r="V831" s="81" t="s">
        <v>48</v>
      </c>
      <c r="W831" s="81" t="s">
        <v>49</v>
      </c>
      <c r="X831" s="81" t="s">
        <v>48</v>
      </c>
      <c r="Y831" s="81" t="s">
        <v>48</v>
      </c>
    </row>
    <row r="832" spans="1:25" x14ac:dyDescent="0.3">
      <c r="A832" s="16">
        <v>7501159580182</v>
      </c>
      <c r="B832" s="81" t="s">
        <v>43</v>
      </c>
      <c r="C832" s="81" t="s">
        <v>824</v>
      </c>
      <c r="D832" s="81" t="s">
        <v>45</v>
      </c>
      <c r="E832" s="81" t="s">
        <v>2192</v>
      </c>
      <c r="F832" s="81" t="s">
        <v>2294</v>
      </c>
      <c r="G832" s="81" t="s">
        <v>4585</v>
      </c>
      <c r="H832" s="81" t="s">
        <v>3392</v>
      </c>
      <c r="I832" s="81" t="s">
        <v>6162</v>
      </c>
      <c r="J832" s="81" t="s">
        <v>2186</v>
      </c>
      <c r="K832" s="81" t="s">
        <v>6162</v>
      </c>
      <c r="L832" s="81" t="s">
        <v>2392</v>
      </c>
      <c r="M832" s="81" t="s">
        <v>6162</v>
      </c>
      <c r="N832" s="81" t="s">
        <v>2231</v>
      </c>
      <c r="O832" s="81" t="s">
        <v>2187</v>
      </c>
      <c r="P832" s="81" t="s">
        <v>2187</v>
      </c>
      <c r="Q832" s="81" t="s">
        <v>43</v>
      </c>
      <c r="R832" s="81" t="s">
        <v>203</v>
      </c>
      <c r="S832" s="81" t="s">
        <v>203</v>
      </c>
      <c r="T832" s="81" t="s">
        <v>48</v>
      </c>
      <c r="U832" s="81" t="s">
        <v>48</v>
      </c>
      <c r="V832" s="81" t="s">
        <v>48</v>
      </c>
      <c r="W832" s="81" t="s">
        <v>49</v>
      </c>
      <c r="X832" s="81" t="s">
        <v>48</v>
      </c>
      <c r="Y832" s="81" t="s">
        <v>48</v>
      </c>
    </row>
    <row r="833" spans="1:25" x14ac:dyDescent="0.3">
      <c r="A833" s="16">
        <v>7501563380408</v>
      </c>
      <c r="B833" s="81" t="s">
        <v>43</v>
      </c>
      <c r="C833" s="81" t="s">
        <v>4301</v>
      </c>
      <c r="D833" s="81" t="s">
        <v>45</v>
      </c>
      <c r="E833" s="81" t="s">
        <v>2283</v>
      </c>
      <c r="F833" s="81" t="s">
        <v>2510</v>
      </c>
      <c r="G833" s="81" t="s">
        <v>5498</v>
      </c>
      <c r="H833" s="81" t="s">
        <v>2202</v>
      </c>
      <c r="I833" s="81" t="s">
        <v>6163</v>
      </c>
      <c r="J833" s="81" t="s">
        <v>2186</v>
      </c>
      <c r="K833" s="81" t="s">
        <v>6163</v>
      </c>
      <c r="L833" s="81" t="s">
        <v>2392</v>
      </c>
      <c r="M833" s="81" t="s">
        <v>6163</v>
      </c>
      <c r="N833" s="81" t="s">
        <v>2231</v>
      </c>
      <c r="O833" s="81" t="s">
        <v>2187</v>
      </c>
      <c r="P833" s="81" t="s">
        <v>2187</v>
      </c>
      <c r="Q833" s="81" t="s">
        <v>43</v>
      </c>
      <c r="R833" s="81" t="s">
        <v>46</v>
      </c>
      <c r="S833" s="81" t="s">
        <v>164</v>
      </c>
      <c r="T833" s="81" t="s">
        <v>48</v>
      </c>
      <c r="U833" s="81" t="s">
        <v>48</v>
      </c>
      <c r="V833" s="81" t="s">
        <v>48</v>
      </c>
      <c r="W833" s="81" t="s">
        <v>49</v>
      </c>
      <c r="X833" s="81" t="s">
        <v>48</v>
      </c>
      <c r="Y833" s="81" t="s">
        <v>48</v>
      </c>
    </row>
    <row r="834" spans="1:25" x14ac:dyDescent="0.3">
      <c r="A834" s="16">
        <v>7501088507854</v>
      </c>
      <c r="B834" s="81" t="s">
        <v>43</v>
      </c>
      <c r="C834" s="81" t="s">
        <v>1665</v>
      </c>
      <c r="D834" s="81" t="s">
        <v>45</v>
      </c>
      <c r="E834" s="81" t="s">
        <v>2412</v>
      </c>
      <c r="F834" s="81" t="s">
        <v>2412</v>
      </c>
      <c r="G834" s="81" t="s">
        <v>3393</v>
      </c>
      <c r="H834" s="81" t="s">
        <v>3267</v>
      </c>
      <c r="I834" s="81" t="s">
        <v>6164</v>
      </c>
      <c r="J834" s="81" t="s">
        <v>2186</v>
      </c>
      <c r="K834" s="81" t="s">
        <v>6164</v>
      </c>
      <c r="L834" s="81" t="s">
        <v>2392</v>
      </c>
      <c r="M834" s="81" t="s">
        <v>6164</v>
      </c>
      <c r="N834" s="81" t="s">
        <v>2231</v>
      </c>
      <c r="O834" s="81" t="s">
        <v>2187</v>
      </c>
      <c r="P834" s="81" t="s">
        <v>2187</v>
      </c>
      <c r="Q834" s="81" t="s">
        <v>43</v>
      </c>
      <c r="R834" s="81" t="s">
        <v>203</v>
      </c>
      <c r="S834" s="81" t="s">
        <v>203</v>
      </c>
      <c r="T834" s="81" t="s">
        <v>48</v>
      </c>
      <c r="U834" s="81" t="s">
        <v>48</v>
      </c>
      <c r="V834" s="81" t="s">
        <v>48</v>
      </c>
      <c r="W834" s="81" t="s">
        <v>49</v>
      </c>
      <c r="X834" s="81" t="s">
        <v>48</v>
      </c>
      <c r="Y834" s="81" t="s">
        <v>48</v>
      </c>
    </row>
    <row r="835" spans="1:25" x14ac:dyDescent="0.3">
      <c r="A835" s="16">
        <v>7501008495339</v>
      </c>
      <c r="B835" s="81" t="s">
        <v>43</v>
      </c>
      <c r="C835" s="81" t="s">
        <v>5087</v>
      </c>
      <c r="D835" s="81" t="s">
        <v>45</v>
      </c>
      <c r="E835" s="81" t="s">
        <v>2308</v>
      </c>
      <c r="F835" s="81" t="s">
        <v>2369</v>
      </c>
      <c r="G835" s="81" t="s">
        <v>5436</v>
      </c>
      <c r="H835" s="81" t="s">
        <v>2687</v>
      </c>
      <c r="I835" s="81" t="s">
        <v>6165</v>
      </c>
      <c r="J835" s="81" t="s">
        <v>2186</v>
      </c>
      <c r="K835" s="81" t="s">
        <v>6165</v>
      </c>
      <c r="L835" s="81" t="s">
        <v>2392</v>
      </c>
      <c r="M835" s="81" t="s">
        <v>6165</v>
      </c>
      <c r="N835" s="81" t="s">
        <v>2231</v>
      </c>
      <c r="O835" s="81" t="s">
        <v>2187</v>
      </c>
      <c r="P835" s="81" t="s">
        <v>2187</v>
      </c>
      <c r="Q835" s="81" t="s">
        <v>43</v>
      </c>
      <c r="R835" s="81" t="s">
        <v>203</v>
      </c>
      <c r="S835" s="81" t="s">
        <v>203</v>
      </c>
      <c r="T835" s="81" t="s">
        <v>48</v>
      </c>
      <c r="U835" s="81" t="s">
        <v>48</v>
      </c>
      <c r="V835" s="81" t="s">
        <v>48</v>
      </c>
      <c r="W835" s="81" t="s">
        <v>49</v>
      </c>
      <c r="X835" s="81" t="s">
        <v>48</v>
      </c>
      <c r="Y835" s="81" t="s">
        <v>48</v>
      </c>
    </row>
    <row r="836" spans="1:25" x14ac:dyDescent="0.3">
      <c r="A836" s="16">
        <v>7501298214986</v>
      </c>
      <c r="B836" s="81" t="s">
        <v>43</v>
      </c>
      <c r="C836" s="81" t="s">
        <v>2149</v>
      </c>
      <c r="D836" s="81" t="s">
        <v>45</v>
      </c>
      <c r="E836" s="81" t="s">
        <v>2180</v>
      </c>
      <c r="F836" s="81" t="s">
        <v>2363</v>
      </c>
      <c r="G836" s="81" t="s">
        <v>5117</v>
      </c>
      <c r="H836" s="81" t="s">
        <v>2582</v>
      </c>
      <c r="I836" s="81" t="s">
        <v>2884</v>
      </c>
      <c r="J836" s="81" t="s">
        <v>2186</v>
      </c>
      <c r="K836" s="81" t="s">
        <v>2884</v>
      </c>
      <c r="L836" s="81" t="s">
        <v>2392</v>
      </c>
      <c r="M836" s="81" t="s">
        <v>2884</v>
      </c>
      <c r="N836" s="81" t="s">
        <v>2231</v>
      </c>
      <c r="O836" s="81" t="s">
        <v>2187</v>
      </c>
      <c r="P836" s="81" t="s">
        <v>2187</v>
      </c>
      <c r="Q836" s="81" t="s">
        <v>43</v>
      </c>
      <c r="R836" s="81" t="s">
        <v>203</v>
      </c>
      <c r="S836" s="81" t="s">
        <v>47</v>
      </c>
      <c r="T836" s="81" t="s">
        <v>48</v>
      </c>
      <c r="U836" s="81" t="s">
        <v>48</v>
      </c>
      <c r="V836" s="81" t="s">
        <v>48</v>
      </c>
      <c r="W836" s="81" t="s">
        <v>49</v>
      </c>
      <c r="X836" s="81" t="s">
        <v>48</v>
      </c>
      <c r="Y836" s="81" t="s">
        <v>48</v>
      </c>
    </row>
    <row r="837" spans="1:25" x14ac:dyDescent="0.3">
      <c r="A837" s="16">
        <v>7501349028937</v>
      </c>
      <c r="B837" s="81" t="s">
        <v>43</v>
      </c>
      <c r="C837" s="81" t="s">
        <v>825</v>
      </c>
      <c r="D837" s="81" t="s">
        <v>45</v>
      </c>
      <c r="E837" s="81" t="s">
        <v>2465</v>
      </c>
      <c r="F837" s="81" t="s">
        <v>2257</v>
      </c>
      <c r="G837" s="81" t="s">
        <v>5403</v>
      </c>
      <c r="H837" s="81" t="s">
        <v>2236</v>
      </c>
      <c r="I837" s="81" t="s">
        <v>6166</v>
      </c>
      <c r="J837" s="81" t="s">
        <v>2186</v>
      </c>
      <c r="K837" s="81" t="s">
        <v>6166</v>
      </c>
      <c r="L837" s="81" t="s">
        <v>2392</v>
      </c>
      <c r="M837" s="81" t="s">
        <v>6166</v>
      </c>
      <c r="N837" s="81" t="s">
        <v>2231</v>
      </c>
      <c r="O837" s="81" t="s">
        <v>2187</v>
      </c>
      <c r="P837" s="81" t="s">
        <v>2187</v>
      </c>
      <c r="Q837" s="81" t="s">
        <v>43</v>
      </c>
      <c r="R837" s="81" t="s">
        <v>46</v>
      </c>
      <c r="S837" s="81" t="s">
        <v>73</v>
      </c>
      <c r="T837" s="81" t="s">
        <v>48</v>
      </c>
      <c r="U837" s="81" t="s">
        <v>48</v>
      </c>
      <c r="V837" s="81" t="s">
        <v>48</v>
      </c>
      <c r="W837" s="81" t="s">
        <v>49</v>
      </c>
      <c r="X837" s="81" t="s">
        <v>48</v>
      </c>
      <c r="Y837" s="81" t="s">
        <v>48</v>
      </c>
    </row>
    <row r="838" spans="1:25" x14ac:dyDescent="0.3">
      <c r="A838" s="16">
        <v>7503001007137</v>
      </c>
      <c r="B838" s="81" t="s">
        <v>43</v>
      </c>
      <c r="C838" s="81" t="s">
        <v>826</v>
      </c>
      <c r="D838" s="81" t="s">
        <v>45</v>
      </c>
      <c r="E838" s="81" t="s">
        <v>2210</v>
      </c>
      <c r="F838" s="81" t="s">
        <v>2606</v>
      </c>
      <c r="G838" s="81" t="s">
        <v>5186</v>
      </c>
      <c r="H838" s="81" t="s">
        <v>2264</v>
      </c>
      <c r="I838" s="81" t="s">
        <v>4006</v>
      </c>
      <c r="J838" s="81" t="s">
        <v>2186</v>
      </c>
      <c r="K838" s="81" t="s">
        <v>4006</v>
      </c>
      <c r="L838" s="81" t="s">
        <v>2392</v>
      </c>
      <c r="M838" s="81" t="s">
        <v>4006</v>
      </c>
      <c r="N838" s="81" t="s">
        <v>2231</v>
      </c>
      <c r="O838" s="81" t="s">
        <v>2187</v>
      </c>
      <c r="P838" s="81" t="s">
        <v>2187</v>
      </c>
      <c r="Q838" s="81" t="s">
        <v>43</v>
      </c>
      <c r="R838" s="81" t="s">
        <v>51</v>
      </c>
      <c r="S838" s="81" t="s">
        <v>81</v>
      </c>
      <c r="T838" s="81" t="s">
        <v>49</v>
      </c>
      <c r="U838" s="81" t="s">
        <v>48</v>
      </c>
      <c r="V838" s="81" t="s">
        <v>48</v>
      </c>
      <c r="W838" s="81" t="s">
        <v>49</v>
      </c>
      <c r="X838" s="81" t="s">
        <v>48</v>
      </c>
      <c r="Y838" s="81" t="s">
        <v>48</v>
      </c>
    </row>
    <row r="839" spans="1:25" x14ac:dyDescent="0.3">
      <c r="A839" s="16">
        <v>780083139766</v>
      </c>
      <c r="B839" s="81" t="s">
        <v>43</v>
      </c>
      <c r="C839" s="81" t="s">
        <v>827</v>
      </c>
      <c r="D839" s="81" t="s">
        <v>45</v>
      </c>
      <c r="E839" s="81" t="s">
        <v>2262</v>
      </c>
      <c r="F839" s="81" t="s">
        <v>2521</v>
      </c>
      <c r="G839" s="81" t="s">
        <v>3397</v>
      </c>
      <c r="H839" s="81" t="s">
        <v>2426</v>
      </c>
      <c r="I839" s="81" t="s">
        <v>6167</v>
      </c>
      <c r="J839" s="81" t="s">
        <v>2186</v>
      </c>
      <c r="K839" s="81" t="s">
        <v>6167</v>
      </c>
      <c r="L839" s="81" t="s">
        <v>2392</v>
      </c>
      <c r="M839" s="81" t="s">
        <v>6167</v>
      </c>
      <c r="N839" s="81" t="s">
        <v>2231</v>
      </c>
      <c r="O839" s="81" t="s">
        <v>2187</v>
      </c>
      <c r="P839" s="81" t="s">
        <v>2187</v>
      </c>
      <c r="Q839" s="81" t="s">
        <v>43</v>
      </c>
      <c r="R839" s="81" t="s">
        <v>46</v>
      </c>
      <c r="S839" s="81" t="s">
        <v>47</v>
      </c>
      <c r="T839" s="81" t="s">
        <v>48</v>
      </c>
      <c r="U839" s="81" t="s">
        <v>48</v>
      </c>
      <c r="V839" s="81" t="s">
        <v>48</v>
      </c>
      <c r="W839" s="81" t="s">
        <v>49</v>
      </c>
      <c r="X839" s="81" t="s">
        <v>48</v>
      </c>
      <c r="Y839" s="81" t="s">
        <v>48</v>
      </c>
    </row>
    <row r="840" spans="1:25" x14ac:dyDescent="0.3">
      <c r="A840" s="16">
        <v>7501547509016</v>
      </c>
      <c r="B840" s="81" t="s">
        <v>43</v>
      </c>
      <c r="C840" s="81" t="s">
        <v>3398</v>
      </c>
      <c r="D840" s="81" t="s">
        <v>45</v>
      </c>
      <c r="E840" s="81" t="s">
        <v>2706</v>
      </c>
      <c r="F840" s="81" t="s">
        <v>3399</v>
      </c>
      <c r="G840" s="81" t="s">
        <v>6168</v>
      </c>
      <c r="H840" s="81" t="s">
        <v>2463</v>
      </c>
      <c r="I840" s="81" t="s">
        <v>6169</v>
      </c>
      <c r="J840" s="81" t="s">
        <v>2186</v>
      </c>
      <c r="K840" s="81" t="s">
        <v>6169</v>
      </c>
      <c r="L840" s="81" t="s">
        <v>2392</v>
      </c>
      <c r="M840" s="81" t="s">
        <v>6169</v>
      </c>
      <c r="N840" s="81" t="s">
        <v>2231</v>
      </c>
      <c r="O840" s="81" t="s">
        <v>2187</v>
      </c>
      <c r="P840" s="81" t="s">
        <v>2187</v>
      </c>
      <c r="Q840" s="81" t="s">
        <v>43</v>
      </c>
      <c r="R840" s="81" t="s">
        <v>46</v>
      </c>
      <c r="S840" s="81" t="s">
        <v>46</v>
      </c>
      <c r="T840" s="81" t="s">
        <v>48</v>
      </c>
      <c r="U840" s="81" t="s">
        <v>48</v>
      </c>
      <c r="V840" s="81" t="s">
        <v>48</v>
      </c>
      <c r="W840" s="81" t="s">
        <v>49</v>
      </c>
      <c r="X840" s="81" t="s">
        <v>48</v>
      </c>
      <c r="Y840" s="81" t="s">
        <v>48</v>
      </c>
    </row>
    <row r="841" spans="1:25" x14ac:dyDescent="0.3">
      <c r="A841" s="16">
        <v>7506452400267</v>
      </c>
      <c r="B841" s="81" t="s">
        <v>43</v>
      </c>
      <c r="C841" s="81" t="s">
        <v>828</v>
      </c>
      <c r="D841" s="81" t="s">
        <v>45</v>
      </c>
      <c r="E841" s="81" t="s">
        <v>2308</v>
      </c>
      <c r="F841" s="81" t="s">
        <v>2180</v>
      </c>
      <c r="G841" s="81" t="s">
        <v>3400</v>
      </c>
      <c r="H841" s="81" t="s">
        <v>3401</v>
      </c>
      <c r="I841" s="81" t="s">
        <v>2757</v>
      </c>
      <c r="J841" s="81" t="s">
        <v>2186</v>
      </c>
      <c r="K841" s="81" t="s">
        <v>2621</v>
      </c>
      <c r="L841" s="81" t="s">
        <v>2392</v>
      </c>
      <c r="M841" s="81" t="s">
        <v>3402</v>
      </c>
      <c r="N841" s="81" t="s">
        <v>2231</v>
      </c>
      <c r="O841" s="81" t="s">
        <v>2187</v>
      </c>
      <c r="P841" s="81" t="s">
        <v>2187</v>
      </c>
      <c r="Q841" s="81" t="s">
        <v>43</v>
      </c>
      <c r="R841" s="81" t="s">
        <v>203</v>
      </c>
      <c r="S841" s="81" t="s">
        <v>203</v>
      </c>
      <c r="T841" s="81" t="s">
        <v>48</v>
      </c>
      <c r="U841" s="81" t="s">
        <v>48</v>
      </c>
      <c r="V841" s="81" t="s">
        <v>49</v>
      </c>
      <c r="W841" s="81" t="s">
        <v>48</v>
      </c>
      <c r="X841" s="81" t="s">
        <v>48</v>
      </c>
      <c r="Y841" s="81" t="s">
        <v>48</v>
      </c>
    </row>
    <row r="842" spans="1:25" x14ac:dyDescent="0.3">
      <c r="A842" s="16">
        <v>7502208892287</v>
      </c>
      <c r="B842" s="81" t="s">
        <v>43</v>
      </c>
      <c r="C842" s="81" t="s">
        <v>1818</v>
      </c>
      <c r="D842" s="81" t="s">
        <v>45</v>
      </c>
      <c r="E842" s="81" t="s">
        <v>2704</v>
      </c>
      <c r="F842" s="81" t="s">
        <v>2312</v>
      </c>
      <c r="G842" s="81" t="s">
        <v>4302</v>
      </c>
      <c r="H842" s="81" t="s">
        <v>6170</v>
      </c>
      <c r="I842" s="81" t="s">
        <v>6171</v>
      </c>
      <c r="J842" s="81" t="s">
        <v>2186</v>
      </c>
      <c r="K842" s="81" t="s">
        <v>6171</v>
      </c>
      <c r="L842" s="81" t="s">
        <v>2392</v>
      </c>
      <c r="M842" s="81" t="s">
        <v>6171</v>
      </c>
      <c r="N842" s="81" t="s">
        <v>2231</v>
      </c>
      <c r="O842" s="81" t="s">
        <v>2187</v>
      </c>
      <c r="P842" s="81" t="s">
        <v>2187</v>
      </c>
      <c r="Q842" s="81" t="s">
        <v>43</v>
      </c>
      <c r="R842" s="81" t="s">
        <v>51</v>
      </c>
      <c r="S842" s="81" t="s">
        <v>81</v>
      </c>
      <c r="T842" s="81" t="s">
        <v>49</v>
      </c>
      <c r="U842" s="81" t="s">
        <v>48</v>
      </c>
      <c r="V842" s="81" t="s">
        <v>48</v>
      </c>
      <c r="W842" s="81" t="s">
        <v>49</v>
      </c>
      <c r="X842" s="81" t="s">
        <v>48</v>
      </c>
      <c r="Y842" s="81" t="s">
        <v>48</v>
      </c>
    </row>
    <row r="843" spans="1:25" x14ac:dyDescent="0.3">
      <c r="A843" s="16">
        <v>7503001007090</v>
      </c>
      <c r="B843" s="81" t="s">
        <v>43</v>
      </c>
      <c r="C843" s="81" t="s">
        <v>829</v>
      </c>
      <c r="D843" s="81" t="s">
        <v>45</v>
      </c>
      <c r="E843" s="81" t="s">
        <v>2298</v>
      </c>
      <c r="F843" s="81" t="s">
        <v>2262</v>
      </c>
      <c r="G843" s="81" t="s">
        <v>5030</v>
      </c>
      <c r="H843" s="81" t="s">
        <v>2259</v>
      </c>
      <c r="I843" s="81" t="s">
        <v>3628</v>
      </c>
      <c r="J843" s="81" t="s">
        <v>2186</v>
      </c>
      <c r="K843" s="81" t="s">
        <v>3628</v>
      </c>
      <c r="L843" s="81" t="s">
        <v>2392</v>
      </c>
      <c r="M843" s="81" t="s">
        <v>3628</v>
      </c>
      <c r="N843" s="81" t="s">
        <v>2231</v>
      </c>
      <c r="O843" s="81" t="s">
        <v>2187</v>
      </c>
      <c r="P843" s="81" t="s">
        <v>2187</v>
      </c>
      <c r="Q843" s="81" t="s">
        <v>43</v>
      </c>
      <c r="R843" s="81" t="s">
        <v>51</v>
      </c>
      <c r="S843" s="81" t="s">
        <v>81</v>
      </c>
      <c r="T843" s="81" t="s">
        <v>49</v>
      </c>
      <c r="U843" s="81" t="s">
        <v>48</v>
      </c>
      <c r="V843" s="81" t="s">
        <v>48</v>
      </c>
      <c r="W843" s="81" t="s">
        <v>49</v>
      </c>
      <c r="X843" s="81" t="s">
        <v>48</v>
      </c>
      <c r="Y843" s="81" t="s">
        <v>48</v>
      </c>
    </row>
    <row r="844" spans="1:25" x14ac:dyDescent="0.3">
      <c r="A844" s="16">
        <v>7502211780069</v>
      </c>
      <c r="B844" s="81" t="s">
        <v>43</v>
      </c>
      <c r="C844" s="81" t="s">
        <v>830</v>
      </c>
      <c r="D844" s="81" t="s">
        <v>45</v>
      </c>
      <c r="E844" s="81" t="s">
        <v>2357</v>
      </c>
      <c r="F844" s="81" t="s">
        <v>2358</v>
      </c>
      <c r="G844" s="81" t="s">
        <v>3403</v>
      </c>
      <c r="H844" s="81" t="s">
        <v>6172</v>
      </c>
      <c r="I844" s="81" t="s">
        <v>2366</v>
      </c>
      <c r="J844" s="81" t="s">
        <v>2186</v>
      </c>
      <c r="K844" s="81" t="s">
        <v>2366</v>
      </c>
      <c r="L844" s="81" t="s">
        <v>2392</v>
      </c>
      <c r="M844" s="81" t="s">
        <v>2366</v>
      </c>
      <c r="N844" s="81" t="s">
        <v>2231</v>
      </c>
      <c r="O844" s="81" t="s">
        <v>2187</v>
      </c>
      <c r="P844" s="81" t="s">
        <v>2187</v>
      </c>
      <c r="Q844" s="81" t="s">
        <v>43</v>
      </c>
      <c r="R844" s="81" t="s">
        <v>46</v>
      </c>
      <c r="S844" s="81" t="s">
        <v>46</v>
      </c>
      <c r="T844" s="81" t="s">
        <v>48</v>
      </c>
      <c r="U844" s="81" t="s">
        <v>48</v>
      </c>
      <c r="V844" s="81" t="s">
        <v>48</v>
      </c>
      <c r="W844" s="81" t="s">
        <v>49</v>
      </c>
      <c r="X844" s="81" t="s">
        <v>48</v>
      </c>
      <c r="Y844" s="81" t="s">
        <v>48</v>
      </c>
    </row>
    <row r="845" spans="1:25" x14ac:dyDescent="0.3">
      <c r="A845" s="16">
        <v>7501573900436</v>
      </c>
      <c r="B845" s="81" t="s">
        <v>43</v>
      </c>
      <c r="C845" s="81" t="s">
        <v>831</v>
      </c>
      <c r="D845" s="81" t="s">
        <v>45</v>
      </c>
      <c r="E845" s="81" t="s">
        <v>2363</v>
      </c>
      <c r="F845" s="81" t="s">
        <v>2364</v>
      </c>
      <c r="G845" s="81" t="s">
        <v>3404</v>
      </c>
      <c r="H845" s="81" t="s">
        <v>2236</v>
      </c>
      <c r="I845" s="81" t="s">
        <v>5737</v>
      </c>
      <c r="J845" s="81" t="s">
        <v>2186</v>
      </c>
      <c r="K845" s="81" t="s">
        <v>5737</v>
      </c>
      <c r="L845" s="81" t="s">
        <v>2392</v>
      </c>
      <c r="M845" s="81" t="s">
        <v>5737</v>
      </c>
      <c r="N845" s="81" t="s">
        <v>2231</v>
      </c>
      <c r="O845" s="81" t="s">
        <v>2187</v>
      </c>
      <c r="P845" s="81" t="s">
        <v>2187</v>
      </c>
      <c r="Q845" s="81" t="s">
        <v>43</v>
      </c>
      <c r="R845" s="81" t="s">
        <v>46</v>
      </c>
      <c r="S845" s="81" t="s">
        <v>46</v>
      </c>
      <c r="T845" s="81" t="s">
        <v>48</v>
      </c>
      <c r="U845" s="81" t="s">
        <v>48</v>
      </c>
      <c r="V845" s="81" t="s">
        <v>48</v>
      </c>
      <c r="W845" s="81" t="s">
        <v>49</v>
      </c>
      <c r="X845" s="81" t="s">
        <v>48</v>
      </c>
      <c r="Y845" s="81" t="s">
        <v>48</v>
      </c>
    </row>
    <row r="846" spans="1:25" x14ac:dyDescent="0.3">
      <c r="A846" s="16">
        <v>7501094910570</v>
      </c>
      <c r="B846" s="81" t="s">
        <v>43</v>
      </c>
      <c r="C846" s="81" t="s">
        <v>832</v>
      </c>
      <c r="D846" s="81" t="s">
        <v>45</v>
      </c>
      <c r="E846" s="81" t="s">
        <v>2363</v>
      </c>
      <c r="F846" s="81" t="s">
        <v>2616</v>
      </c>
      <c r="G846" s="81" t="s">
        <v>3405</v>
      </c>
      <c r="H846" s="81" t="s">
        <v>3096</v>
      </c>
      <c r="I846" s="81" t="s">
        <v>5912</v>
      </c>
      <c r="J846" s="81" t="s">
        <v>2186</v>
      </c>
      <c r="K846" s="81" t="s">
        <v>5912</v>
      </c>
      <c r="L846" s="81" t="s">
        <v>2392</v>
      </c>
      <c r="M846" s="81" t="s">
        <v>5912</v>
      </c>
      <c r="N846" s="81" t="s">
        <v>2231</v>
      </c>
      <c r="O846" s="81" t="s">
        <v>2187</v>
      </c>
      <c r="P846" s="81" t="s">
        <v>2187</v>
      </c>
      <c r="Q846" s="81" t="s">
        <v>43</v>
      </c>
      <c r="R846" s="81" t="s">
        <v>203</v>
      </c>
      <c r="S846" s="81" t="s">
        <v>203</v>
      </c>
      <c r="T846" s="81" t="s">
        <v>48</v>
      </c>
      <c r="U846" s="81" t="s">
        <v>48</v>
      </c>
      <c r="V846" s="81" t="s">
        <v>48</v>
      </c>
      <c r="W846" s="81" t="s">
        <v>49</v>
      </c>
      <c r="X846" s="81" t="s">
        <v>48</v>
      </c>
      <c r="Y846" s="81" t="s">
        <v>48</v>
      </c>
    </row>
    <row r="847" spans="1:25" x14ac:dyDescent="0.3">
      <c r="A847" s="16">
        <v>780083141882</v>
      </c>
      <c r="B847" s="81" t="s">
        <v>43</v>
      </c>
      <c r="C847" s="81" t="s">
        <v>833</v>
      </c>
      <c r="D847" s="81" t="s">
        <v>45</v>
      </c>
      <c r="E847" s="81" t="s">
        <v>2227</v>
      </c>
      <c r="F847" s="81" t="s">
        <v>2227</v>
      </c>
      <c r="G847" s="81" t="s">
        <v>3406</v>
      </c>
      <c r="H847" s="81" t="s">
        <v>2207</v>
      </c>
      <c r="I847" s="81" t="s">
        <v>5702</v>
      </c>
      <c r="J847" s="81" t="s">
        <v>2186</v>
      </c>
      <c r="K847" s="81" t="s">
        <v>5702</v>
      </c>
      <c r="L847" s="81" t="s">
        <v>2392</v>
      </c>
      <c r="M847" s="81" t="s">
        <v>5702</v>
      </c>
      <c r="N847" s="81" t="s">
        <v>2231</v>
      </c>
      <c r="O847" s="81" t="s">
        <v>2187</v>
      </c>
      <c r="P847" s="81" t="s">
        <v>2187</v>
      </c>
      <c r="Q847" s="81" t="s">
        <v>43</v>
      </c>
      <c r="R847" s="81" t="s">
        <v>51</v>
      </c>
      <c r="S847" s="81" t="s">
        <v>81</v>
      </c>
      <c r="T847" s="81" t="s">
        <v>49</v>
      </c>
      <c r="U847" s="81" t="s">
        <v>48</v>
      </c>
      <c r="V847" s="81" t="s">
        <v>48</v>
      </c>
      <c r="W847" s="81" t="s">
        <v>49</v>
      </c>
      <c r="X847" s="81" t="s">
        <v>48</v>
      </c>
      <c r="Y847" s="81" t="s">
        <v>48</v>
      </c>
    </row>
    <row r="848" spans="1:25" x14ac:dyDescent="0.3">
      <c r="A848" s="16">
        <v>7502223112186</v>
      </c>
      <c r="B848" s="81" t="s">
        <v>43</v>
      </c>
      <c r="C848" s="81" t="s">
        <v>834</v>
      </c>
      <c r="D848" s="81" t="s">
        <v>45</v>
      </c>
      <c r="E848" s="81" t="s">
        <v>2304</v>
      </c>
      <c r="F848" s="81" t="s">
        <v>2435</v>
      </c>
      <c r="G848" s="81" t="s">
        <v>3407</v>
      </c>
      <c r="H848" s="81" t="s">
        <v>2202</v>
      </c>
      <c r="I848" s="81" t="s">
        <v>6173</v>
      </c>
      <c r="J848" s="81" t="s">
        <v>2186</v>
      </c>
      <c r="K848" s="81" t="s">
        <v>6173</v>
      </c>
      <c r="L848" s="81" t="s">
        <v>2392</v>
      </c>
      <c r="M848" s="81" t="s">
        <v>6173</v>
      </c>
      <c r="N848" s="81" t="s">
        <v>2231</v>
      </c>
      <c r="O848" s="81" t="s">
        <v>2187</v>
      </c>
      <c r="P848" s="81" t="s">
        <v>2187</v>
      </c>
      <c r="Q848" s="81" t="s">
        <v>43</v>
      </c>
      <c r="R848" s="81" t="s">
        <v>46</v>
      </c>
      <c r="S848" s="81" t="s">
        <v>46</v>
      </c>
      <c r="T848" s="81" t="s">
        <v>48</v>
      </c>
      <c r="U848" s="81" t="s">
        <v>48</v>
      </c>
      <c r="V848" s="81" t="s">
        <v>48</v>
      </c>
      <c r="W848" s="81" t="s">
        <v>49</v>
      </c>
      <c r="X848" s="81" t="s">
        <v>48</v>
      </c>
      <c r="Y848" s="81" t="s">
        <v>48</v>
      </c>
    </row>
    <row r="849" spans="1:25" x14ac:dyDescent="0.3">
      <c r="A849" s="16">
        <v>7503001007120</v>
      </c>
      <c r="B849" s="81" t="s">
        <v>43</v>
      </c>
      <c r="C849" s="81" t="s">
        <v>835</v>
      </c>
      <c r="D849" s="81" t="s">
        <v>45</v>
      </c>
      <c r="E849" s="81" t="s">
        <v>2357</v>
      </c>
      <c r="F849" s="81" t="s">
        <v>2457</v>
      </c>
      <c r="G849" s="81" t="s">
        <v>3408</v>
      </c>
      <c r="H849" s="81" t="s">
        <v>2270</v>
      </c>
      <c r="I849" s="81" t="s">
        <v>3409</v>
      </c>
      <c r="J849" s="81" t="s">
        <v>2186</v>
      </c>
      <c r="K849" s="81" t="s">
        <v>2533</v>
      </c>
      <c r="L849" s="81" t="s">
        <v>2392</v>
      </c>
      <c r="M849" s="81" t="s">
        <v>2197</v>
      </c>
      <c r="N849" s="81" t="s">
        <v>2231</v>
      </c>
      <c r="O849" s="81" t="s">
        <v>2187</v>
      </c>
      <c r="P849" s="81" t="s">
        <v>2187</v>
      </c>
      <c r="Q849" s="81" t="s">
        <v>43</v>
      </c>
      <c r="R849" s="81" t="s">
        <v>51</v>
      </c>
      <c r="S849" s="81" t="s">
        <v>81</v>
      </c>
      <c r="T849" s="81" t="s">
        <v>49</v>
      </c>
      <c r="U849" s="81" t="s">
        <v>48</v>
      </c>
      <c r="V849" s="81" t="s">
        <v>48</v>
      </c>
      <c r="W849" s="81" t="s">
        <v>49</v>
      </c>
      <c r="X849" s="81" t="s">
        <v>48</v>
      </c>
      <c r="Y849" s="81" t="s">
        <v>48</v>
      </c>
    </row>
    <row r="850" spans="1:25" x14ac:dyDescent="0.3">
      <c r="A850" s="16">
        <v>7506022327635</v>
      </c>
      <c r="B850" s="81" t="s">
        <v>43</v>
      </c>
      <c r="C850" s="81" t="s">
        <v>836</v>
      </c>
      <c r="D850" s="81" t="s">
        <v>45</v>
      </c>
      <c r="E850" s="81" t="s">
        <v>2370</v>
      </c>
      <c r="F850" s="81" t="s">
        <v>2814</v>
      </c>
      <c r="G850" s="81" t="s">
        <v>4679</v>
      </c>
      <c r="H850" s="81" t="s">
        <v>2190</v>
      </c>
      <c r="I850" s="81" t="s">
        <v>3085</v>
      </c>
      <c r="J850" s="81" t="s">
        <v>2186</v>
      </c>
      <c r="K850" s="81" t="s">
        <v>3085</v>
      </c>
      <c r="L850" s="81" t="s">
        <v>2392</v>
      </c>
      <c r="M850" s="81" t="s">
        <v>3085</v>
      </c>
      <c r="N850" s="81" t="s">
        <v>2231</v>
      </c>
      <c r="O850" s="81" t="s">
        <v>2187</v>
      </c>
      <c r="P850" s="81" t="s">
        <v>2187</v>
      </c>
      <c r="Q850" s="81" t="s">
        <v>43</v>
      </c>
      <c r="R850" s="81" t="s">
        <v>46</v>
      </c>
      <c r="S850" s="81" t="s">
        <v>46</v>
      </c>
      <c r="T850" s="81" t="s">
        <v>48</v>
      </c>
      <c r="U850" s="81" t="s">
        <v>48</v>
      </c>
      <c r="V850" s="81" t="s">
        <v>48</v>
      </c>
      <c r="W850" s="81" t="s">
        <v>49</v>
      </c>
      <c r="X850" s="81" t="s">
        <v>48</v>
      </c>
      <c r="Y850" s="81" t="s">
        <v>48</v>
      </c>
    </row>
    <row r="851" spans="1:25" x14ac:dyDescent="0.3">
      <c r="A851" s="16">
        <v>7501836000194</v>
      </c>
      <c r="B851" s="81" t="s">
        <v>43</v>
      </c>
      <c r="C851" s="81" t="s">
        <v>837</v>
      </c>
      <c r="D851" s="81" t="s">
        <v>45</v>
      </c>
      <c r="E851" s="81" t="s">
        <v>2298</v>
      </c>
      <c r="F851" s="81" t="s">
        <v>2545</v>
      </c>
      <c r="G851" s="81" t="s">
        <v>3410</v>
      </c>
      <c r="H851" s="81" t="s">
        <v>3737</v>
      </c>
      <c r="I851" s="81" t="s">
        <v>6174</v>
      </c>
      <c r="J851" s="81" t="s">
        <v>2186</v>
      </c>
      <c r="K851" s="81" t="s">
        <v>6174</v>
      </c>
      <c r="L851" s="81" t="s">
        <v>2392</v>
      </c>
      <c r="M851" s="81" t="s">
        <v>6174</v>
      </c>
      <c r="N851" s="81" t="s">
        <v>2231</v>
      </c>
      <c r="O851" s="81" t="s">
        <v>2187</v>
      </c>
      <c r="P851" s="81" t="s">
        <v>2187</v>
      </c>
      <c r="Q851" s="81" t="s">
        <v>43</v>
      </c>
      <c r="R851" s="81" t="s">
        <v>51</v>
      </c>
      <c r="S851" s="81" t="s">
        <v>81</v>
      </c>
      <c r="T851" s="81" t="s">
        <v>49</v>
      </c>
      <c r="U851" s="81" t="s">
        <v>48</v>
      </c>
      <c r="V851" s="81" t="s">
        <v>48</v>
      </c>
      <c r="W851" s="81" t="s">
        <v>49</v>
      </c>
      <c r="X851" s="81" t="s">
        <v>48</v>
      </c>
      <c r="Y851" s="81" t="s">
        <v>48</v>
      </c>
    </row>
    <row r="852" spans="1:25" x14ac:dyDescent="0.3">
      <c r="A852" s="16">
        <v>7501537101961</v>
      </c>
      <c r="B852" s="81" t="s">
        <v>43</v>
      </c>
      <c r="C852" s="81" t="s">
        <v>838</v>
      </c>
      <c r="D852" s="81" t="s">
        <v>45</v>
      </c>
      <c r="E852" s="81" t="s">
        <v>2274</v>
      </c>
      <c r="F852" s="81" t="s">
        <v>2275</v>
      </c>
      <c r="G852" s="81" t="s">
        <v>3411</v>
      </c>
      <c r="H852" s="81" t="s">
        <v>2614</v>
      </c>
      <c r="I852" s="81" t="s">
        <v>5602</v>
      </c>
      <c r="J852" s="81" t="s">
        <v>2186</v>
      </c>
      <c r="K852" s="81" t="s">
        <v>5602</v>
      </c>
      <c r="L852" s="81" t="s">
        <v>2392</v>
      </c>
      <c r="M852" s="81" t="s">
        <v>5602</v>
      </c>
      <c r="N852" s="81" t="s">
        <v>2231</v>
      </c>
      <c r="O852" s="81" t="s">
        <v>2187</v>
      </c>
      <c r="P852" s="81" t="s">
        <v>2187</v>
      </c>
      <c r="Q852" s="81" t="s">
        <v>43</v>
      </c>
      <c r="R852" s="81" t="s">
        <v>46</v>
      </c>
      <c r="S852" s="81" t="s">
        <v>164</v>
      </c>
      <c r="T852" s="81" t="s">
        <v>48</v>
      </c>
      <c r="U852" s="81" t="s">
        <v>48</v>
      </c>
      <c r="V852" s="81" t="s">
        <v>48</v>
      </c>
      <c r="W852" s="81" t="s">
        <v>49</v>
      </c>
      <c r="X852" s="81" t="s">
        <v>48</v>
      </c>
      <c r="Y852" s="81" t="s">
        <v>48</v>
      </c>
    </row>
    <row r="853" spans="1:25" x14ac:dyDescent="0.3">
      <c r="A853" s="16">
        <v>7501573904335</v>
      </c>
      <c r="B853" s="81" t="s">
        <v>43</v>
      </c>
      <c r="C853" s="81" t="s">
        <v>1977</v>
      </c>
      <c r="D853" s="81" t="s">
        <v>45</v>
      </c>
      <c r="E853" s="81" t="s">
        <v>2239</v>
      </c>
      <c r="F853" s="81" t="s">
        <v>2240</v>
      </c>
      <c r="G853" s="81" t="s">
        <v>5159</v>
      </c>
      <c r="H853" s="81" t="s">
        <v>2232</v>
      </c>
      <c r="I853" s="81" t="s">
        <v>6175</v>
      </c>
      <c r="J853" s="81" t="s">
        <v>2186</v>
      </c>
      <c r="K853" s="81" t="s">
        <v>6175</v>
      </c>
      <c r="L853" s="81" t="s">
        <v>2392</v>
      </c>
      <c r="M853" s="81" t="s">
        <v>6175</v>
      </c>
      <c r="N853" s="81" t="s">
        <v>2231</v>
      </c>
      <c r="O853" s="81" t="s">
        <v>2187</v>
      </c>
      <c r="P853" s="81" t="s">
        <v>2187</v>
      </c>
      <c r="Q853" s="81" t="s">
        <v>43</v>
      </c>
      <c r="R853" s="81" t="s">
        <v>46</v>
      </c>
      <c r="S853" s="81" t="s">
        <v>164</v>
      </c>
      <c r="T853" s="81" t="s">
        <v>48</v>
      </c>
      <c r="U853" s="81" t="s">
        <v>48</v>
      </c>
      <c r="V853" s="81" t="s">
        <v>48</v>
      </c>
      <c r="W853" s="81" t="s">
        <v>49</v>
      </c>
      <c r="X853" s="81" t="s">
        <v>48</v>
      </c>
      <c r="Y853" s="81" t="s">
        <v>48</v>
      </c>
    </row>
    <row r="854" spans="1:25" x14ac:dyDescent="0.3">
      <c r="A854" s="16">
        <v>7502234760451</v>
      </c>
      <c r="B854" s="81" t="s">
        <v>43</v>
      </c>
      <c r="C854" s="81" t="s">
        <v>1978</v>
      </c>
      <c r="D854" s="81" t="s">
        <v>45</v>
      </c>
      <c r="E854" s="81" t="s">
        <v>2274</v>
      </c>
      <c r="F854" s="81" t="s">
        <v>2292</v>
      </c>
      <c r="G854" s="81" t="s">
        <v>5437</v>
      </c>
      <c r="H854" s="81" t="s">
        <v>2217</v>
      </c>
      <c r="I854" s="81" t="s">
        <v>6176</v>
      </c>
      <c r="J854" s="81" t="s">
        <v>2186</v>
      </c>
      <c r="K854" s="81" t="s">
        <v>6176</v>
      </c>
      <c r="L854" s="81" t="s">
        <v>2392</v>
      </c>
      <c r="M854" s="81" t="s">
        <v>6176</v>
      </c>
      <c r="N854" s="81" t="s">
        <v>2231</v>
      </c>
      <c r="O854" s="81" t="s">
        <v>2187</v>
      </c>
      <c r="P854" s="81" t="s">
        <v>2187</v>
      </c>
      <c r="Q854" s="81" t="s">
        <v>43</v>
      </c>
      <c r="R854" s="81" t="s">
        <v>46</v>
      </c>
      <c r="S854" s="81" t="s">
        <v>47</v>
      </c>
      <c r="T854" s="81" t="s">
        <v>48</v>
      </c>
      <c r="U854" s="81" t="s">
        <v>48</v>
      </c>
      <c r="V854" s="81" t="s">
        <v>48</v>
      </c>
      <c r="W854" s="81" t="s">
        <v>49</v>
      </c>
      <c r="X854" s="81" t="s">
        <v>48</v>
      </c>
      <c r="Y854" s="81" t="s">
        <v>48</v>
      </c>
    </row>
    <row r="855" spans="1:25" x14ac:dyDescent="0.3">
      <c r="A855" s="16">
        <v>7501478316073</v>
      </c>
      <c r="B855" s="81" t="s">
        <v>43</v>
      </c>
      <c r="C855" s="81" t="s">
        <v>839</v>
      </c>
      <c r="D855" s="81" t="s">
        <v>45</v>
      </c>
      <c r="E855" s="81" t="s">
        <v>2703</v>
      </c>
      <c r="F855" s="81" t="s">
        <v>2854</v>
      </c>
      <c r="G855" s="81" t="s">
        <v>3412</v>
      </c>
      <c r="H855" s="81" t="s">
        <v>2417</v>
      </c>
      <c r="I855" s="81" t="s">
        <v>6177</v>
      </c>
      <c r="J855" s="81" t="s">
        <v>2186</v>
      </c>
      <c r="K855" s="81" t="s">
        <v>6177</v>
      </c>
      <c r="L855" s="81" t="s">
        <v>2392</v>
      </c>
      <c r="M855" s="81" t="s">
        <v>6177</v>
      </c>
      <c r="N855" s="81" t="s">
        <v>2231</v>
      </c>
      <c r="O855" s="81" t="s">
        <v>2187</v>
      </c>
      <c r="P855" s="81" t="s">
        <v>2187</v>
      </c>
      <c r="Q855" s="81" t="s">
        <v>43</v>
      </c>
      <c r="R855" s="81" t="s">
        <v>46</v>
      </c>
      <c r="S855" s="81" t="s">
        <v>46</v>
      </c>
      <c r="T855" s="81" t="s">
        <v>48</v>
      </c>
      <c r="U855" s="81" t="s">
        <v>48</v>
      </c>
      <c r="V855" s="81" t="s">
        <v>48</v>
      </c>
      <c r="W855" s="81" t="s">
        <v>49</v>
      </c>
      <c r="X855" s="81" t="s">
        <v>48</v>
      </c>
      <c r="Y855" s="81" t="s">
        <v>48</v>
      </c>
    </row>
    <row r="856" spans="1:25" x14ac:dyDescent="0.3">
      <c r="A856" s="16">
        <v>7503001007052</v>
      </c>
      <c r="B856" s="81" t="s">
        <v>43</v>
      </c>
      <c r="C856" s="81" t="s">
        <v>840</v>
      </c>
      <c r="D856" s="81" t="s">
        <v>45</v>
      </c>
      <c r="E856" s="81" t="s">
        <v>2639</v>
      </c>
      <c r="F856" s="81" t="s">
        <v>3413</v>
      </c>
      <c r="G856" s="81" t="s">
        <v>4768</v>
      </c>
      <c r="H856" s="81" t="s">
        <v>2243</v>
      </c>
      <c r="I856" s="81" t="s">
        <v>5659</v>
      </c>
      <c r="J856" s="81" t="s">
        <v>2186</v>
      </c>
      <c r="K856" s="81" t="s">
        <v>5659</v>
      </c>
      <c r="L856" s="81" t="s">
        <v>2392</v>
      </c>
      <c r="M856" s="81" t="s">
        <v>5659</v>
      </c>
      <c r="N856" s="81" t="s">
        <v>2231</v>
      </c>
      <c r="O856" s="81" t="s">
        <v>2187</v>
      </c>
      <c r="P856" s="81" t="s">
        <v>2187</v>
      </c>
      <c r="Q856" s="81" t="s">
        <v>43</v>
      </c>
      <c r="R856" s="81" t="s">
        <v>51</v>
      </c>
      <c r="S856" s="81" t="s">
        <v>81</v>
      </c>
      <c r="T856" s="81" t="s">
        <v>49</v>
      </c>
      <c r="U856" s="81" t="s">
        <v>48</v>
      </c>
      <c r="V856" s="81" t="s">
        <v>48</v>
      </c>
      <c r="W856" s="81" t="s">
        <v>49</v>
      </c>
      <c r="X856" s="81" t="s">
        <v>48</v>
      </c>
      <c r="Y856" s="81" t="s">
        <v>48</v>
      </c>
    </row>
    <row r="857" spans="1:25" x14ac:dyDescent="0.3">
      <c r="A857" s="16">
        <v>7503001007076</v>
      </c>
      <c r="B857" s="81" t="s">
        <v>43</v>
      </c>
      <c r="C857" s="81" t="s">
        <v>1979</v>
      </c>
      <c r="D857" s="81" t="s">
        <v>45</v>
      </c>
      <c r="E857" s="81" t="s">
        <v>2645</v>
      </c>
      <c r="F857" s="81" t="s">
        <v>2195</v>
      </c>
      <c r="G857" s="81" t="s">
        <v>5404</v>
      </c>
      <c r="H857" s="81" t="s">
        <v>2217</v>
      </c>
      <c r="I857" s="81" t="s">
        <v>6178</v>
      </c>
      <c r="J857" s="81" t="s">
        <v>2186</v>
      </c>
      <c r="K857" s="81" t="s">
        <v>6178</v>
      </c>
      <c r="L857" s="81" t="s">
        <v>2392</v>
      </c>
      <c r="M857" s="81" t="s">
        <v>6178</v>
      </c>
      <c r="N857" s="81" t="s">
        <v>2231</v>
      </c>
      <c r="O857" s="81" t="s">
        <v>2187</v>
      </c>
      <c r="P857" s="81" t="s">
        <v>2187</v>
      </c>
      <c r="Q857" s="81" t="s">
        <v>43</v>
      </c>
      <c r="R857" s="81" t="s">
        <v>51</v>
      </c>
      <c r="S857" s="81" t="s">
        <v>81</v>
      </c>
      <c r="T857" s="81" t="s">
        <v>49</v>
      </c>
      <c r="U857" s="81" t="s">
        <v>48</v>
      </c>
      <c r="V857" s="81" t="s">
        <v>48</v>
      </c>
      <c r="W857" s="81" t="s">
        <v>49</v>
      </c>
      <c r="X857" s="81" t="s">
        <v>48</v>
      </c>
      <c r="Y857" s="81" t="s">
        <v>48</v>
      </c>
    </row>
    <row r="858" spans="1:25" x14ac:dyDescent="0.3">
      <c r="A858" s="16">
        <v>7501573903246</v>
      </c>
      <c r="B858" s="81" t="s">
        <v>43</v>
      </c>
      <c r="C858" s="81" t="s">
        <v>841</v>
      </c>
      <c r="D858" s="81" t="s">
        <v>45</v>
      </c>
      <c r="E858" s="81" t="s">
        <v>2227</v>
      </c>
      <c r="F858" s="81" t="s">
        <v>2227</v>
      </c>
      <c r="G858" s="81" t="s">
        <v>3414</v>
      </c>
      <c r="H858" s="81" t="s">
        <v>6179</v>
      </c>
      <c r="I858" s="81" t="s">
        <v>6180</v>
      </c>
      <c r="J858" s="81" t="s">
        <v>2186</v>
      </c>
      <c r="K858" s="81" t="s">
        <v>6180</v>
      </c>
      <c r="L858" s="81" t="s">
        <v>2392</v>
      </c>
      <c r="M858" s="81" t="s">
        <v>6180</v>
      </c>
      <c r="N858" s="81" t="s">
        <v>2231</v>
      </c>
      <c r="O858" s="81" t="s">
        <v>2187</v>
      </c>
      <c r="P858" s="81" t="s">
        <v>2187</v>
      </c>
      <c r="Q858" s="81" t="s">
        <v>43</v>
      </c>
      <c r="R858" s="81" t="s">
        <v>46</v>
      </c>
      <c r="S858" s="81" t="s">
        <v>46</v>
      </c>
      <c r="T858" s="81" t="s">
        <v>48</v>
      </c>
      <c r="U858" s="81" t="s">
        <v>48</v>
      </c>
      <c r="V858" s="81" t="s">
        <v>48</v>
      </c>
      <c r="W858" s="81" t="s">
        <v>49</v>
      </c>
      <c r="X858" s="81" t="s">
        <v>48</v>
      </c>
      <c r="Y858" s="81" t="s">
        <v>48</v>
      </c>
    </row>
    <row r="859" spans="1:25" x14ac:dyDescent="0.3">
      <c r="A859" s="16">
        <v>7502006921967</v>
      </c>
      <c r="B859" s="81" t="s">
        <v>43</v>
      </c>
      <c r="C859" s="81" t="s">
        <v>842</v>
      </c>
      <c r="D859" s="81" t="s">
        <v>45</v>
      </c>
      <c r="E859" s="81" t="s">
        <v>2780</v>
      </c>
      <c r="F859" s="81" t="s">
        <v>2939</v>
      </c>
      <c r="G859" s="81" t="s">
        <v>2657</v>
      </c>
      <c r="H859" s="81" t="s">
        <v>2260</v>
      </c>
      <c r="I859" s="81" t="s">
        <v>6181</v>
      </c>
      <c r="J859" s="81" t="s">
        <v>2186</v>
      </c>
      <c r="K859" s="81" t="s">
        <v>6181</v>
      </c>
      <c r="L859" s="81" t="s">
        <v>2392</v>
      </c>
      <c r="M859" s="81" t="s">
        <v>6181</v>
      </c>
      <c r="N859" s="81" t="s">
        <v>2231</v>
      </c>
      <c r="O859" s="81" t="s">
        <v>2187</v>
      </c>
      <c r="P859" s="81" t="s">
        <v>2187</v>
      </c>
      <c r="Q859" s="81" t="s">
        <v>43</v>
      </c>
      <c r="R859" s="81" t="s">
        <v>46</v>
      </c>
      <c r="S859" s="81" t="s">
        <v>46</v>
      </c>
      <c r="T859" s="81" t="s">
        <v>48</v>
      </c>
      <c r="U859" s="81" t="s">
        <v>48</v>
      </c>
      <c r="V859" s="81" t="s">
        <v>48</v>
      </c>
      <c r="W859" s="81" t="s">
        <v>49</v>
      </c>
      <c r="X859" s="81" t="s">
        <v>48</v>
      </c>
      <c r="Y859" s="81" t="s">
        <v>48</v>
      </c>
    </row>
    <row r="860" spans="1:25" x14ac:dyDescent="0.3">
      <c r="A860" s="16">
        <v>7502006921974</v>
      </c>
      <c r="B860" s="81" t="s">
        <v>43</v>
      </c>
      <c r="C860" s="81" t="s">
        <v>1980</v>
      </c>
      <c r="D860" s="81" t="s">
        <v>45</v>
      </c>
      <c r="E860" s="81" t="s">
        <v>2616</v>
      </c>
      <c r="F860" s="81" t="s">
        <v>2471</v>
      </c>
      <c r="G860" s="81" t="s">
        <v>2638</v>
      </c>
      <c r="H860" s="81" t="s">
        <v>4432</v>
      </c>
      <c r="I860" s="81" t="s">
        <v>6182</v>
      </c>
      <c r="J860" s="81" t="s">
        <v>2186</v>
      </c>
      <c r="K860" s="81" t="s">
        <v>6182</v>
      </c>
      <c r="L860" s="81" t="s">
        <v>2392</v>
      </c>
      <c r="M860" s="81" t="s">
        <v>6182</v>
      </c>
      <c r="N860" s="81" t="s">
        <v>2231</v>
      </c>
      <c r="O860" s="81" t="s">
        <v>2187</v>
      </c>
      <c r="P860" s="81" t="s">
        <v>2187</v>
      </c>
      <c r="Q860" s="81" t="s">
        <v>43</v>
      </c>
      <c r="R860" s="81" t="s">
        <v>46</v>
      </c>
      <c r="S860" s="81" t="s">
        <v>46</v>
      </c>
      <c r="T860" s="81" t="s">
        <v>48</v>
      </c>
      <c r="U860" s="81" t="s">
        <v>48</v>
      </c>
      <c r="V860" s="81" t="s">
        <v>48</v>
      </c>
      <c r="W860" s="81" t="s">
        <v>49</v>
      </c>
      <c r="X860" s="81" t="s">
        <v>48</v>
      </c>
      <c r="Y860" s="81" t="s">
        <v>48</v>
      </c>
    </row>
    <row r="861" spans="1:25" x14ac:dyDescent="0.3">
      <c r="A861" s="16">
        <v>7502006921950</v>
      </c>
      <c r="B861" s="81" t="s">
        <v>43</v>
      </c>
      <c r="C861" s="81" t="s">
        <v>4771</v>
      </c>
      <c r="D861" s="81" t="s">
        <v>45</v>
      </c>
      <c r="E861" s="81" t="s">
        <v>2620</v>
      </c>
      <c r="F861" s="81" t="s">
        <v>2362</v>
      </c>
      <c r="G861" s="81" t="s">
        <v>5031</v>
      </c>
      <c r="H861" s="81" t="s">
        <v>2217</v>
      </c>
      <c r="I861" s="81" t="s">
        <v>5662</v>
      </c>
      <c r="J861" s="81" t="s">
        <v>2186</v>
      </c>
      <c r="K861" s="81" t="s">
        <v>5662</v>
      </c>
      <c r="L861" s="81" t="s">
        <v>2392</v>
      </c>
      <c r="M861" s="81" t="s">
        <v>5662</v>
      </c>
      <c r="N861" s="81" t="s">
        <v>2231</v>
      </c>
      <c r="O861" s="81" t="s">
        <v>2187</v>
      </c>
      <c r="P861" s="81" t="s">
        <v>2187</v>
      </c>
      <c r="Q861" s="81" t="s">
        <v>43</v>
      </c>
      <c r="R861" s="81" t="s">
        <v>46</v>
      </c>
      <c r="S861" s="81" t="s">
        <v>46</v>
      </c>
      <c r="T861" s="81" t="s">
        <v>48</v>
      </c>
      <c r="U861" s="81" t="s">
        <v>48</v>
      </c>
      <c r="V861" s="81" t="s">
        <v>48</v>
      </c>
      <c r="W861" s="81" t="s">
        <v>49</v>
      </c>
      <c r="X861" s="81" t="s">
        <v>48</v>
      </c>
      <c r="Y861" s="81" t="s">
        <v>48</v>
      </c>
    </row>
    <row r="862" spans="1:25" x14ac:dyDescent="0.3">
      <c r="A862" s="16">
        <v>6938056210170</v>
      </c>
      <c r="B862" s="81" t="s">
        <v>43</v>
      </c>
      <c r="C862" s="81" t="s">
        <v>843</v>
      </c>
      <c r="D862" s="81" t="s">
        <v>45</v>
      </c>
      <c r="E862" s="81" t="s">
        <v>2303</v>
      </c>
      <c r="F862" s="81" t="s">
        <v>2304</v>
      </c>
      <c r="G862" s="81" t="s">
        <v>4927</v>
      </c>
      <c r="H862" s="81" t="s">
        <v>2868</v>
      </c>
      <c r="I862" s="81" t="s">
        <v>6183</v>
      </c>
      <c r="J862" s="81" t="s">
        <v>2186</v>
      </c>
      <c r="K862" s="81" t="s">
        <v>6183</v>
      </c>
      <c r="L862" s="81" t="s">
        <v>2392</v>
      </c>
      <c r="M862" s="81" t="s">
        <v>6183</v>
      </c>
      <c r="N862" s="81" t="s">
        <v>2231</v>
      </c>
      <c r="O862" s="81" t="s">
        <v>2187</v>
      </c>
      <c r="P862" s="81" t="s">
        <v>2187</v>
      </c>
      <c r="Q862" s="81" t="s">
        <v>43</v>
      </c>
      <c r="R862" s="81" t="s">
        <v>122</v>
      </c>
      <c r="S862" s="81" t="s">
        <v>123</v>
      </c>
      <c r="T862" s="81" t="s">
        <v>48</v>
      </c>
      <c r="U862" s="81" t="s">
        <v>48</v>
      </c>
      <c r="V862" s="81" t="s">
        <v>49</v>
      </c>
      <c r="W862" s="81" t="s">
        <v>48</v>
      </c>
      <c r="X862" s="81" t="s">
        <v>48</v>
      </c>
      <c r="Y862" s="81" t="s">
        <v>48</v>
      </c>
    </row>
    <row r="863" spans="1:25" x14ac:dyDescent="0.3">
      <c r="A863" s="16">
        <v>7590002037843</v>
      </c>
      <c r="B863" s="81" t="s">
        <v>43</v>
      </c>
      <c r="C863" s="81" t="s">
        <v>844</v>
      </c>
      <c r="D863" s="81" t="s">
        <v>45</v>
      </c>
      <c r="E863" s="81" t="s">
        <v>2333</v>
      </c>
      <c r="F863" s="81" t="s">
        <v>2334</v>
      </c>
      <c r="G863" s="81" t="s">
        <v>3415</v>
      </c>
      <c r="H863" s="81" t="s">
        <v>2937</v>
      </c>
      <c r="I863" s="81" t="s">
        <v>6184</v>
      </c>
      <c r="J863" s="81" t="s">
        <v>2186</v>
      </c>
      <c r="K863" s="81" t="s">
        <v>6184</v>
      </c>
      <c r="L863" s="81" t="s">
        <v>2392</v>
      </c>
      <c r="M863" s="81" t="s">
        <v>6184</v>
      </c>
      <c r="N863" s="81" t="s">
        <v>2231</v>
      </c>
      <c r="O863" s="81" t="s">
        <v>2187</v>
      </c>
      <c r="P863" s="81" t="s">
        <v>2187</v>
      </c>
      <c r="Q863" s="81" t="s">
        <v>43</v>
      </c>
      <c r="R863" s="81" t="s">
        <v>203</v>
      </c>
      <c r="S863" s="81" t="s">
        <v>203</v>
      </c>
      <c r="T863" s="81" t="s">
        <v>48</v>
      </c>
      <c r="U863" s="81" t="s">
        <v>48</v>
      </c>
      <c r="V863" s="81" t="s">
        <v>48</v>
      </c>
      <c r="W863" s="81" t="s">
        <v>49</v>
      </c>
      <c r="X863" s="81" t="s">
        <v>48</v>
      </c>
      <c r="Y863" s="81" t="s">
        <v>48</v>
      </c>
    </row>
    <row r="864" spans="1:25" x14ac:dyDescent="0.3">
      <c r="A864" s="16">
        <v>7501258205474</v>
      </c>
      <c r="B864" s="81" t="s">
        <v>43</v>
      </c>
      <c r="C864" s="81" t="s">
        <v>845</v>
      </c>
      <c r="D864" s="81" t="s">
        <v>45</v>
      </c>
      <c r="E864" s="81" t="s">
        <v>2620</v>
      </c>
      <c r="F864" s="81" t="s">
        <v>2780</v>
      </c>
      <c r="G864" s="81" t="s">
        <v>3416</v>
      </c>
      <c r="H864" s="81" t="s">
        <v>2609</v>
      </c>
      <c r="I864" s="81" t="s">
        <v>6185</v>
      </c>
      <c r="J864" s="81" t="s">
        <v>2186</v>
      </c>
      <c r="K864" s="81" t="s">
        <v>6185</v>
      </c>
      <c r="L864" s="81" t="s">
        <v>2392</v>
      </c>
      <c r="M864" s="81" t="s">
        <v>6185</v>
      </c>
      <c r="N864" s="81" t="s">
        <v>2231</v>
      </c>
      <c r="O864" s="81" t="s">
        <v>2187</v>
      </c>
      <c r="P864" s="81" t="s">
        <v>2187</v>
      </c>
      <c r="Q864" s="81" t="s">
        <v>43</v>
      </c>
      <c r="R864" s="81" t="s">
        <v>46</v>
      </c>
      <c r="S864" s="81" t="s">
        <v>47</v>
      </c>
      <c r="T864" s="81" t="s">
        <v>48</v>
      </c>
      <c r="U864" s="81" t="s">
        <v>48</v>
      </c>
      <c r="V864" s="81" t="s">
        <v>48</v>
      </c>
      <c r="W864" s="81" t="s">
        <v>49</v>
      </c>
      <c r="X864" s="81" t="s">
        <v>48</v>
      </c>
      <c r="Y864" s="81" t="s">
        <v>48</v>
      </c>
    </row>
    <row r="865" spans="1:25" x14ac:dyDescent="0.3">
      <c r="A865" s="16">
        <v>7500435168991</v>
      </c>
      <c r="B865" s="81" t="s">
        <v>43</v>
      </c>
      <c r="C865" s="81" t="s">
        <v>4881</v>
      </c>
      <c r="D865" s="81" t="s">
        <v>45</v>
      </c>
      <c r="E865" s="81" t="s">
        <v>2412</v>
      </c>
      <c r="F865" s="81" t="s">
        <v>2412</v>
      </c>
      <c r="G865" s="81" t="s">
        <v>4347</v>
      </c>
      <c r="H865" s="81" t="s">
        <v>3134</v>
      </c>
      <c r="I865" s="81" t="s">
        <v>6186</v>
      </c>
      <c r="J865" s="81" t="s">
        <v>2186</v>
      </c>
      <c r="K865" s="81" t="s">
        <v>6186</v>
      </c>
      <c r="L865" s="81" t="s">
        <v>2392</v>
      </c>
      <c r="M865" s="81" t="s">
        <v>6186</v>
      </c>
      <c r="N865" s="81" t="s">
        <v>2231</v>
      </c>
      <c r="O865" s="81" t="s">
        <v>2187</v>
      </c>
      <c r="P865" s="81" t="s">
        <v>2187</v>
      </c>
      <c r="Q865" s="81" t="s">
        <v>43</v>
      </c>
      <c r="R865" s="81" t="s">
        <v>524</v>
      </c>
      <c r="S865" s="81" t="s">
        <v>525</v>
      </c>
      <c r="T865" s="81" t="s">
        <v>48</v>
      </c>
      <c r="U865" s="81" t="s">
        <v>48</v>
      </c>
      <c r="V865" s="81" t="s">
        <v>49</v>
      </c>
      <c r="W865" s="81" t="s">
        <v>48</v>
      </c>
      <c r="X865" s="81" t="s">
        <v>48</v>
      </c>
      <c r="Y865" s="81" t="s">
        <v>48</v>
      </c>
    </row>
    <row r="866" spans="1:25" x14ac:dyDescent="0.3">
      <c r="A866" s="16">
        <v>7501070612320</v>
      </c>
      <c r="B866" s="81" t="s">
        <v>43</v>
      </c>
      <c r="C866" s="81" t="s">
        <v>846</v>
      </c>
      <c r="D866" s="81" t="s">
        <v>45</v>
      </c>
      <c r="E866" s="81" t="s">
        <v>2357</v>
      </c>
      <c r="F866" s="81" t="s">
        <v>2358</v>
      </c>
      <c r="G866" s="81" t="s">
        <v>3417</v>
      </c>
      <c r="H866" s="81" t="s">
        <v>2673</v>
      </c>
      <c r="I866" s="81" t="s">
        <v>6187</v>
      </c>
      <c r="J866" s="81" t="s">
        <v>2186</v>
      </c>
      <c r="K866" s="81" t="s">
        <v>6187</v>
      </c>
      <c r="L866" s="81" t="s">
        <v>2392</v>
      </c>
      <c r="M866" s="81" t="s">
        <v>6187</v>
      </c>
      <c r="N866" s="81" t="s">
        <v>2231</v>
      </c>
      <c r="O866" s="81" t="s">
        <v>2187</v>
      </c>
      <c r="P866" s="81" t="s">
        <v>2187</v>
      </c>
      <c r="Q866" s="81" t="s">
        <v>43</v>
      </c>
      <c r="R866" s="81" t="s">
        <v>203</v>
      </c>
      <c r="S866" s="81" t="s">
        <v>203</v>
      </c>
      <c r="T866" s="81" t="s">
        <v>48</v>
      </c>
      <c r="U866" s="81" t="s">
        <v>48</v>
      </c>
      <c r="V866" s="81" t="s">
        <v>48</v>
      </c>
      <c r="W866" s="81" t="s">
        <v>49</v>
      </c>
      <c r="X866" s="81" t="s">
        <v>48</v>
      </c>
      <c r="Y866" s="81" t="s">
        <v>48</v>
      </c>
    </row>
    <row r="867" spans="1:25" x14ac:dyDescent="0.3">
      <c r="A867" s="16">
        <v>7501573903260</v>
      </c>
      <c r="B867" s="81" t="s">
        <v>43</v>
      </c>
      <c r="C867" s="81" t="s">
        <v>847</v>
      </c>
      <c r="D867" s="81" t="s">
        <v>45</v>
      </c>
      <c r="E867" s="81" t="s">
        <v>2303</v>
      </c>
      <c r="F867" s="81" t="s">
        <v>2304</v>
      </c>
      <c r="G867" s="81" t="s">
        <v>5096</v>
      </c>
      <c r="H867" s="81" t="s">
        <v>2218</v>
      </c>
      <c r="I867" s="81" t="s">
        <v>5542</v>
      </c>
      <c r="J867" s="81" t="s">
        <v>2186</v>
      </c>
      <c r="K867" s="81" t="s">
        <v>5542</v>
      </c>
      <c r="L867" s="81" t="s">
        <v>2392</v>
      </c>
      <c r="M867" s="81" t="s">
        <v>5542</v>
      </c>
      <c r="N867" s="81" t="s">
        <v>2231</v>
      </c>
      <c r="O867" s="81" t="s">
        <v>2187</v>
      </c>
      <c r="P867" s="81" t="s">
        <v>2187</v>
      </c>
      <c r="Q867" s="81" t="s">
        <v>43</v>
      </c>
      <c r="R867" s="81" t="s">
        <v>46</v>
      </c>
      <c r="S867" s="81" t="s">
        <v>46</v>
      </c>
      <c r="T867" s="81" t="s">
        <v>48</v>
      </c>
      <c r="U867" s="81" t="s">
        <v>48</v>
      </c>
      <c r="V867" s="81" t="s">
        <v>48</v>
      </c>
      <c r="W867" s="81" t="s">
        <v>49</v>
      </c>
      <c r="X867" s="81" t="s">
        <v>48</v>
      </c>
      <c r="Y867" s="81" t="s">
        <v>48</v>
      </c>
    </row>
    <row r="868" spans="1:25" x14ac:dyDescent="0.3">
      <c r="A868" s="16">
        <v>7501349020085</v>
      </c>
      <c r="B868" s="81" t="s">
        <v>43</v>
      </c>
      <c r="C868" s="81" t="s">
        <v>848</v>
      </c>
      <c r="D868" s="81" t="s">
        <v>45</v>
      </c>
      <c r="E868" s="81" t="s">
        <v>2419</v>
      </c>
      <c r="F868" s="81" t="s">
        <v>2703</v>
      </c>
      <c r="G868" s="81" t="s">
        <v>5405</v>
      </c>
      <c r="H868" s="81" t="s">
        <v>2208</v>
      </c>
      <c r="I868" s="81" t="s">
        <v>3828</v>
      </c>
      <c r="J868" s="81" t="s">
        <v>2186</v>
      </c>
      <c r="K868" s="81" t="s">
        <v>3828</v>
      </c>
      <c r="L868" s="81" t="s">
        <v>2392</v>
      </c>
      <c r="M868" s="81" t="s">
        <v>3828</v>
      </c>
      <c r="N868" s="81" t="s">
        <v>2231</v>
      </c>
      <c r="O868" s="81" t="s">
        <v>2187</v>
      </c>
      <c r="P868" s="81" t="s">
        <v>2187</v>
      </c>
      <c r="Q868" s="81" t="s">
        <v>43</v>
      </c>
      <c r="R868" s="81" t="s">
        <v>46</v>
      </c>
      <c r="S868" s="81" t="s">
        <v>47</v>
      </c>
      <c r="T868" s="81" t="s">
        <v>48</v>
      </c>
      <c r="U868" s="81" t="s">
        <v>48</v>
      </c>
      <c r="V868" s="81" t="s">
        <v>48</v>
      </c>
      <c r="W868" s="81" t="s">
        <v>49</v>
      </c>
      <c r="X868" s="81" t="s">
        <v>48</v>
      </c>
      <c r="Y868" s="81" t="s">
        <v>48</v>
      </c>
    </row>
    <row r="869" spans="1:25" x14ac:dyDescent="0.3">
      <c r="A869" s="16">
        <v>7501537102067</v>
      </c>
      <c r="B869" s="81" t="s">
        <v>43</v>
      </c>
      <c r="C869" s="81" t="s">
        <v>849</v>
      </c>
      <c r="D869" s="81" t="s">
        <v>45</v>
      </c>
      <c r="E869" s="81" t="s">
        <v>2678</v>
      </c>
      <c r="F869" s="81" t="s">
        <v>2388</v>
      </c>
      <c r="G869" s="81" t="s">
        <v>3921</v>
      </c>
      <c r="H869" s="81" t="s">
        <v>6188</v>
      </c>
      <c r="I869" s="81" t="s">
        <v>3273</v>
      </c>
      <c r="J869" s="81" t="s">
        <v>2186</v>
      </c>
      <c r="K869" s="81" t="s">
        <v>3273</v>
      </c>
      <c r="L869" s="81" t="s">
        <v>2392</v>
      </c>
      <c r="M869" s="81" t="s">
        <v>3273</v>
      </c>
      <c r="N869" s="81" t="s">
        <v>2231</v>
      </c>
      <c r="O869" s="81" t="s">
        <v>2187</v>
      </c>
      <c r="P869" s="81" t="s">
        <v>2187</v>
      </c>
      <c r="Q869" s="81" t="s">
        <v>43</v>
      </c>
      <c r="R869" s="81" t="s">
        <v>51</v>
      </c>
      <c r="S869" s="81" t="s">
        <v>81</v>
      </c>
      <c r="T869" s="81" t="s">
        <v>49</v>
      </c>
      <c r="U869" s="81" t="s">
        <v>48</v>
      </c>
      <c r="V869" s="81" t="s">
        <v>48</v>
      </c>
      <c r="W869" s="81" t="s">
        <v>49</v>
      </c>
      <c r="X869" s="81" t="s">
        <v>48</v>
      </c>
      <c r="Y869" s="81" t="s">
        <v>48</v>
      </c>
    </row>
    <row r="870" spans="1:25" x14ac:dyDescent="0.3">
      <c r="A870" s="16">
        <v>4895225300730</v>
      </c>
      <c r="B870" s="81" t="s">
        <v>43</v>
      </c>
      <c r="C870" s="81" t="s">
        <v>850</v>
      </c>
      <c r="D870" s="81" t="s">
        <v>45</v>
      </c>
      <c r="E870" s="81" t="s">
        <v>2298</v>
      </c>
      <c r="F870" s="81" t="s">
        <v>2545</v>
      </c>
      <c r="G870" s="81" t="s">
        <v>3419</v>
      </c>
      <c r="H870" s="81" t="s">
        <v>4023</v>
      </c>
      <c r="I870" s="81" t="s">
        <v>6189</v>
      </c>
      <c r="J870" s="81" t="s">
        <v>2186</v>
      </c>
      <c r="K870" s="81" t="s">
        <v>6189</v>
      </c>
      <c r="L870" s="81" t="s">
        <v>2392</v>
      </c>
      <c r="M870" s="81" t="s">
        <v>6189</v>
      </c>
      <c r="N870" s="81" t="s">
        <v>2231</v>
      </c>
      <c r="O870" s="81" t="s">
        <v>2187</v>
      </c>
      <c r="P870" s="81" t="s">
        <v>2187</v>
      </c>
      <c r="Q870" s="81" t="s">
        <v>43</v>
      </c>
      <c r="R870" s="81" t="s">
        <v>122</v>
      </c>
      <c r="S870" s="81" t="s">
        <v>123</v>
      </c>
      <c r="T870" s="81" t="s">
        <v>48</v>
      </c>
      <c r="U870" s="81" t="s">
        <v>48</v>
      </c>
      <c r="V870" s="81" t="s">
        <v>49</v>
      </c>
      <c r="W870" s="81" t="s">
        <v>48</v>
      </c>
      <c r="X870" s="81" t="s">
        <v>48</v>
      </c>
      <c r="Y870" s="81" t="s">
        <v>48</v>
      </c>
    </row>
    <row r="871" spans="1:25" x14ac:dyDescent="0.3">
      <c r="A871" s="16">
        <v>7501644707490</v>
      </c>
      <c r="B871" s="81" t="s">
        <v>43</v>
      </c>
      <c r="C871" s="81" t="s">
        <v>1981</v>
      </c>
      <c r="D871" s="81" t="s">
        <v>45</v>
      </c>
      <c r="E871" s="81" t="s">
        <v>2210</v>
      </c>
      <c r="F871" s="81" t="s">
        <v>2606</v>
      </c>
      <c r="G871" s="81" t="s">
        <v>5406</v>
      </c>
      <c r="H871" s="81" t="s">
        <v>2217</v>
      </c>
      <c r="I871" s="81" t="s">
        <v>5975</v>
      </c>
      <c r="J871" s="81" t="s">
        <v>2186</v>
      </c>
      <c r="K871" s="81" t="s">
        <v>5975</v>
      </c>
      <c r="L871" s="81" t="s">
        <v>2392</v>
      </c>
      <c r="M871" s="81" t="s">
        <v>5975</v>
      </c>
      <c r="N871" s="81" t="s">
        <v>2231</v>
      </c>
      <c r="O871" s="81" t="s">
        <v>2187</v>
      </c>
      <c r="P871" s="81" t="s">
        <v>2187</v>
      </c>
      <c r="Q871" s="81" t="s">
        <v>43</v>
      </c>
      <c r="R871" s="81" t="s">
        <v>46</v>
      </c>
      <c r="S871" s="81" t="s">
        <v>47</v>
      </c>
      <c r="T871" s="81" t="s">
        <v>48</v>
      </c>
      <c r="U871" s="81" t="s">
        <v>48</v>
      </c>
      <c r="V871" s="81" t="s">
        <v>48</v>
      </c>
      <c r="W871" s="81" t="s">
        <v>49</v>
      </c>
      <c r="X871" s="81" t="s">
        <v>48</v>
      </c>
      <c r="Y871" s="81" t="s">
        <v>48</v>
      </c>
    </row>
    <row r="872" spans="1:25" x14ac:dyDescent="0.3">
      <c r="A872" s="16">
        <v>7501130713547</v>
      </c>
      <c r="B872" s="81" t="s">
        <v>43</v>
      </c>
      <c r="C872" s="81" t="s">
        <v>851</v>
      </c>
      <c r="D872" s="81" t="s">
        <v>45</v>
      </c>
      <c r="E872" s="81" t="s">
        <v>2369</v>
      </c>
      <c r="F872" s="81" t="s">
        <v>2442</v>
      </c>
      <c r="G872" s="81" t="s">
        <v>4972</v>
      </c>
      <c r="H872" s="81" t="s">
        <v>3241</v>
      </c>
      <c r="I872" s="81" t="s">
        <v>6190</v>
      </c>
      <c r="J872" s="81" t="s">
        <v>2186</v>
      </c>
      <c r="K872" s="81" t="s">
        <v>6190</v>
      </c>
      <c r="L872" s="81" t="s">
        <v>2392</v>
      </c>
      <c r="M872" s="81" t="s">
        <v>6190</v>
      </c>
      <c r="N872" s="81" t="s">
        <v>2231</v>
      </c>
      <c r="O872" s="81" t="s">
        <v>2187</v>
      </c>
      <c r="P872" s="81" t="s">
        <v>2187</v>
      </c>
      <c r="Q872" s="81" t="s">
        <v>43</v>
      </c>
      <c r="R872" s="81" t="s">
        <v>101</v>
      </c>
      <c r="S872" s="81" t="s">
        <v>101</v>
      </c>
      <c r="T872" s="81" t="s">
        <v>48</v>
      </c>
      <c r="U872" s="81" t="s">
        <v>48</v>
      </c>
      <c r="V872" s="81" t="s">
        <v>49</v>
      </c>
      <c r="W872" s="81" t="s">
        <v>48</v>
      </c>
      <c r="X872" s="81" t="s">
        <v>48</v>
      </c>
      <c r="Y872" s="81" t="s">
        <v>48</v>
      </c>
    </row>
    <row r="873" spans="1:25" x14ac:dyDescent="0.3">
      <c r="A873" s="16">
        <v>7501130713851</v>
      </c>
      <c r="B873" s="81" t="s">
        <v>43</v>
      </c>
      <c r="C873" s="81" t="s">
        <v>852</v>
      </c>
      <c r="D873" s="81" t="s">
        <v>45</v>
      </c>
      <c r="E873" s="81" t="s">
        <v>2191</v>
      </c>
      <c r="F873" s="81" t="s">
        <v>2192</v>
      </c>
      <c r="G873" s="81" t="s">
        <v>5407</v>
      </c>
      <c r="H873" s="81" t="s">
        <v>3184</v>
      </c>
      <c r="I873" s="81" t="s">
        <v>6191</v>
      </c>
      <c r="J873" s="81" t="s">
        <v>2186</v>
      </c>
      <c r="K873" s="81" t="s">
        <v>6191</v>
      </c>
      <c r="L873" s="81" t="s">
        <v>2392</v>
      </c>
      <c r="M873" s="81" t="s">
        <v>6191</v>
      </c>
      <c r="N873" s="81" t="s">
        <v>2231</v>
      </c>
      <c r="O873" s="81" t="s">
        <v>2187</v>
      </c>
      <c r="P873" s="81" t="s">
        <v>2187</v>
      </c>
      <c r="Q873" s="81" t="s">
        <v>43</v>
      </c>
      <c r="R873" s="81" t="s">
        <v>101</v>
      </c>
      <c r="S873" s="81" t="s">
        <v>101</v>
      </c>
      <c r="T873" s="81" t="s">
        <v>48</v>
      </c>
      <c r="U873" s="81" t="s">
        <v>48</v>
      </c>
      <c r="V873" s="81" t="s">
        <v>49</v>
      </c>
      <c r="W873" s="81" t="s">
        <v>48</v>
      </c>
      <c r="X873" s="81" t="s">
        <v>48</v>
      </c>
      <c r="Y873" s="81" t="s">
        <v>48</v>
      </c>
    </row>
    <row r="874" spans="1:25" x14ac:dyDescent="0.3">
      <c r="A874" s="16">
        <v>7501130742134</v>
      </c>
      <c r="B874" s="81" t="s">
        <v>43</v>
      </c>
      <c r="C874" s="81" t="s">
        <v>3423</v>
      </c>
      <c r="D874" s="81" t="s">
        <v>45</v>
      </c>
      <c r="E874" s="81" t="s">
        <v>2368</v>
      </c>
      <c r="F874" s="81" t="s">
        <v>2368</v>
      </c>
      <c r="G874" s="81" t="s">
        <v>5032</v>
      </c>
      <c r="H874" s="81" t="s">
        <v>3424</v>
      </c>
      <c r="I874" s="81" t="s">
        <v>6192</v>
      </c>
      <c r="J874" s="81" t="s">
        <v>2186</v>
      </c>
      <c r="K874" s="81" t="s">
        <v>6192</v>
      </c>
      <c r="L874" s="81" t="s">
        <v>2392</v>
      </c>
      <c r="M874" s="81" t="s">
        <v>6192</v>
      </c>
      <c r="N874" s="81" t="s">
        <v>2231</v>
      </c>
      <c r="O874" s="81" t="s">
        <v>2187</v>
      </c>
      <c r="P874" s="81" t="s">
        <v>2187</v>
      </c>
      <c r="Q874" s="81" t="s">
        <v>43</v>
      </c>
      <c r="R874" s="81" t="s">
        <v>101</v>
      </c>
      <c r="S874" s="81" t="s">
        <v>101</v>
      </c>
      <c r="T874" s="81" t="s">
        <v>48</v>
      </c>
      <c r="U874" s="81" t="s">
        <v>48</v>
      </c>
      <c r="V874" s="81" t="s">
        <v>49</v>
      </c>
      <c r="W874" s="81" t="s">
        <v>48</v>
      </c>
      <c r="X874" s="81" t="s">
        <v>48</v>
      </c>
      <c r="Y874" s="81" t="s">
        <v>48</v>
      </c>
    </row>
    <row r="875" spans="1:25" x14ac:dyDescent="0.3">
      <c r="A875" s="16">
        <v>7501130711642</v>
      </c>
      <c r="B875" s="81" t="s">
        <v>43</v>
      </c>
      <c r="C875" s="81" t="s">
        <v>853</v>
      </c>
      <c r="D875" s="81" t="s">
        <v>45</v>
      </c>
      <c r="E875" s="81" t="s">
        <v>2179</v>
      </c>
      <c r="F875" s="81" t="s">
        <v>2191</v>
      </c>
      <c r="G875" s="81" t="s">
        <v>4964</v>
      </c>
      <c r="H875" s="81" t="s">
        <v>3185</v>
      </c>
      <c r="I875" s="81" t="s">
        <v>6193</v>
      </c>
      <c r="J875" s="81" t="s">
        <v>2186</v>
      </c>
      <c r="K875" s="81" t="s">
        <v>6193</v>
      </c>
      <c r="L875" s="81" t="s">
        <v>2392</v>
      </c>
      <c r="M875" s="81" t="s">
        <v>6193</v>
      </c>
      <c r="N875" s="81" t="s">
        <v>2231</v>
      </c>
      <c r="O875" s="81" t="s">
        <v>2187</v>
      </c>
      <c r="P875" s="81" t="s">
        <v>2187</v>
      </c>
      <c r="Q875" s="81" t="s">
        <v>43</v>
      </c>
      <c r="R875" s="81" t="s">
        <v>101</v>
      </c>
      <c r="S875" s="81" t="s">
        <v>101</v>
      </c>
      <c r="T875" s="81" t="s">
        <v>48</v>
      </c>
      <c r="U875" s="81" t="s">
        <v>48</v>
      </c>
      <c r="V875" s="81" t="s">
        <v>49</v>
      </c>
      <c r="W875" s="81" t="s">
        <v>48</v>
      </c>
      <c r="X875" s="81" t="s">
        <v>48</v>
      </c>
      <c r="Y875" s="81" t="s">
        <v>48</v>
      </c>
    </row>
    <row r="876" spans="1:25" x14ac:dyDescent="0.3">
      <c r="A876" s="16">
        <v>785118754242</v>
      </c>
      <c r="B876" s="81" t="s">
        <v>43</v>
      </c>
      <c r="C876" s="81" t="s">
        <v>2150</v>
      </c>
      <c r="D876" s="81" t="s">
        <v>45</v>
      </c>
      <c r="E876" s="81" t="s">
        <v>2577</v>
      </c>
      <c r="F876" s="81" t="s">
        <v>2578</v>
      </c>
      <c r="G876" s="81" t="s">
        <v>6194</v>
      </c>
      <c r="H876" s="81" t="s">
        <v>2506</v>
      </c>
      <c r="I876" s="81" t="s">
        <v>6195</v>
      </c>
      <c r="J876" s="81" t="s">
        <v>2186</v>
      </c>
      <c r="K876" s="81" t="s">
        <v>6195</v>
      </c>
      <c r="L876" s="81" t="s">
        <v>2392</v>
      </c>
      <c r="M876" s="81" t="s">
        <v>6195</v>
      </c>
      <c r="N876" s="81" t="s">
        <v>2231</v>
      </c>
      <c r="O876" s="81" t="s">
        <v>2187</v>
      </c>
      <c r="P876" s="81" t="s">
        <v>2187</v>
      </c>
      <c r="Q876" s="81" t="s">
        <v>43</v>
      </c>
      <c r="R876" s="81" t="s">
        <v>46</v>
      </c>
      <c r="S876" s="81" t="s">
        <v>46</v>
      </c>
      <c r="T876" s="81" t="s">
        <v>48</v>
      </c>
      <c r="U876" s="81" t="s">
        <v>48</v>
      </c>
      <c r="V876" s="81" t="s">
        <v>48</v>
      </c>
      <c r="W876" s="81" t="s">
        <v>49</v>
      </c>
      <c r="X876" s="81" t="s">
        <v>48</v>
      </c>
      <c r="Y876" s="81" t="s">
        <v>48</v>
      </c>
    </row>
    <row r="877" spans="1:25" x14ac:dyDescent="0.3">
      <c r="A877" s="16">
        <v>7503001007113</v>
      </c>
      <c r="B877" s="81" t="s">
        <v>43</v>
      </c>
      <c r="C877" s="81" t="s">
        <v>854</v>
      </c>
      <c r="D877" s="81" t="s">
        <v>45</v>
      </c>
      <c r="E877" s="81" t="s">
        <v>2192</v>
      </c>
      <c r="F877" s="81" t="s">
        <v>2294</v>
      </c>
      <c r="G877" s="81" t="s">
        <v>6196</v>
      </c>
      <c r="H877" s="81" t="s">
        <v>2190</v>
      </c>
      <c r="I877" s="81" t="s">
        <v>5247</v>
      </c>
      <c r="J877" s="81" t="s">
        <v>2186</v>
      </c>
      <c r="K877" s="81" t="s">
        <v>5247</v>
      </c>
      <c r="L877" s="81" t="s">
        <v>2392</v>
      </c>
      <c r="M877" s="81" t="s">
        <v>5247</v>
      </c>
      <c r="N877" s="81" t="s">
        <v>2231</v>
      </c>
      <c r="O877" s="81" t="s">
        <v>2187</v>
      </c>
      <c r="P877" s="81" t="s">
        <v>2187</v>
      </c>
      <c r="Q877" s="81" t="s">
        <v>43</v>
      </c>
      <c r="R877" s="81" t="s">
        <v>51</v>
      </c>
      <c r="S877" s="81" t="s">
        <v>81</v>
      </c>
      <c r="T877" s="81" t="s">
        <v>49</v>
      </c>
      <c r="U877" s="81" t="s">
        <v>48</v>
      </c>
      <c r="V877" s="81" t="s">
        <v>48</v>
      </c>
      <c r="W877" s="81" t="s">
        <v>49</v>
      </c>
      <c r="X877" s="81" t="s">
        <v>48</v>
      </c>
      <c r="Y877" s="81" t="s">
        <v>48</v>
      </c>
    </row>
    <row r="878" spans="1:25" x14ac:dyDescent="0.3">
      <c r="A878" s="16">
        <v>7501563380439</v>
      </c>
      <c r="B878" s="81" t="s">
        <v>43</v>
      </c>
      <c r="C878" s="81" t="s">
        <v>1982</v>
      </c>
      <c r="D878" s="81" t="s">
        <v>45</v>
      </c>
      <c r="E878" s="81" t="s">
        <v>2442</v>
      </c>
      <c r="F878" s="81" t="s">
        <v>2443</v>
      </c>
      <c r="G878" s="81" t="s">
        <v>2575</v>
      </c>
      <c r="H878" s="81" t="s">
        <v>2193</v>
      </c>
      <c r="I878" s="81" t="s">
        <v>6197</v>
      </c>
      <c r="J878" s="81" t="s">
        <v>2186</v>
      </c>
      <c r="K878" s="81" t="s">
        <v>6197</v>
      </c>
      <c r="L878" s="81" t="s">
        <v>2392</v>
      </c>
      <c r="M878" s="81" t="s">
        <v>6197</v>
      </c>
      <c r="N878" s="81" t="s">
        <v>2231</v>
      </c>
      <c r="O878" s="81" t="s">
        <v>2187</v>
      </c>
      <c r="P878" s="81" t="s">
        <v>2187</v>
      </c>
      <c r="Q878" s="81" t="s">
        <v>43</v>
      </c>
      <c r="R878" s="81" t="s">
        <v>46</v>
      </c>
      <c r="S878" s="81" t="s">
        <v>46</v>
      </c>
      <c r="T878" s="81" t="s">
        <v>48</v>
      </c>
      <c r="U878" s="81" t="s">
        <v>48</v>
      </c>
      <c r="V878" s="81" t="s">
        <v>48</v>
      </c>
      <c r="W878" s="81" t="s">
        <v>49</v>
      </c>
      <c r="X878" s="81" t="s">
        <v>48</v>
      </c>
      <c r="Y878" s="81" t="s">
        <v>48</v>
      </c>
    </row>
    <row r="879" spans="1:25" x14ac:dyDescent="0.3">
      <c r="A879" s="16">
        <v>7506400900474</v>
      </c>
      <c r="B879" s="81" t="s">
        <v>43</v>
      </c>
      <c r="C879" s="81" t="s">
        <v>855</v>
      </c>
      <c r="D879" s="81" t="s">
        <v>45</v>
      </c>
      <c r="E879" s="81" t="s">
        <v>2179</v>
      </c>
      <c r="F879" s="81" t="s">
        <v>2191</v>
      </c>
      <c r="G879" s="81" t="s">
        <v>3425</v>
      </c>
      <c r="H879" s="81" t="s">
        <v>2726</v>
      </c>
      <c r="I879" s="81" t="s">
        <v>6198</v>
      </c>
      <c r="J879" s="81" t="s">
        <v>2186</v>
      </c>
      <c r="K879" s="81" t="s">
        <v>6198</v>
      </c>
      <c r="L879" s="81" t="s">
        <v>2392</v>
      </c>
      <c r="M879" s="81" t="s">
        <v>6198</v>
      </c>
      <c r="N879" s="81" t="s">
        <v>2231</v>
      </c>
      <c r="O879" s="81" t="s">
        <v>2187</v>
      </c>
      <c r="P879" s="81" t="s">
        <v>2187</v>
      </c>
      <c r="Q879" s="81" t="s">
        <v>43</v>
      </c>
      <c r="R879" s="81" t="s">
        <v>374</v>
      </c>
      <c r="S879" s="81" t="s">
        <v>374</v>
      </c>
      <c r="T879" s="81" t="s">
        <v>48</v>
      </c>
      <c r="U879" s="81" t="s">
        <v>48</v>
      </c>
      <c r="V879" s="81" t="s">
        <v>49</v>
      </c>
      <c r="W879" s="81" t="s">
        <v>48</v>
      </c>
      <c r="X879" s="81" t="s">
        <v>48</v>
      </c>
      <c r="Y879" s="81" t="s">
        <v>48</v>
      </c>
    </row>
    <row r="880" spans="1:25" x14ac:dyDescent="0.3">
      <c r="A880" s="16">
        <v>7501128110068</v>
      </c>
      <c r="B880" s="81" t="s">
        <v>43</v>
      </c>
      <c r="C880" s="81" t="s">
        <v>856</v>
      </c>
      <c r="D880" s="81" t="s">
        <v>45</v>
      </c>
      <c r="E880" s="81" t="s">
        <v>2179</v>
      </c>
      <c r="F880" s="81" t="s">
        <v>2704</v>
      </c>
      <c r="G880" s="81" t="s">
        <v>2714</v>
      </c>
      <c r="H880" s="81" t="s">
        <v>4366</v>
      </c>
      <c r="I880" s="81" t="s">
        <v>6199</v>
      </c>
      <c r="J880" s="81" t="s">
        <v>2186</v>
      </c>
      <c r="K880" s="81" t="s">
        <v>6199</v>
      </c>
      <c r="L880" s="81" t="s">
        <v>2392</v>
      </c>
      <c r="M880" s="81" t="s">
        <v>6199</v>
      </c>
      <c r="N880" s="81" t="s">
        <v>2231</v>
      </c>
      <c r="O880" s="81" t="s">
        <v>2187</v>
      </c>
      <c r="P880" s="81" t="s">
        <v>2187</v>
      </c>
      <c r="Q880" s="81" t="s">
        <v>43</v>
      </c>
      <c r="R880" s="81" t="s">
        <v>122</v>
      </c>
      <c r="S880" s="81" t="s">
        <v>122</v>
      </c>
      <c r="T880" s="81" t="s">
        <v>48</v>
      </c>
      <c r="U880" s="81" t="s">
        <v>48</v>
      </c>
      <c r="V880" s="81" t="s">
        <v>49</v>
      </c>
      <c r="W880" s="81" t="s">
        <v>48</v>
      </c>
      <c r="X880" s="81" t="s">
        <v>48</v>
      </c>
      <c r="Y880" s="81" t="s">
        <v>48</v>
      </c>
    </row>
    <row r="881" spans="1:25" x14ac:dyDescent="0.3">
      <c r="A881" s="16">
        <v>7502001160231</v>
      </c>
      <c r="B881" s="81" t="s">
        <v>43</v>
      </c>
      <c r="C881" s="81" t="s">
        <v>857</v>
      </c>
      <c r="D881" s="81" t="s">
        <v>45</v>
      </c>
      <c r="E881" s="81" t="s">
        <v>2790</v>
      </c>
      <c r="F881" s="81" t="s">
        <v>2791</v>
      </c>
      <c r="G881" s="81" t="s">
        <v>4889</v>
      </c>
      <c r="H881" s="81" t="s">
        <v>2217</v>
      </c>
      <c r="I881" s="81" t="s">
        <v>5555</v>
      </c>
      <c r="J881" s="81" t="s">
        <v>2186</v>
      </c>
      <c r="K881" s="81" t="s">
        <v>5555</v>
      </c>
      <c r="L881" s="81" t="s">
        <v>2392</v>
      </c>
      <c r="M881" s="81" t="s">
        <v>5555</v>
      </c>
      <c r="N881" s="81" t="s">
        <v>2231</v>
      </c>
      <c r="O881" s="81" t="s">
        <v>2187</v>
      </c>
      <c r="P881" s="81" t="s">
        <v>2187</v>
      </c>
      <c r="Q881" s="81" t="s">
        <v>43</v>
      </c>
      <c r="R881" s="81" t="s">
        <v>46</v>
      </c>
      <c r="S881" s="81" t="s">
        <v>164</v>
      </c>
      <c r="T881" s="81" t="s">
        <v>48</v>
      </c>
      <c r="U881" s="81" t="s">
        <v>48</v>
      </c>
      <c r="V881" s="81" t="s">
        <v>48</v>
      </c>
      <c r="W881" s="81" t="s">
        <v>49</v>
      </c>
      <c r="X881" s="81" t="s">
        <v>48</v>
      </c>
      <c r="Y881" s="81" t="s">
        <v>48</v>
      </c>
    </row>
    <row r="882" spans="1:25" x14ac:dyDescent="0.3">
      <c r="A882" s="16">
        <v>729513146981</v>
      </c>
      <c r="B882" s="81" t="s">
        <v>43</v>
      </c>
      <c r="C882" s="81" t="s">
        <v>858</v>
      </c>
      <c r="D882" s="81" t="s">
        <v>45</v>
      </c>
      <c r="E882" s="81" t="s">
        <v>2412</v>
      </c>
      <c r="F882" s="81" t="s">
        <v>2368</v>
      </c>
      <c r="G882" s="81" t="s">
        <v>3426</v>
      </c>
      <c r="H882" s="81" t="s">
        <v>5261</v>
      </c>
      <c r="I882" s="81" t="s">
        <v>6200</v>
      </c>
      <c r="J882" s="81" t="s">
        <v>2186</v>
      </c>
      <c r="K882" s="81" t="s">
        <v>6200</v>
      </c>
      <c r="L882" s="81" t="s">
        <v>2392</v>
      </c>
      <c r="M882" s="81" t="s">
        <v>6200</v>
      </c>
      <c r="N882" s="81" t="s">
        <v>2231</v>
      </c>
      <c r="O882" s="81" t="s">
        <v>2187</v>
      </c>
      <c r="P882" s="81" t="s">
        <v>2187</v>
      </c>
      <c r="Q882" s="81" t="s">
        <v>43</v>
      </c>
      <c r="R882" s="81" t="s">
        <v>122</v>
      </c>
      <c r="S882" s="81" t="s">
        <v>123</v>
      </c>
      <c r="T882" s="81" t="s">
        <v>48</v>
      </c>
      <c r="U882" s="81" t="s">
        <v>48</v>
      </c>
      <c r="V882" s="81" t="s">
        <v>49</v>
      </c>
      <c r="W882" s="81" t="s">
        <v>48</v>
      </c>
      <c r="X882" s="81" t="s">
        <v>48</v>
      </c>
      <c r="Y882" s="81" t="s">
        <v>48</v>
      </c>
    </row>
    <row r="883" spans="1:25" x14ac:dyDescent="0.3">
      <c r="A883" s="16">
        <v>729513146714</v>
      </c>
      <c r="B883" s="81" t="s">
        <v>43</v>
      </c>
      <c r="C883" s="81" t="s">
        <v>859</v>
      </c>
      <c r="D883" s="81" t="s">
        <v>45</v>
      </c>
      <c r="E883" s="81" t="s">
        <v>2412</v>
      </c>
      <c r="F883" s="81" t="s">
        <v>2412</v>
      </c>
      <c r="G883" s="81" t="s">
        <v>3427</v>
      </c>
      <c r="H883" s="81" t="s">
        <v>4588</v>
      </c>
      <c r="I883" s="81" t="s">
        <v>4589</v>
      </c>
      <c r="J883" s="81" t="s">
        <v>2186</v>
      </c>
      <c r="K883" s="81" t="s">
        <v>4590</v>
      </c>
      <c r="L883" s="81" t="s">
        <v>2392</v>
      </c>
      <c r="M883" s="81" t="s">
        <v>3053</v>
      </c>
      <c r="N883" s="81" t="s">
        <v>2231</v>
      </c>
      <c r="O883" s="81" t="s">
        <v>2187</v>
      </c>
      <c r="P883" s="81" t="s">
        <v>2187</v>
      </c>
      <c r="Q883" s="81" t="s">
        <v>43</v>
      </c>
      <c r="R883" s="81" t="s">
        <v>122</v>
      </c>
      <c r="S883" s="81" t="s">
        <v>123</v>
      </c>
      <c r="T883" s="81" t="s">
        <v>48</v>
      </c>
      <c r="U883" s="81" t="s">
        <v>48</v>
      </c>
      <c r="V883" s="81" t="s">
        <v>49</v>
      </c>
      <c r="W883" s="81" t="s">
        <v>48</v>
      </c>
      <c r="X883" s="81" t="s">
        <v>48</v>
      </c>
      <c r="Y883" s="81" t="s">
        <v>48</v>
      </c>
    </row>
    <row r="884" spans="1:25" x14ac:dyDescent="0.3">
      <c r="A884" s="16">
        <v>729513146738</v>
      </c>
      <c r="B884" s="81" t="s">
        <v>43</v>
      </c>
      <c r="C884" s="81" t="s">
        <v>860</v>
      </c>
      <c r="D884" s="81" t="s">
        <v>45</v>
      </c>
      <c r="E884" s="81" t="s">
        <v>2227</v>
      </c>
      <c r="F884" s="81" t="s">
        <v>2227</v>
      </c>
      <c r="G884" s="81" t="s">
        <v>3428</v>
      </c>
      <c r="H884" s="81" t="s">
        <v>2757</v>
      </c>
      <c r="I884" s="81" t="s">
        <v>6201</v>
      </c>
      <c r="J884" s="81" t="s">
        <v>2186</v>
      </c>
      <c r="K884" s="81" t="s">
        <v>6201</v>
      </c>
      <c r="L884" s="81" t="s">
        <v>2392</v>
      </c>
      <c r="M884" s="81" t="s">
        <v>6201</v>
      </c>
      <c r="N884" s="81" t="s">
        <v>2231</v>
      </c>
      <c r="O884" s="81" t="s">
        <v>2187</v>
      </c>
      <c r="P884" s="81" t="s">
        <v>2187</v>
      </c>
      <c r="Q884" s="81" t="s">
        <v>43</v>
      </c>
      <c r="R884" s="81" t="s">
        <v>122</v>
      </c>
      <c r="S884" s="81" t="s">
        <v>123</v>
      </c>
      <c r="T884" s="81" t="s">
        <v>48</v>
      </c>
      <c r="U884" s="81" t="s">
        <v>48</v>
      </c>
      <c r="V884" s="81" t="s">
        <v>49</v>
      </c>
      <c r="W884" s="81" t="s">
        <v>48</v>
      </c>
      <c r="X884" s="81" t="s">
        <v>48</v>
      </c>
      <c r="Y884" s="81" t="s">
        <v>48</v>
      </c>
    </row>
    <row r="885" spans="1:25" x14ac:dyDescent="0.3">
      <c r="A885" s="16">
        <v>729513146745</v>
      </c>
      <c r="B885" s="81" t="s">
        <v>43</v>
      </c>
      <c r="C885" s="81" t="s">
        <v>861</v>
      </c>
      <c r="D885" s="81" t="s">
        <v>45</v>
      </c>
      <c r="E885" s="81" t="s">
        <v>2412</v>
      </c>
      <c r="F885" s="81" t="s">
        <v>2368</v>
      </c>
      <c r="G885" s="81" t="s">
        <v>3428</v>
      </c>
      <c r="H885" s="81" t="s">
        <v>2757</v>
      </c>
      <c r="I885" s="81" t="s">
        <v>6201</v>
      </c>
      <c r="J885" s="81" t="s">
        <v>2186</v>
      </c>
      <c r="K885" s="81" t="s">
        <v>6201</v>
      </c>
      <c r="L885" s="81" t="s">
        <v>2392</v>
      </c>
      <c r="M885" s="81" t="s">
        <v>6201</v>
      </c>
      <c r="N885" s="81" t="s">
        <v>2231</v>
      </c>
      <c r="O885" s="81" t="s">
        <v>2187</v>
      </c>
      <c r="P885" s="81" t="s">
        <v>2187</v>
      </c>
      <c r="Q885" s="81" t="s">
        <v>43</v>
      </c>
      <c r="R885" s="81" t="s">
        <v>122</v>
      </c>
      <c r="S885" s="81" t="s">
        <v>123</v>
      </c>
      <c r="T885" s="81" t="s">
        <v>48</v>
      </c>
      <c r="U885" s="81" t="s">
        <v>48</v>
      </c>
      <c r="V885" s="81" t="s">
        <v>49</v>
      </c>
      <c r="W885" s="81" t="s">
        <v>48</v>
      </c>
      <c r="X885" s="81" t="s">
        <v>48</v>
      </c>
      <c r="Y885" s="81" t="s">
        <v>48</v>
      </c>
    </row>
    <row r="886" spans="1:25" x14ac:dyDescent="0.3">
      <c r="A886" s="16">
        <v>729513146769</v>
      </c>
      <c r="B886" s="81" t="s">
        <v>43</v>
      </c>
      <c r="C886" s="81" t="s">
        <v>862</v>
      </c>
      <c r="D886" s="81" t="s">
        <v>45</v>
      </c>
      <c r="E886" s="81" t="s">
        <v>2227</v>
      </c>
      <c r="F886" s="81" t="s">
        <v>2227</v>
      </c>
      <c r="G886" s="81" t="s">
        <v>3429</v>
      </c>
      <c r="H886" s="81" t="s">
        <v>4591</v>
      </c>
      <c r="I886" s="81" t="s">
        <v>4592</v>
      </c>
      <c r="J886" s="81" t="s">
        <v>2186</v>
      </c>
      <c r="K886" s="81" t="s">
        <v>4593</v>
      </c>
      <c r="L886" s="81" t="s">
        <v>2392</v>
      </c>
      <c r="M886" s="81" t="s">
        <v>3430</v>
      </c>
      <c r="N886" s="81" t="s">
        <v>2231</v>
      </c>
      <c r="O886" s="81" t="s">
        <v>2187</v>
      </c>
      <c r="P886" s="81" t="s">
        <v>2187</v>
      </c>
      <c r="Q886" s="81" t="s">
        <v>43</v>
      </c>
      <c r="R886" s="81" t="s">
        <v>122</v>
      </c>
      <c r="S886" s="81" t="s">
        <v>123</v>
      </c>
      <c r="T886" s="81" t="s">
        <v>48</v>
      </c>
      <c r="U886" s="81" t="s">
        <v>48</v>
      </c>
      <c r="V886" s="81" t="s">
        <v>49</v>
      </c>
      <c r="W886" s="81" t="s">
        <v>48</v>
      </c>
      <c r="X886" s="81" t="s">
        <v>48</v>
      </c>
      <c r="Y886" s="81" t="s">
        <v>48</v>
      </c>
    </row>
    <row r="887" spans="1:25" x14ac:dyDescent="0.3">
      <c r="A887" s="16">
        <v>729513146776</v>
      </c>
      <c r="B887" s="81" t="s">
        <v>43</v>
      </c>
      <c r="C887" s="81" t="s">
        <v>863</v>
      </c>
      <c r="D887" s="81" t="s">
        <v>45</v>
      </c>
      <c r="E887" s="81" t="s">
        <v>2227</v>
      </c>
      <c r="F887" s="81" t="s">
        <v>2227</v>
      </c>
      <c r="G887" s="81" t="s">
        <v>3429</v>
      </c>
      <c r="H887" s="81" t="s">
        <v>4591</v>
      </c>
      <c r="I887" s="81" t="s">
        <v>4592</v>
      </c>
      <c r="J887" s="81" t="s">
        <v>2186</v>
      </c>
      <c r="K887" s="81" t="s">
        <v>4593</v>
      </c>
      <c r="L887" s="81" t="s">
        <v>2392</v>
      </c>
      <c r="M887" s="81" t="s">
        <v>3430</v>
      </c>
      <c r="N887" s="81" t="s">
        <v>2231</v>
      </c>
      <c r="O887" s="81" t="s">
        <v>2187</v>
      </c>
      <c r="P887" s="81" t="s">
        <v>2187</v>
      </c>
      <c r="Q887" s="81" t="s">
        <v>43</v>
      </c>
      <c r="R887" s="81" t="s">
        <v>122</v>
      </c>
      <c r="S887" s="81" t="s">
        <v>123</v>
      </c>
      <c r="T887" s="81" t="s">
        <v>48</v>
      </c>
      <c r="U887" s="81" t="s">
        <v>48</v>
      </c>
      <c r="V887" s="81" t="s">
        <v>49</v>
      </c>
      <c r="W887" s="81" t="s">
        <v>48</v>
      </c>
      <c r="X887" s="81" t="s">
        <v>48</v>
      </c>
      <c r="Y887" s="81" t="s">
        <v>48</v>
      </c>
    </row>
    <row r="888" spans="1:25" x14ac:dyDescent="0.3">
      <c r="A888" s="16">
        <v>7502305940003</v>
      </c>
      <c r="B888" s="81" t="s">
        <v>43</v>
      </c>
      <c r="C888" s="81" t="s">
        <v>864</v>
      </c>
      <c r="D888" s="81" t="s">
        <v>45</v>
      </c>
      <c r="E888" s="81" t="s">
        <v>2442</v>
      </c>
      <c r="F888" s="81" t="s">
        <v>2620</v>
      </c>
      <c r="G888" s="81" t="s">
        <v>3431</v>
      </c>
      <c r="H888" s="81" t="s">
        <v>3432</v>
      </c>
      <c r="I888" s="81" t="s">
        <v>6202</v>
      </c>
      <c r="J888" s="81" t="s">
        <v>2186</v>
      </c>
      <c r="K888" s="81" t="s">
        <v>6202</v>
      </c>
      <c r="L888" s="81" t="s">
        <v>2392</v>
      </c>
      <c r="M888" s="81" t="s">
        <v>6202</v>
      </c>
      <c r="N888" s="81" t="s">
        <v>2231</v>
      </c>
      <c r="O888" s="81" t="s">
        <v>2187</v>
      </c>
      <c r="P888" s="81" t="s">
        <v>2187</v>
      </c>
      <c r="Q888" s="81" t="s">
        <v>43</v>
      </c>
      <c r="R888" s="81" t="s">
        <v>122</v>
      </c>
      <c r="S888" s="81" t="s">
        <v>123</v>
      </c>
      <c r="T888" s="81" t="s">
        <v>48</v>
      </c>
      <c r="U888" s="81" t="s">
        <v>48</v>
      </c>
      <c r="V888" s="81" t="s">
        <v>49</v>
      </c>
      <c r="W888" s="81" t="s">
        <v>48</v>
      </c>
      <c r="X888" s="81" t="s">
        <v>48</v>
      </c>
      <c r="Y888" s="81" t="s">
        <v>48</v>
      </c>
    </row>
    <row r="889" spans="1:25" x14ac:dyDescent="0.3">
      <c r="A889" s="16">
        <v>7502305940010</v>
      </c>
      <c r="B889" s="81" t="s">
        <v>43</v>
      </c>
      <c r="C889" s="81" t="s">
        <v>865</v>
      </c>
      <c r="D889" s="81" t="s">
        <v>45</v>
      </c>
      <c r="E889" s="81" t="s">
        <v>2358</v>
      </c>
      <c r="F889" s="81" t="s">
        <v>2557</v>
      </c>
      <c r="G889" s="81" t="s">
        <v>3433</v>
      </c>
      <c r="H889" s="81" t="s">
        <v>5262</v>
      </c>
      <c r="I889" s="81" t="s">
        <v>6203</v>
      </c>
      <c r="J889" s="81" t="s">
        <v>2186</v>
      </c>
      <c r="K889" s="81" t="s">
        <v>6203</v>
      </c>
      <c r="L889" s="81" t="s">
        <v>2392</v>
      </c>
      <c r="M889" s="81" t="s">
        <v>6203</v>
      </c>
      <c r="N889" s="81" t="s">
        <v>2231</v>
      </c>
      <c r="O889" s="81" t="s">
        <v>2187</v>
      </c>
      <c r="P889" s="81" t="s">
        <v>2187</v>
      </c>
      <c r="Q889" s="81" t="s">
        <v>43</v>
      </c>
      <c r="R889" s="81" t="s">
        <v>122</v>
      </c>
      <c r="S889" s="81" t="s">
        <v>123</v>
      </c>
      <c r="T889" s="81" t="s">
        <v>48</v>
      </c>
      <c r="U889" s="81" t="s">
        <v>48</v>
      </c>
      <c r="V889" s="81" t="s">
        <v>49</v>
      </c>
      <c r="W889" s="81" t="s">
        <v>48</v>
      </c>
      <c r="X889" s="81" t="s">
        <v>48</v>
      </c>
      <c r="Y889" s="81" t="s">
        <v>48</v>
      </c>
    </row>
    <row r="890" spans="1:25" x14ac:dyDescent="0.3">
      <c r="A890" s="16">
        <v>7502009744587</v>
      </c>
      <c r="B890" s="81" t="s">
        <v>43</v>
      </c>
      <c r="C890" s="81" t="s">
        <v>866</v>
      </c>
      <c r="D890" s="81" t="s">
        <v>45</v>
      </c>
      <c r="E890" s="81" t="s">
        <v>2180</v>
      </c>
      <c r="F890" s="81" t="s">
        <v>2298</v>
      </c>
      <c r="G890" s="81" t="s">
        <v>5438</v>
      </c>
      <c r="H890" s="81" t="s">
        <v>3113</v>
      </c>
      <c r="I890" s="81" t="s">
        <v>6204</v>
      </c>
      <c r="J890" s="81" t="s">
        <v>2186</v>
      </c>
      <c r="K890" s="81" t="s">
        <v>6204</v>
      </c>
      <c r="L890" s="81" t="s">
        <v>2392</v>
      </c>
      <c r="M890" s="81" t="s">
        <v>6204</v>
      </c>
      <c r="N890" s="81" t="s">
        <v>2231</v>
      </c>
      <c r="O890" s="81" t="s">
        <v>2187</v>
      </c>
      <c r="P890" s="81" t="s">
        <v>2187</v>
      </c>
      <c r="Q890" s="81" t="s">
        <v>43</v>
      </c>
      <c r="R890" s="81" t="s">
        <v>46</v>
      </c>
      <c r="S890" s="81" t="s">
        <v>47</v>
      </c>
      <c r="T890" s="81" t="s">
        <v>48</v>
      </c>
      <c r="U890" s="81" t="s">
        <v>48</v>
      </c>
      <c r="V890" s="81" t="s">
        <v>48</v>
      </c>
      <c r="W890" s="81" t="s">
        <v>49</v>
      </c>
      <c r="X890" s="81" t="s">
        <v>48</v>
      </c>
      <c r="Y890" s="81" t="s">
        <v>48</v>
      </c>
    </row>
    <row r="891" spans="1:25" x14ac:dyDescent="0.3">
      <c r="A891" s="16">
        <v>7502209810211</v>
      </c>
      <c r="B891" s="81" t="s">
        <v>43</v>
      </c>
      <c r="C891" s="81" t="s">
        <v>867</v>
      </c>
      <c r="D891" s="81" t="s">
        <v>45</v>
      </c>
      <c r="E891" s="81" t="s">
        <v>2606</v>
      </c>
      <c r="F891" s="81" t="s">
        <v>2654</v>
      </c>
      <c r="G891" s="81" t="s">
        <v>3435</v>
      </c>
      <c r="H891" s="81" t="s">
        <v>2243</v>
      </c>
      <c r="I891" s="81" t="s">
        <v>6205</v>
      </c>
      <c r="J891" s="81" t="s">
        <v>2186</v>
      </c>
      <c r="K891" s="81" t="s">
        <v>6205</v>
      </c>
      <c r="L891" s="81" t="s">
        <v>2392</v>
      </c>
      <c r="M891" s="81" t="s">
        <v>6205</v>
      </c>
      <c r="N891" s="81" t="s">
        <v>2231</v>
      </c>
      <c r="O891" s="81" t="s">
        <v>2187</v>
      </c>
      <c r="P891" s="81" t="s">
        <v>2187</v>
      </c>
      <c r="Q891" s="81" t="s">
        <v>43</v>
      </c>
      <c r="R891" s="81" t="s">
        <v>46</v>
      </c>
      <c r="S891" s="81" t="s">
        <v>164</v>
      </c>
      <c r="T891" s="81" t="s">
        <v>48</v>
      </c>
      <c r="U891" s="81" t="s">
        <v>48</v>
      </c>
      <c r="V891" s="81" t="s">
        <v>48</v>
      </c>
      <c r="W891" s="81" t="s">
        <v>49</v>
      </c>
      <c r="X891" s="81" t="s">
        <v>48</v>
      </c>
      <c r="Y891" s="81" t="s">
        <v>48</v>
      </c>
    </row>
    <row r="892" spans="1:25" x14ac:dyDescent="0.3">
      <c r="A892" s="16">
        <v>7501033958717</v>
      </c>
      <c r="B892" s="81" t="s">
        <v>43</v>
      </c>
      <c r="C892" s="81" t="s">
        <v>868</v>
      </c>
      <c r="D892" s="81" t="s">
        <v>45</v>
      </c>
      <c r="E892" s="81" t="s">
        <v>2227</v>
      </c>
      <c r="F892" s="81" t="s">
        <v>2442</v>
      </c>
      <c r="G892" s="81" t="s">
        <v>3436</v>
      </c>
      <c r="H892" s="81" t="s">
        <v>3052</v>
      </c>
      <c r="I892" s="81" t="s">
        <v>6206</v>
      </c>
      <c r="J892" s="81" t="s">
        <v>2186</v>
      </c>
      <c r="K892" s="81" t="s">
        <v>6206</v>
      </c>
      <c r="L892" s="81" t="s">
        <v>2392</v>
      </c>
      <c r="M892" s="81" t="s">
        <v>6206</v>
      </c>
      <c r="N892" s="81" t="s">
        <v>2231</v>
      </c>
      <c r="O892" s="81" t="s">
        <v>2187</v>
      </c>
      <c r="P892" s="81" t="s">
        <v>2187</v>
      </c>
      <c r="Q892" s="81" t="s">
        <v>43</v>
      </c>
      <c r="R892" s="81" t="s">
        <v>506</v>
      </c>
      <c r="S892" s="81" t="s">
        <v>506</v>
      </c>
      <c r="T892" s="81" t="s">
        <v>48</v>
      </c>
      <c r="U892" s="81" t="s">
        <v>48</v>
      </c>
      <c r="V892" s="81" t="s">
        <v>49</v>
      </c>
      <c r="W892" s="81" t="s">
        <v>48</v>
      </c>
      <c r="X892" s="81" t="s">
        <v>48</v>
      </c>
      <c r="Y892" s="81" t="s">
        <v>48</v>
      </c>
    </row>
    <row r="893" spans="1:25" x14ac:dyDescent="0.3">
      <c r="A893" s="16">
        <v>7501130709830</v>
      </c>
      <c r="B893" s="81" t="s">
        <v>43</v>
      </c>
      <c r="C893" s="81" t="s">
        <v>3437</v>
      </c>
      <c r="D893" s="81" t="s">
        <v>45</v>
      </c>
      <c r="E893" s="81" t="s">
        <v>2227</v>
      </c>
      <c r="F893" s="81" t="s">
        <v>2412</v>
      </c>
      <c r="G893" s="81" t="s">
        <v>3438</v>
      </c>
      <c r="H893" s="81" t="s">
        <v>2817</v>
      </c>
      <c r="I893" s="81" t="s">
        <v>6207</v>
      </c>
      <c r="J893" s="81" t="s">
        <v>2186</v>
      </c>
      <c r="K893" s="81" t="s">
        <v>6207</v>
      </c>
      <c r="L893" s="81" t="s">
        <v>2392</v>
      </c>
      <c r="M893" s="81" t="s">
        <v>6207</v>
      </c>
      <c r="N893" s="81" t="s">
        <v>2231</v>
      </c>
      <c r="O893" s="81" t="s">
        <v>2187</v>
      </c>
      <c r="P893" s="81" t="s">
        <v>2187</v>
      </c>
      <c r="Q893" s="81" t="s">
        <v>43</v>
      </c>
      <c r="R893" s="81" t="s">
        <v>101</v>
      </c>
      <c r="S893" s="81" t="s">
        <v>101</v>
      </c>
      <c r="T893" s="81" t="s">
        <v>48</v>
      </c>
      <c r="U893" s="81" t="s">
        <v>48</v>
      </c>
      <c r="V893" s="81" t="s">
        <v>49</v>
      </c>
      <c r="W893" s="81" t="s">
        <v>48</v>
      </c>
      <c r="X893" s="81" t="s">
        <v>48</v>
      </c>
      <c r="Y893" s="81" t="s">
        <v>48</v>
      </c>
    </row>
    <row r="894" spans="1:25" x14ac:dyDescent="0.3">
      <c r="A894" s="16">
        <v>7501471888393</v>
      </c>
      <c r="B894" s="81" t="s">
        <v>43</v>
      </c>
      <c r="C894" s="81" t="s">
        <v>869</v>
      </c>
      <c r="D894" s="81" t="s">
        <v>45</v>
      </c>
      <c r="E894" s="81" t="s">
        <v>2645</v>
      </c>
      <c r="F894" s="81" t="s">
        <v>2431</v>
      </c>
      <c r="G894" s="81" t="s">
        <v>4906</v>
      </c>
      <c r="H894" s="81" t="s">
        <v>2190</v>
      </c>
      <c r="I894" s="81" t="s">
        <v>3085</v>
      </c>
      <c r="J894" s="81" t="s">
        <v>2186</v>
      </c>
      <c r="K894" s="81" t="s">
        <v>3085</v>
      </c>
      <c r="L894" s="81" t="s">
        <v>2392</v>
      </c>
      <c r="M894" s="81" t="s">
        <v>3085</v>
      </c>
      <c r="N894" s="81" t="s">
        <v>2231</v>
      </c>
      <c r="O894" s="81" t="s">
        <v>2187</v>
      </c>
      <c r="P894" s="81" t="s">
        <v>2187</v>
      </c>
      <c r="Q894" s="81" t="s">
        <v>43</v>
      </c>
      <c r="R894" s="81" t="s">
        <v>46</v>
      </c>
      <c r="S894" s="81" t="s">
        <v>47</v>
      </c>
      <c r="T894" s="81" t="s">
        <v>48</v>
      </c>
      <c r="U894" s="81" t="s">
        <v>48</v>
      </c>
      <c r="V894" s="81" t="s">
        <v>48</v>
      </c>
      <c r="W894" s="81" t="s">
        <v>49</v>
      </c>
      <c r="X894" s="81" t="s">
        <v>48</v>
      </c>
      <c r="Y894" s="81" t="s">
        <v>48</v>
      </c>
    </row>
    <row r="895" spans="1:25" x14ac:dyDescent="0.3">
      <c r="A895" s="16">
        <v>7501471897029</v>
      </c>
      <c r="B895" s="81" t="s">
        <v>43</v>
      </c>
      <c r="C895" s="81" t="s">
        <v>870</v>
      </c>
      <c r="D895" s="81" t="s">
        <v>45</v>
      </c>
      <c r="E895" s="81" t="s">
        <v>2304</v>
      </c>
      <c r="F895" s="81" t="s">
        <v>2435</v>
      </c>
      <c r="G895" s="81" t="s">
        <v>4838</v>
      </c>
      <c r="H895" s="81" t="s">
        <v>2872</v>
      </c>
      <c r="I895" s="81" t="s">
        <v>5639</v>
      </c>
      <c r="J895" s="81" t="s">
        <v>2186</v>
      </c>
      <c r="K895" s="81" t="s">
        <v>5639</v>
      </c>
      <c r="L895" s="81" t="s">
        <v>2392</v>
      </c>
      <c r="M895" s="81" t="s">
        <v>5639</v>
      </c>
      <c r="N895" s="81" t="s">
        <v>2231</v>
      </c>
      <c r="O895" s="81" t="s">
        <v>2187</v>
      </c>
      <c r="P895" s="81" t="s">
        <v>2187</v>
      </c>
      <c r="Q895" s="81" t="s">
        <v>43</v>
      </c>
      <c r="R895" s="81" t="s">
        <v>46</v>
      </c>
      <c r="S895" s="81" t="s">
        <v>46</v>
      </c>
      <c r="T895" s="81" t="s">
        <v>48</v>
      </c>
      <c r="U895" s="81" t="s">
        <v>48</v>
      </c>
      <c r="V895" s="81" t="s">
        <v>48</v>
      </c>
      <c r="W895" s="81" t="s">
        <v>49</v>
      </c>
      <c r="X895" s="81" t="s">
        <v>48</v>
      </c>
      <c r="Y895" s="81" t="s">
        <v>48</v>
      </c>
    </row>
    <row r="896" spans="1:25" x14ac:dyDescent="0.3">
      <c r="A896" s="16">
        <v>7501471888249</v>
      </c>
      <c r="B896" s="81" t="s">
        <v>43</v>
      </c>
      <c r="C896" s="81" t="s">
        <v>871</v>
      </c>
      <c r="D896" s="81" t="s">
        <v>45</v>
      </c>
      <c r="E896" s="81" t="s">
        <v>2191</v>
      </c>
      <c r="F896" s="81" t="s">
        <v>2303</v>
      </c>
      <c r="G896" s="81" t="s">
        <v>3439</v>
      </c>
      <c r="H896" s="81" t="s">
        <v>2552</v>
      </c>
      <c r="I896" s="81" t="s">
        <v>6208</v>
      </c>
      <c r="J896" s="81" t="s">
        <v>2186</v>
      </c>
      <c r="K896" s="81" t="s">
        <v>6208</v>
      </c>
      <c r="L896" s="81" t="s">
        <v>2392</v>
      </c>
      <c r="M896" s="81" t="s">
        <v>6208</v>
      </c>
      <c r="N896" s="81" t="s">
        <v>2231</v>
      </c>
      <c r="O896" s="81" t="s">
        <v>2187</v>
      </c>
      <c r="P896" s="81" t="s">
        <v>2187</v>
      </c>
      <c r="Q896" s="81" t="s">
        <v>43</v>
      </c>
      <c r="R896" s="81" t="s">
        <v>46</v>
      </c>
      <c r="S896" s="81" t="s">
        <v>47</v>
      </c>
      <c r="T896" s="81" t="s">
        <v>48</v>
      </c>
      <c r="U896" s="81" t="s">
        <v>48</v>
      </c>
      <c r="V896" s="81" t="s">
        <v>48</v>
      </c>
      <c r="W896" s="81" t="s">
        <v>49</v>
      </c>
      <c r="X896" s="81" t="s">
        <v>48</v>
      </c>
      <c r="Y896" s="81" t="s">
        <v>48</v>
      </c>
    </row>
    <row r="897" spans="1:25" x14ac:dyDescent="0.3">
      <c r="A897" s="16">
        <v>7501537101886</v>
      </c>
      <c r="B897" s="81" t="s">
        <v>43</v>
      </c>
      <c r="C897" s="81" t="s">
        <v>872</v>
      </c>
      <c r="D897" s="81" t="s">
        <v>45</v>
      </c>
      <c r="E897" s="81" t="s">
        <v>2528</v>
      </c>
      <c r="F897" s="81" t="s">
        <v>3130</v>
      </c>
      <c r="G897" s="81" t="s">
        <v>3440</v>
      </c>
      <c r="H897" s="81" t="s">
        <v>2269</v>
      </c>
      <c r="I897" s="81" t="s">
        <v>6209</v>
      </c>
      <c r="J897" s="81" t="s">
        <v>2186</v>
      </c>
      <c r="K897" s="81" t="s">
        <v>6209</v>
      </c>
      <c r="L897" s="81" t="s">
        <v>2392</v>
      </c>
      <c r="M897" s="81" t="s">
        <v>6209</v>
      </c>
      <c r="N897" s="81" t="s">
        <v>2231</v>
      </c>
      <c r="O897" s="81" t="s">
        <v>2187</v>
      </c>
      <c r="P897" s="81" t="s">
        <v>2187</v>
      </c>
      <c r="Q897" s="81" t="s">
        <v>43</v>
      </c>
      <c r="R897" s="81" t="s">
        <v>46</v>
      </c>
      <c r="S897" s="81" t="s">
        <v>46</v>
      </c>
      <c r="T897" s="81" t="s">
        <v>48</v>
      </c>
      <c r="U897" s="81" t="s">
        <v>48</v>
      </c>
      <c r="V897" s="81" t="s">
        <v>48</v>
      </c>
      <c r="W897" s="81" t="s">
        <v>49</v>
      </c>
      <c r="X897" s="81" t="s">
        <v>48</v>
      </c>
      <c r="Y897" s="81" t="s">
        <v>48</v>
      </c>
    </row>
    <row r="898" spans="1:25" x14ac:dyDescent="0.3">
      <c r="A898" s="16">
        <v>7502208892133</v>
      </c>
      <c r="B898" s="81" t="s">
        <v>43</v>
      </c>
      <c r="C898" s="81" t="s">
        <v>1735</v>
      </c>
      <c r="D898" s="81" t="s">
        <v>45</v>
      </c>
      <c r="E898" s="81" t="s">
        <v>2227</v>
      </c>
      <c r="F898" s="81" t="s">
        <v>2227</v>
      </c>
      <c r="G898" s="81" t="s">
        <v>3209</v>
      </c>
      <c r="H898" s="81" t="s">
        <v>2343</v>
      </c>
      <c r="I898" s="81" t="s">
        <v>6210</v>
      </c>
      <c r="J898" s="81" t="s">
        <v>2186</v>
      </c>
      <c r="K898" s="81" t="s">
        <v>6210</v>
      </c>
      <c r="L898" s="81" t="s">
        <v>2392</v>
      </c>
      <c r="M898" s="81" t="s">
        <v>6210</v>
      </c>
      <c r="N898" s="81" t="s">
        <v>2231</v>
      </c>
      <c r="O898" s="81" t="s">
        <v>2187</v>
      </c>
      <c r="P898" s="81" t="s">
        <v>2187</v>
      </c>
      <c r="Q898" s="81" t="s">
        <v>43</v>
      </c>
      <c r="R898" s="81" t="s">
        <v>51</v>
      </c>
      <c r="S898" s="81" t="s">
        <v>81</v>
      </c>
      <c r="T898" s="81" t="s">
        <v>49</v>
      </c>
      <c r="U898" s="81" t="s">
        <v>48</v>
      </c>
      <c r="V898" s="81" t="s">
        <v>48</v>
      </c>
      <c r="W898" s="81" t="s">
        <v>49</v>
      </c>
      <c r="X898" s="81" t="s">
        <v>48</v>
      </c>
      <c r="Y898" s="81" t="s">
        <v>48</v>
      </c>
    </row>
    <row r="899" spans="1:25" x14ac:dyDescent="0.3">
      <c r="A899" s="16">
        <v>7502305940027</v>
      </c>
      <c r="B899" s="81" t="s">
        <v>43</v>
      </c>
      <c r="C899" s="81" t="s">
        <v>873</v>
      </c>
      <c r="D899" s="81" t="s">
        <v>45</v>
      </c>
      <c r="E899" s="81" t="s">
        <v>2179</v>
      </c>
      <c r="F899" s="81" t="s">
        <v>2191</v>
      </c>
      <c r="G899" s="81" t="s">
        <v>3441</v>
      </c>
      <c r="H899" s="81" t="s">
        <v>3317</v>
      </c>
      <c r="I899" s="81" t="s">
        <v>6211</v>
      </c>
      <c r="J899" s="81" t="s">
        <v>2186</v>
      </c>
      <c r="K899" s="81" t="s">
        <v>6211</v>
      </c>
      <c r="L899" s="81" t="s">
        <v>2392</v>
      </c>
      <c r="M899" s="81" t="s">
        <v>6211</v>
      </c>
      <c r="N899" s="81" t="s">
        <v>2231</v>
      </c>
      <c r="O899" s="81" t="s">
        <v>2187</v>
      </c>
      <c r="P899" s="81" t="s">
        <v>2187</v>
      </c>
      <c r="Q899" s="81" t="s">
        <v>43</v>
      </c>
      <c r="R899" s="81" t="s">
        <v>122</v>
      </c>
      <c r="S899" s="81" t="s">
        <v>123</v>
      </c>
      <c r="T899" s="81" t="s">
        <v>48</v>
      </c>
      <c r="U899" s="81" t="s">
        <v>48</v>
      </c>
      <c r="V899" s="81" t="s">
        <v>49</v>
      </c>
      <c r="W899" s="81" t="s">
        <v>48</v>
      </c>
      <c r="X899" s="81" t="s">
        <v>48</v>
      </c>
      <c r="Y899" s="81" t="s">
        <v>48</v>
      </c>
    </row>
    <row r="900" spans="1:25" x14ac:dyDescent="0.3">
      <c r="A900" s="16">
        <v>7502227420218</v>
      </c>
      <c r="B900" s="81" t="s">
        <v>43</v>
      </c>
      <c r="C900" s="81" t="s">
        <v>874</v>
      </c>
      <c r="D900" s="81" t="s">
        <v>45</v>
      </c>
      <c r="E900" s="81" t="s">
        <v>2298</v>
      </c>
      <c r="F900" s="81" t="s">
        <v>2262</v>
      </c>
      <c r="G900" s="81" t="s">
        <v>4928</v>
      </c>
      <c r="H900" s="81" t="s">
        <v>2213</v>
      </c>
      <c r="I900" s="81" t="s">
        <v>6212</v>
      </c>
      <c r="J900" s="81" t="s">
        <v>2186</v>
      </c>
      <c r="K900" s="81" t="s">
        <v>6212</v>
      </c>
      <c r="L900" s="81" t="s">
        <v>2392</v>
      </c>
      <c r="M900" s="81" t="s">
        <v>6212</v>
      </c>
      <c r="N900" s="81" t="s">
        <v>2231</v>
      </c>
      <c r="O900" s="81" t="s">
        <v>2187</v>
      </c>
      <c r="P900" s="81" t="s">
        <v>2187</v>
      </c>
      <c r="Q900" s="81" t="s">
        <v>43</v>
      </c>
      <c r="R900" s="81" t="s">
        <v>46</v>
      </c>
      <c r="S900" s="81" t="s">
        <v>46</v>
      </c>
      <c r="T900" s="81" t="s">
        <v>48</v>
      </c>
      <c r="U900" s="81" t="s">
        <v>48</v>
      </c>
      <c r="V900" s="81" t="s">
        <v>48</v>
      </c>
      <c r="W900" s="81" t="s">
        <v>49</v>
      </c>
      <c r="X900" s="81" t="s">
        <v>48</v>
      </c>
      <c r="Y900" s="81" t="s">
        <v>48</v>
      </c>
    </row>
    <row r="901" spans="1:25" x14ac:dyDescent="0.3">
      <c r="A901" s="16">
        <v>7501065095978</v>
      </c>
      <c r="B901" s="81" t="s">
        <v>43</v>
      </c>
      <c r="C901" s="81" t="s">
        <v>875</v>
      </c>
      <c r="D901" s="81" t="s">
        <v>45</v>
      </c>
      <c r="E901" s="81" t="s">
        <v>2357</v>
      </c>
      <c r="F901" s="81" t="s">
        <v>2457</v>
      </c>
      <c r="G901" s="81" t="s">
        <v>5160</v>
      </c>
      <c r="H901" s="81" t="s">
        <v>6213</v>
      </c>
      <c r="I901" s="81" t="s">
        <v>6214</v>
      </c>
      <c r="J901" s="81" t="s">
        <v>2186</v>
      </c>
      <c r="K901" s="81" t="s">
        <v>6214</v>
      </c>
      <c r="L901" s="81" t="s">
        <v>2392</v>
      </c>
      <c r="M901" s="81" t="s">
        <v>6214</v>
      </c>
      <c r="N901" s="81" t="s">
        <v>2231</v>
      </c>
      <c r="O901" s="81" t="s">
        <v>2187</v>
      </c>
      <c r="P901" s="81" t="s">
        <v>2187</v>
      </c>
      <c r="Q901" s="81" t="s">
        <v>43</v>
      </c>
      <c r="R901" s="81" t="s">
        <v>203</v>
      </c>
      <c r="S901" s="81" t="s">
        <v>47</v>
      </c>
      <c r="T901" s="81" t="s">
        <v>48</v>
      </c>
      <c r="U901" s="81" t="s">
        <v>48</v>
      </c>
      <c r="V901" s="81" t="s">
        <v>48</v>
      </c>
      <c r="W901" s="81" t="s">
        <v>49</v>
      </c>
      <c r="X901" s="81" t="s">
        <v>48</v>
      </c>
      <c r="Y901" s="81" t="s">
        <v>48</v>
      </c>
    </row>
    <row r="902" spans="1:25" x14ac:dyDescent="0.3">
      <c r="A902" s="16">
        <v>7501065095947</v>
      </c>
      <c r="B902" s="81" t="s">
        <v>43</v>
      </c>
      <c r="C902" s="81" t="s">
        <v>876</v>
      </c>
      <c r="D902" s="81" t="s">
        <v>45</v>
      </c>
      <c r="E902" s="81" t="s">
        <v>2191</v>
      </c>
      <c r="F902" s="81" t="s">
        <v>2192</v>
      </c>
      <c r="G902" s="81" t="s">
        <v>5161</v>
      </c>
      <c r="H902" s="81" t="s">
        <v>3442</v>
      </c>
      <c r="I902" s="81" t="s">
        <v>3443</v>
      </c>
      <c r="J902" s="81" t="s">
        <v>2186</v>
      </c>
      <c r="K902" s="81" t="s">
        <v>3357</v>
      </c>
      <c r="L902" s="81" t="s">
        <v>2392</v>
      </c>
      <c r="M902" s="81" t="s">
        <v>3444</v>
      </c>
      <c r="N902" s="81" t="s">
        <v>2231</v>
      </c>
      <c r="O902" s="81" t="s">
        <v>2187</v>
      </c>
      <c r="P902" s="81" t="s">
        <v>2187</v>
      </c>
      <c r="Q902" s="81" t="s">
        <v>43</v>
      </c>
      <c r="R902" s="81" t="s">
        <v>203</v>
      </c>
      <c r="S902" s="81" t="s">
        <v>47</v>
      </c>
      <c r="T902" s="81" t="s">
        <v>48</v>
      </c>
      <c r="U902" s="81" t="s">
        <v>48</v>
      </c>
      <c r="V902" s="81" t="s">
        <v>48</v>
      </c>
      <c r="W902" s="81" t="s">
        <v>49</v>
      </c>
      <c r="X902" s="81" t="s">
        <v>48</v>
      </c>
      <c r="Y902" s="81" t="s">
        <v>48</v>
      </c>
    </row>
    <row r="903" spans="1:25" x14ac:dyDescent="0.3">
      <c r="A903" s="16">
        <v>7501075713718</v>
      </c>
      <c r="B903" s="81" t="s">
        <v>43</v>
      </c>
      <c r="C903" s="81" t="s">
        <v>877</v>
      </c>
      <c r="D903" s="81" t="s">
        <v>45</v>
      </c>
      <c r="E903" s="81" t="s">
        <v>2443</v>
      </c>
      <c r="F903" s="81" t="s">
        <v>2483</v>
      </c>
      <c r="G903" s="81" t="s">
        <v>4418</v>
      </c>
      <c r="H903" s="81" t="s">
        <v>2243</v>
      </c>
      <c r="I903" s="81" t="s">
        <v>5258</v>
      </c>
      <c r="J903" s="81" t="s">
        <v>2186</v>
      </c>
      <c r="K903" s="81" t="s">
        <v>5258</v>
      </c>
      <c r="L903" s="81" t="s">
        <v>2392</v>
      </c>
      <c r="M903" s="81" t="s">
        <v>5258</v>
      </c>
      <c r="N903" s="81" t="s">
        <v>2231</v>
      </c>
      <c r="O903" s="81" t="s">
        <v>2187</v>
      </c>
      <c r="P903" s="81" t="s">
        <v>2187</v>
      </c>
      <c r="Q903" s="81" t="s">
        <v>43</v>
      </c>
      <c r="R903" s="81" t="s">
        <v>46</v>
      </c>
      <c r="S903" s="81" t="s">
        <v>47</v>
      </c>
      <c r="T903" s="81" t="s">
        <v>48</v>
      </c>
      <c r="U903" s="81" t="s">
        <v>48</v>
      </c>
      <c r="V903" s="81" t="s">
        <v>48</v>
      </c>
      <c r="W903" s="81" t="s">
        <v>49</v>
      </c>
      <c r="X903" s="81" t="s">
        <v>48</v>
      </c>
      <c r="Y903" s="81" t="s">
        <v>48</v>
      </c>
    </row>
    <row r="904" spans="1:25" x14ac:dyDescent="0.3">
      <c r="A904" s="16">
        <v>7502216808430</v>
      </c>
      <c r="B904" s="81" t="s">
        <v>43</v>
      </c>
      <c r="C904" s="81" t="s">
        <v>878</v>
      </c>
      <c r="D904" s="81" t="s">
        <v>45</v>
      </c>
      <c r="E904" s="81" t="s">
        <v>2557</v>
      </c>
      <c r="F904" s="81" t="s">
        <v>2370</v>
      </c>
      <c r="G904" s="81" t="s">
        <v>6215</v>
      </c>
      <c r="H904" s="81" t="s">
        <v>2743</v>
      </c>
      <c r="I904" s="81" t="s">
        <v>6216</v>
      </c>
      <c r="J904" s="81" t="s">
        <v>2186</v>
      </c>
      <c r="K904" s="81" t="s">
        <v>6216</v>
      </c>
      <c r="L904" s="81" t="s">
        <v>2392</v>
      </c>
      <c r="M904" s="81" t="s">
        <v>6216</v>
      </c>
      <c r="N904" s="81" t="s">
        <v>2231</v>
      </c>
      <c r="O904" s="81" t="s">
        <v>2187</v>
      </c>
      <c r="P904" s="81" t="s">
        <v>2187</v>
      </c>
      <c r="Q904" s="81" t="s">
        <v>43</v>
      </c>
      <c r="R904" s="81" t="s">
        <v>46</v>
      </c>
      <c r="S904" s="81" t="s">
        <v>47</v>
      </c>
      <c r="T904" s="81" t="s">
        <v>48</v>
      </c>
      <c r="U904" s="81" t="s">
        <v>48</v>
      </c>
      <c r="V904" s="81" t="s">
        <v>48</v>
      </c>
      <c r="W904" s="81" t="s">
        <v>49</v>
      </c>
      <c r="X904" s="81" t="s">
        <v>48</v>
      </c>
      <c r="Y904" s="81" t="s">
        <v>48</v>
      </c>
    </row>
    <row r="905" spans="1:25" x14ac:dyDescent="0.3">
      <c r="A905" s="16">
        <v>354312225164</v>
      </c>
      <c r="B905" s="81" t="s">
        <v>43</v>
      </c>
      <c r="C905" s="81" t="s">
        <v>879</v>
      </c>
      <c r="D905" s="81" t="s">
        <v>45</v>
      </c>
      <c r="E905" s="81" t="s">
        <v>2557</v>
      </c>
      <c r="F905" s="81" t="s">
        <v>2613</v>
      </c>
      <c r="G905" s="81" t="s">
        <v>3445</v>
      </c>
      <c r="H905" s="81" t="s">
        <v>3015</v>
      </c>
      <c r="I905" s="81" t="s">
        <v>6217</v>
      </c>
      <c r="J905" s="81" t="s">
        <v>2186</v>
      </c>
      <c r="K905" s="81" t="s">
        <v>6217</v>
      </c>
      <c r="L905" s="81" t="s">
        <v>2392</v>
      </c>
      <c r="M905" s="81" t="s">
        <v>6217</v>
      </c>
      <c r="N905" s="81" t="s">
        <v>2231</v>
      </c>
      <c r="O905" s="81" t="s">
        <v>2187</v>
      </c>
      <c r="P905" s="81" t="s">
        <v>2187</v>
      </c>
      <c r="Q905" s="81" t="s">
        <v>43</v>
      </c>
      <c r="R905" s="81" t="s">
        <v>203</v>
      </c>
      <c r="S905" s="81" t="s">
        <v>203</v>
      </c>
      <c r="T905" s="81" t="s">
        <v>48</v>
      </c>
      <c r="U905" s="81" t="s">
        <v>48</v>
      </c>
      <c r="V905" s="81" t="s">
        <v>49</v>
      </c>
      <c r="W905" s="81" t="s">
        <v>48</v>
      </c>
      <c r="X905" s="81" t="s">
        <v>48</v>
      </c>
      <c r="Y905" s="81" t="s">
        <v>48</v>
      </c>
    </row>
    <row r="906" spans="1:25" x14ac:dyDescent="0.3">
      <c r="A906" s="16">
        <v>7502250340255</v>
      </c>
      <c r="B906" s="81" t="s">
        <v>43</v>
      </c>
      <c r="C906" s="81" t="s">
        <v>880</v>
      </c>
      <c r="D906" s="81" t="s">
        <v>45</v>
      </c>
      <c r="E906" s="81" t="s">
        <v>2442</v>
      </c>
      <c r="F906" s="81" t="s">
        <v>2443</v>
      </c>
      <c r="G906" s="81" t="s">
        <v>3446</v>
      </c>
      <c r="H906" s="81" t="s">
        <v>6218</v>
      </c>
      <c r="I906" s="81" t="s">
        <v>6219</v>
      </c>
      <c r="J906" s="81" t="s">
        <v>2186</v>
      </c>
      <c r="K906" s="81" t="s">
        <v>6219</v>
      </c>
      <c r="L906" s="81" t="s">
        <v>2392</v>
      </c>
      <c r="M906" s="81" t="s">
        <v>6219</v>
      </c>
      <c r="N906" s="81" t="s">
        <v>2231</v>
      </c>
      <c r="O906" s="81" t="s">
        <v>2187</v>
      </c>
      <c r="P906" s="81" t="s">
        <v>2187</v>
      </c>
      <c r="Q906" s="81" t="s">
        <v>43</v>
      </c>
      <c r="R906" s="81" t="s">
        <v>203</v>
      </c>
      <c r="S906" s="81" t="s">
        <v>203</v>
      </c>
      <c r="T906" s="81" t="s">
        <v>48</v>
      </c>
      <c r="U906" s="81" t="s">
        <v>48</v>
      </c>
      <c r="V906" s="81" t="s">
        <v>49</v>
      </c>
      <c r="W906" s="81" t="s">
        <v>48</v>
      </c>
      <c r="X906" s="81" t="s">
        <v>48</v>
      </c>
      <c r="Y906" s="81" t="s">
        <v>48</v>
      </c>
    </row>
    <row r="907" spans="1:25" x14ac:dyDescent="0.3">
      <c r="A907" s="16">
        <v>7501573900337</v>
      </c>
      <c r="B907" s="81" t="s">
        <v>43</v>
      </c>
      <c r="C907" s="81" t="s">
        <v>1666</v>
      </c>
      <c r="D907" s="81" t="s">
        <v>45</v>
      </c>
      <c r="E907" s="81" t="s">
        <v>2262</v>
      </c>
      <c r="F907" s="81" t="s">
        <v>2780</v>
      </c>
      <c r="G907" s="81" t="s">
        <v>3447</v>
      </c>
      <c r="H907" s="81" t="s">
        <v>2237</v>
      </c>
      <c r="I907" s="81" t="s">
        <v>4617</v>
      </c>
      <c r="J907" s="81" t="s">
        <v>2186</v>
      </c>
      <c r="K907" s="81" t="s">
        <v>4617</v>
      </c>
      <c r="L907" s="81" t="s">
        <v>2392</v>
      </c>
      <c r="M907" s="81" t="s">
        <v>4617</v>
      </c>
      <c r="N907" s="81" t="s">
        <v>2231</v>
      </c>
      <c r="O907" s="81" t="s">
        <v>2187</v>
      </c>
      <c r="P907" s="81" t="s">
        <v>2187</v>
      </c>
      <c r="Q907" s="81" t="s">
        <v>43</v>
      </c>
      <c r="R907" s="81" t="s">
        <v>46</v>
      </c>
      <c r="S907" s="81" t="s">
        <v>46</v>
      </c>
      <c r="T907" s="81" t="s">
        <v>48</v>
      </c>
      <c r="U907" s="81" t="s">
        <v>48</v>
      </c>
      <c r="V907" s="81" t="s">
        <v>48</v>
      </c>
      <c r="W907" s="81" t="s">
        <v>49</v>
      </c>
      <c r="X907" s="81" t="s">
        <v>48</v>
      </c>
      <c r="Y907" s="81" t="s">
        <v>48</v>
      </c>
    </row>
    <row r="908" spans="1:25" x14ac:dyDescent="0.3">
      <c r="A908" s="16">
        <v>7501128110242</v>
      </c>
      <c r="B908" s="81" t="s">
        <v>43</v>
      </c>
      <c r="C908" s="81" t="s">
        <v>881</v>
      </c>
      <c r="D908" s="81" t="s">
        <v>45</v>
      </c>
      <c r="E908" s="81" t="s">
        <v>2308</v>
      </c>
      <c r="F908" s="81" t="s">
        <v>2179</v>
      </c>
      <c r="G908" s="81" t="s">
        <v>3375</v>
      </c>
      <c r="H908" s="81" t="s">
        <v>3189</v>
      </c>
      <c r="I908" s="81" t="s">
        <v>6220</v>
      </c>
      <c r="J908" s="81" t="s">
        <v>2186</v>
      </c>
      <c r="K908" s="81" t="s">
        <v>6220</v>
      </c>
      <c r="L908" s="81" t="s">
        <v>2392</v>
      </c>
      <c r="M908" s="81" t="s">
        <v>6220</v>
      </c>
      <c r="N908" s="81" t="s">
        <v>2231</v>
      </c>
      <c r="O908" s="81" t="s">
        <v>2187</v>
      </c>
      <c r="P908" s="81" t="s">
        <v>2187</v>
      </c>
      <c r="Q908" s="81" t="s">
        <v>43</v>
      </c>
      <c r="R908" s="81" t="s">
        <v>122</v>
      </c>
      <c r="S908" s="81" t="s">
        <v>123</v>
      </c>
      <c r="T908" s="81" t="s">
        <v>48</v>
      </c>
      <c r="U908" s="81" t="s">
        <v>48</v>
      </c>
      <c r="V908" s="81" t="s">
        <v>49</v>
      </c>
      <c r="W908" s="81" t="s">
        <v>48</v>
      </c>
      <c r="X908" s="81" t="s">
        <v>48</v>
      </c>
      <c r="Y908" s="81" t="s">
        <v>48</v>
      </c>
    </row>
    <row r="909" spans="1:25" x14ac:dyDescent="0.3">
      <c r="A909" s="16">
        <v>7501128110266</v>
      </c>
      <c r="B909" s="81" t="s">
        <v>43</v>
      </c>
      <c r="C909" s="81" t="s">
        <v>882</v>
      </c>
      <c r="D909" s="81" t="s">
        <v>45</v>
      </c>
      <c r="E909" s="81" t="s">
        <v>2412</v>
      </c>
      <c r="F909" s="81" t="s">
        <v>2412</v>
      </c>
      <c r="G909" s="81" t="s">
        <v>3375</v>
      </c>
      <c r="H909" s="81" t="s">
        <v>2989</v>
      </c>
      <c r="I909" s="81" t="s">
        <v>6221</v>
      </c>
      <c r="J909" s="81" t="s">
        <v>2186</v>
      </c>
      <c r="K909" s="81" t="s">
        <v>6221</v>
      </c>
      <c r="L909" s="81" t="s">
        <v>2392</v>
      </c>
      <c r="M909" s="81" t="s">
        <v>6221</v>
      </c>
      <c r="N909" s="81" t="s">
        <v>2231</v>
      </c>
      <c r="O909" s="81" t="s">
        <v>2187</v>
      </c>
      <c r="P909" s="81" t="s">
        <v>2187</v>
      </c>
      <c r="Q909" s="81" t="s">
        <v>43</v>
      </c>
      <c r="R909" s="81" t="s">
        <v>122</v>
      </c>
      <c r="S909" s="81" t="s">
        <v>123</v>
      </c>
      <c r="T909" s="81" t="s">
        <v>48</v>
      </c>
      <c r="U909" s="81" t="s">
        <v>48</v>
      </c>
      <c r="V909" s="81" t="s">
        <v>49</v>
      </c>
      <c r="W909" s="81" t="s">
        <v>48</v>
      </c>
      <c r="X909" s="81" t="s">
        <v>48</v>
      </c>
      <c r="Y909" s="81" t="s">
        <v>48</v>
      </c>
    </row>
    <row r="910" spans="1:25" x14ac:dyDescent="0.3">
      <c r="A910" s="16">
        <v>7501128110259</v>
      </c>
      <c r="B910" s="81" t="s">
        <v>43</v>
      </c>
      <c r="C910" s="81" t="s">
        <v>883</v>
      </c>
      <c r="D910" s="81" t="s">
        <v>45</v>
      </c>
      <c r="E910" s="81" t="s">
        <v>2363</v>
      </c>
      <c r="F910" s="81" t="s">
        <v>2364</v>
      </c>
      <c r="G910" s="81" t="s">
        <v>3375</v>
      </c>
      <c r="H910" s="81" t="s">
        <v>3448</v>
      </c>
      <c r="I910" s="81" t="s">
        <v>6222</v>
      </c>
      <c r="J910" s="81" t="s">
        <v>2186</v>
      </c>
      <c r="K910" s="81" t="s">
        <v>6222</v>
      </c>
      <c r="L910" s="81" t="s">
        <v>2392</v>
      </c>
      <c r="M910" s="81" t="s">
        <v>6222</v>
      </c>
      <c r="N910" s="81" t="s">
        <v>2231</v>
      </c>
      <c r="O910" s="81" t="s">
        <v>2187</v>
      </c>
      <c r="P910" s="81" t="s">
        <v>2187</v>
      </c>
      <c r="Q910" s="81" t="s">
        <v>43</v>
      </c>
      <c r="R910" s="81" t="s">
        <v>122</v>
      </c>
      <c r="S910" s="81" t="s">
        <v>122</v>
      </c>
      <c r="T910" s="81" t="s">
        <v>48</v>
      </c>
      <c r="U910" s="81" t="s">
        <v>48</v>
      </c>
      <c r="V910" s="81" t="s">
        <v>49</v>
      </c>
      <c r="W910" s="81" t="s">
        <v>48</v>
      </c>
      <c r="X910" s="81" t="s">
        <v>48</v>
      </c>
      <c r="Y910" s="81" t="s">
        <v>48</v>
      </c>
    </row>
    <row r="911" spans="1:25" x14ac:dyDescent="0.3">
      <c r="A911" s="16">
        <v>7501349027060</v>
      </c>
      <c r="B911" s="81" t="s">
        <v>43</v>
      </c>
      <c r="C911" s="81" t="s">
        <v>884</v>
      </c>
      <c r="D911" s="81" t="s">
        <v>45</v>
      </c>
      <c r="E911" s="81" t="s">
        <v>2362</v>
      </c>
      <c r="F911" s="81" t="s">
        <v>2316</v>
      </c>
      <c r="G911" s="81" t="s">
        <v>6223</v>
      </c>
      <c r="H911" s="81" t="s">
        <v>2209</v>
      </c>
      <c r="I911" s="81" t="s">
        <v>6224</v>
      </c>
      <c r="J911" s="81" t="s">
        <v>2186</v>
      </c>
      <c r="K911" s="81" t="s">
        <v>6224</v>
      </c>
      <c r="L911" s="81" t="s">
        <v>2392</v>
      </c>
      <c r="M911" s="81" t="s">
        <v>6224</v>
      </c>
      <c r="N911" s="81" t="s">
        <v>2231</v>
      </c>
      <c r="O911" s="81" t="s">
        <v>2187</v>
      </c>
      <c r="P911" s="81" t="s">
        <v>2187</v>
      </c>
      <c r="Q911" s="81" t="s">
        <v>43</v>
      </c>
      <c r="R911" s="81" t="s">
        <v>46</v>
      </c>
      <c r="S911" s="81" t="s">
        <v>46</v>
      </c>
      <c r="T911" s="81" t="s">
        <v>48</v>
      </c>
      <c r="U911" s="81" t="s">
        <v>48</v>
      </c>
      <c r="V911" s="81" t="s">
        <v>48</v>
      </c>
      <c r="W911" s="81" t="s">
        <v>49</v>
      </c>
      <c r="X911" s="81" t="s">
        <v>48</v>
      </c>
      <c r="Y911" s="81" t="s">
        <v>48</v>
      </c>
    </row>
    <row r="912" spans="1:25" x14ac:dyDescent="0.3">
      <c r="A912" s="16">
        <v>7502250340521</v>
      </c>
      <c r="B912" s="81" t="s">
        <v>43</v>
      </c>
      <c r="C912" s="81" t="s">
        <v>3449</v>
      </c>
      <c r="D912" s="81" t="s">
        <v>45</v>
      </c>
      <c r="E912" s="81" t="s">
        <v>2412</v>
      </c>
      <c r="F912" s="81" t="s">
        <v>2368</v>
      </c>
      <c r="G912" s="81" t="s">
        <v>4465</v>
      </c>
      <c r="H912" s="81" t="s">
        <v>6225</v>
      </c>
      <c r="I912" s="81" t="s">
        <v>6226</v>
      </c>
      <c r="J912" s="81" t="s">
        <v>2186</v>
      </c>
      <c r="K912" s="81" t="s">
        <v>6226</v>
      </c>
      <c r="L912" s="81" t="s">
        <v>2392</v>
      </c>
      <c r="M912" s="81" t="s">
        <v>6226</v>
      </c>
      <c r="N912" s="81" t="s">
        <v>2231</v>
      </c>
      <c r="O912" s="81" t="s">
        <v>2187</v>
      </c>
      <c r="P912" s="81" t="s">
        <v>2187</v>
      </c>
      <c r="Q912" s="81" t="s">
        <v>43</v>
      </c>
      <c r="R912" s="81" t="s">
        <v>203</v>
      </c>
      <c r="S912" s="81" t="s">
        <v>203</v>
      </c>
      <c r="T912" s="81" t="s">
        <v>48</v>
      </c>
      <c r="U912" s="81" t="s">
        <v>48</v>
      </c>
      <c r="V912" s="81" t="s">
        <v>48</v>
      </c>
      <c r="W912" s="81" t="s">
        <v>49</v>
      </c>
      <c r="X912" s="81" t="s">
        <v>48</v>
      </c>
      <c r="Y912" s="81" t="s">
        <v>48</v>
      </c>
    </row>
    <row r="913" spans="1:25" x14ac:dyDescent="0.3">
      <c r="A913" s="16">
        <v>7501075717518</v>
      </c>
      <c r="B913" s="81" t="s">
        <v>43</v>
      </c>
      <c r="C913" s="81" t="s">
        <v>885</v>
      </c>
      <c r="D913" s="81" t="s">
        <v>45</v>
      </c>
      <c r="E913" s="81" t="s">
        <v>2458</v>
      </c>
      <c r="F913" s="81" t="s">
        <v>2439</v>
      </c>
      <c r="G913" s="81" t="s">
        <v>4457</v>
      </c>
      <c r="H913" s="81" t="s">
        <v>2252</v>
      </c>
      <c r="I913" s="81" t="s">
        <v>5794</v>
      </c>
      <c r="J913" s="81" t="s">
        <v>2186</v>
      </c>
      <c r="K913" s="81" t="s">
        <v>5794</v>
      </c>
      <c r="L913" s="81" t="s">
        <v>2392</v>
      </c>
      <c r="M913" s="81" t="s">
        <v>5794</v>
      </c>
      <c r="N913" s="81" t="s">
        <v>2231</v>
      </c>
      <c r="O913" s="81" t="s">
        <v>2187</v>
      </c>
      <c r="P913" s="81" t="s">
        <v>2187</v>
      </c>
      <c r="Q913" s="81" t="s">
        <v>43</v>
      </c>
      <c r="R913" s="81" t="s">
        <v>46</v>
      </c>
      <c r="S913" s="81" t="s">
        <v>47</v>
      </c>
      <c r="T913" s="81" t="s">
        <v>48</v>
      </c>
      <c r="U913" s="81" t="s">
        <v>48</v>
      </c>
      <c r="V913" s="81" t="s">
        <v>48</v>
      </c>
      <c r="W913" s="81" t="s">
        <v>49</v>
      </c>
      <c r="X913" s="81" t="s">
        <v>48</v>
      </c>
      <c r="Y913" s="81" t="s">
        <v>48</v>
      </c>
    </row>
    <row r="914" spans="1:25" x14ac:dyDescent="0.3">
      <c r="A914" s="16">
        <v>7506021105098</v>
      </c>
      <c r="B914" s="81" t="s">
        <v>43</v>
      </c>
      <c r="C914" s="81" t="s">
        <v>3450</v>
      </c>
      <c r="D914" s="81" t="s">
        <v>45</v>
      </c>
      <c r="E914" s="81" t="s">
        <v>2262</v>
      </c>
      <c r="F914" s="81" t="s">
        <v>2521</v>
      </c>
      <c r="G914" s="81" t="s">
        <v>4651</v>
      </c>
      <c r="H914" s="81" t="s">
        <v>2314</v>
      </c>
      <c r="I914" s="81" t="s">
        <v>6227</v>
      </c>
      <c r="J914" s="81" t="s">
        <v>2186</v>
      </c>
      <c r="K914" s="81" t="s">
        <v>6227</v>
      </c>
      <c r="L914" s="81" t="s">
        <v>2392</v>
      </c>
      <c r="M914" s="81" t="s">
        <v>6227</v>
      </c>
      <c r="N914" s="81" t="s">
        <v>2231</v>
      </c>
      <c r="O914" s="81" t="s">
        <v>2187</v>
      </c>
      <c r="P914" s="81" t="s">
        <v>2187</v>
      </c>
      <c r="Q914" s="81" t="s">
        <v>43</v>
      </c>
      <c r="R914" s="81" t="s">
        <v>101</v>
      </c>
      <c r="S914" s="81" t="s">
        <v>101</v>
      </c>
      <c r="T914" s="81" t="s">
        <v>48</v>
      </c>
      <c r="U914" s="81" t="s">
        <v>48</v>
      </c>
      <c r="V914" s="81" t="s">
        <v>49</v>
      </c>
      <c r="W914" s="81" t="s">
        <v>48</v>
      </c>
      <c r="X914" s="81" t="s">
        <v>48</v>
      </c>
      <c r="Y914" s="81" t="s">
        <v>48</v>
      </c>
    </row>
    <row r="915" spans="1:25" x14ac:dyDescent="0.3">
      <c r="A915" s="16">
        <v>7501871721214</v>
      </c>
      <c r="B915" s="81" t="s">
        <v>43</v>
      </c>
      <c r="C915" s="81" t="s">
        <v>886</v>
      </c>
      <c r="D915" s="81" t="s">
        <v>45</v>
      </c>
      <c r="E915" s="81" t="s">
        <v>2191</v>
      </c>
      <c r="F915" s="81" t="s">
        <v>2192</v>
      </c>
      <c r="G915" s="81" t="s">
        <v>3451</v>
      </c>
      <c r="H915" s="81" t="s">
        <v>3452</v>
      </c>
      <c r="I915" s="81" t="s">
        <v>3453</v>
      </c>
      <c r="J915" s="81" t="s">
        <v>2186</v>
      </c>
      <c r="K915" s="81" t="s">
        <v>3454</v>
      </c>
      <c r="L915" s="81" t="s">
        <v>2392</v>
      </c>
      <c r="M915" s="81" t="s">
        <v>3455</v>
      </c>
      <c r="N915" s="81" t="s">
        <v>2231</v>
      </c>
      <c r="O915" s="81" t="s">
        <v>2187</v>
      </c>
      <c r="P915" s="81" t="s">
        <v>2187</v>
      </c>
      <c r="Q915" s="81" t="s">
        <v>43</v>
      </c>
      <c r="R915" s="81" t="s">
        <v>374</v>
      </c>
      <c r="S915" s="81" t="s">
        <v>374</v>
      </c>
      <c r="T915" s="81" t="s">
        <v>48</v>
      </c>
      <c r="U915" s="81" t="s">
        <v>48</v>
      </c>
      <c r="V915" s="81" t="s">
        <v>48</v>
      </c>
      <c r="W915" s="81" t="s">
        <v>49</v>
      </c>
      <c r="X915" s="81" t="s">
        <v>48</v>
      </c>
      <c r="Y915" s="81" t="s">
        <v>48</v>
      </c>
    </row>
    <row r="916" spans="1:25" x14ac:dyDescent="0.3">
      <c r="A916" s="16">
        <v>7502276040436</v>
      </c>
      <c r="B916" s="81" t="s">
        <v>43</v>
      </c>
      <c r="C916" s="81" t="s">
        <v>887</v>
      </c>
      <c r="D916" s="81" t="s">
        <v>45</v>
      </c>
      <c r="E916" s="81" t="s">
        <v>2645</v>
      </c>
      <c r="F916" s="81" t="s">
        <v>2431</v>
      </c>
      <c r="G916" s="81" t="s">
        <v>3456</v>
      </c>
      <c r="H916" s="81" t="s">
        <v>3134</v>
      </c>
      <c r="I916" s="81" t="s">
        <v>6228</v>
      </c>
      <c r="J916" s="81" t="s">
        <v>2186</v>
      </c>
      <c r="K916" s="81" t="s">
        <v>6228</v>
      </c>
      <c r="L916" s="81" t="s">
        <v>2392</v>
      </c>
      <c r="M916" s="81" t="s">
        <v>6228</v>
      </c>
      <c r="N916" s="81" t="s">
        <v>2231</v>
      </c>
      <c r="O916" s="81" t="s">
        <v>2187</v>
      </c>
      <c r="P916" s="81" t="s">
        <v>2187</v>
      </c>
      <c r="Q916" s="81" t="s">
        <v>43</v>
      </c>
      <c r="R916" s="81" t="s">
        <v>524</v>
      </c>
      <c r="S916" s="81" t="s">
        <v>525</v>
      </c>
      <c r="T916" s="81" t="s">
        <v>48</v>
      </c>
      <c r="U916" s="81" t="s">
        <v>48</v>
      </c>
      <c r="V916" s="81" t="s">
        <v>49</v>
      </c>
      <c r="W916" s="81" t="s">
        <v>48</v>
      </c>
      <c r="X916" s="81" t="s">
        <v>48</v>
      </c>
      <c r="Y916" s="81" t="s">
        <v>48</v>
      </c>
    </row>
    <row r="917" spans="1:25" x14ac:dyDescent="0.3">
      <c r="A917" s="16">
        <v>7501825305200</v>
      </c>
      <c r="B917" s="81" t="s">
        <v>43</v>
      </c>
      <c r="C917" s="81" t="s">
        <v>3458</v>
      </c>
      <c r="D917" s="81" t="s">
        <v>45</v>
      </c>
      <c r="E917" s="81" t="s">
        <v>3459</v>
      </c>
      <c r="F917" s="81" t="s">
        <v>3460</v>
      </c>
      <c r="G917" s="81" t="s">
        <v>4752</v>
      </c>
      <c r="H917" s="81" t="s">
        <v>2506</v>
      </c>
      <c r="I917" s="81" t="s">
        <v>4594</v>
      </c>
      <c r="J917" s="81" t="s">
        <v>2186</v>
      </c>
      <c r="K917" s="81" t="s">
        <v>4595</v>
      </c>
      <c r="L917" s="81" t="s">
        <v>2392</v>
      </c>
      <c r="M917" s="81" t="s">
        <v>2393</v>
      </c>
      <c r="N917" s="81" t="s">
        <v>2231</v>
      </c>
      <c r="O917" s="81" t="s">
        <v>2187</v>
      </c>
      <c r="P917" s="81" t="s">
        <v>2187</v>
      </c>
      <c r="Q917" s="81" t="s">
        <v>43</v>
      </c>
      <c r="R917" s="81" t="s">
        <v>46</v>
      </c>
      <c r="S917" s="81" t="s">
        <v>47</v>
      </c>
      <c r="T917" s="81" t="s">
        <v>48</v>
      </c>
      <c r="U917" s="81" t="s">
        <v>48</v>
      </c>
      <c r="V917" s="81" t="s">
        <v>48</v>
      </c>
      <c r="W917" s="81" t="s">
        <v>49</v>
      </c>
      <c r="X917" s="81" t="s">
        <v>48</v>
      </c>
      <c r="Y917" s="81" t="s">
        <v>48</v>
      </c>
    </row>
    <row r="918" spans="1:25" x14ac:dyDescent="0.3">
      <c r="A918" s="16">
        <v>7501258209465</v>
      </c>
      <c r="B918" s="81" t="s">
        <v>43</v>
      </c>
      <c r="C918" s="81" t="s">
        <v>4668</v>
      </c>
      <c r="D918" s="81" t="s">
        <v>45</v>
      </c>
      <c r="E918" s="81" t="s">
        <v>2357</v>
      </c>
      <c r="F918" s="81" t="s">
        <v>2457</v>
      </c>
      <c r="G918" s="81" t="s">
        <v>4669</v>
      </c>
      <c r="H918" s="81" t="s">
        <v>4670</v>
      </c>
      <c r="I918" s="81" t="s">
        <v>6229</v>
      </c>
      <c r="J918" s="81" t="s">
        <v>2186</v>
      </c>
      <c r="K918" s="81" t="s">
        <v>6229</v>
      </c>
      <c r="L918" s="81" t="s">
        <v>2392</v>
      </c>
      <c r="M918" s="81" t="s">
        <v>6229</v>
      </c>
      <c r="N918" s="81" t="s">
        <v>2231</v>
      </c>
      <c r="O918" s="81" t="s">
        <v>2187</v>
      </c>
      <c r="P918" s="81" t="s">
        <v>2187</v>
      </c>
      <c r="Q918" s="81" t="s">
        <v>43</v>
      </c>
      <c r="R918" s="81" t="s">
        <v>524</v>
      </c>
      <c r="S918" s="81" t="s">
        <v>525</v>
      </c>
      <c r="T918" s="81" t="s">
        <v>48</v>
      </c>
      <c r="U918" s="81" t="s">
        <v>48</v>
      </c>
      <c r="V918" s="81" t="s">
        <v>49</v>
      </c>
      <c r="W918" s="81" t="s">
        <v>48</v>
      </c>
      <c r="X918" s="81" t="s">
        <v>48</v>
      </c>
      <c r="Y918" s="81" t="s">
        <v>48</v>
      </c>
    </row>
    <row r="919" spans="1:25" x14ac:dyDescent="0.3">
      <c r="A919" s="16">
        <v>785118754259</v>
      </c>
      <c r="B919" s="81" t="s">
        <v>43</v>
      </c>
      <c r="C919" s="81" t="s">
        <v>888</v>
      </c>
      <c r="D919" s="81" t="s">
        <v>45</v>
      </c>
      <c r="E919" s="81" t="s">
        <v>2722</v>
      </c>
      <c r="F919" s="81" t="s">
        <v>2813</v>
      </c>
      <c r="G919" s="81" t="s">
        <v>3360</v>
      </c>
      <c r="H919" s="81" t="s">
        <v>2190</v>
      </c>
      <c r="I919" s="81" t="s">
        <v>6230</v>
      </c>
      <c r="J919" s="81" t="s">
        <v>2186</v>
      </c>
      <c r="K919" s="81" t="s">
        <v>6230</v>
      </c>
      <c r="L919" s="81" t="s">
        <v>2392</v>
      </c>
      <c r="M919" s="81" t="s">
        <v>6230</v>
      </c>
      <c r="N919" s="81" t="s">
        <v>2231</v>
      </c>
      <c r="O919" s="81" t="s">
        <v>2187</v>
      </c>
      <c r="P919" s="81" t="s">
        <v>2187</v>
      </c>
      <c r="Q919" s="81" t="s">
        <v>43</v>
      </c>
      <c r="R919" s="81" t="s">
        <v>46</v>
      </c>
      <c r="S919" s="81" t="s">
        <v>164</v>
      </c>
      <c r="T919" s="81" t="s">
        <v>48</v>
      </c>
      <c r="U919" s="81" t="s">
        <v>48</v>
      </c>
      <c r="V919" s="81" t="s">
        <v>48</v>
      </c>
      <c r="W919" s="81" t="s">
        <v>49</v>
      </c>
      <c r="X919" s="81" t="s">
        <v>48</v>
      </c>
      <c r="Y919" s="81" t="s">
        <v>48</v>
      </c>
    </row>
    <row r="920" spans="1:25" x14ac:dyDescent="0.3">
      <c r="A920" s="16">
        <v>7500435145497</v>
      </c>
      <c r="B920" s="81" t="s">
        <v>43</v>
      </c>
      <c r="C920" s="81" t="s">
        <v>889</v>
      </c>
      <c r="D920" s="81" t="s">
        <v>45</v>
      </c>
      <c r="E920" s="81" t="s">
        <v>2357</v>
      </c>
      <c r="F920" s="81" t="s">
        <v>2358</v>
      </c>
      <c r="G920" s="81" t="s">
        <v>3461</v>
      </c>
      <c r="H920" s="81" t="s">
        <v>2687</v>
      </c>
      <c r="I920" s="81" t="s">
        <v>3462</v>
      </c>
      <c r="J920" s="81" t="s">
        <v>2186</v>
      </c>
      <c r="K920" s="81" t="s">
        <v>3463</v>
      </c>
      <c r="L920" s="81" t="s">
        <v>2392</v>
      </c>
      <c r="M920" s="81" t="s">
        <v>2688</v>
      </c>
      <c r="N920" s="81" t="s">
        <v>2231</v>
      </c>
      <c r="O920" s="81" t="s">
        <v>2187</v>
      </c>
      <c r="P920" s="81" t="s">
        <v>2187</v>
      </c>
      <c r="Q920" s="81" t="s">
        <v>43</v>
      </c>
      <c r="R920" s="81" t="s">
        <v>203</v>
      </c>
      <c r="S920" s="81" t="s">
        <v>203</v>
      </c>
      <c r="T920" s="81" t="s">
        <v>48</v>
      </c>
      <c r="U920" s="81" t="s">
        <v>48</v>
      </c>
      <c r="V920" s="81" t="s">
        <v>48</v>
      </c>
      <c r="W920" s="81" t="s">
        <v>49</v>
      </c>
      <c r="X920" s="81" t="s">
        <v>48</v>
      </c>
      <c r="Y920" s="81" t="s">
        <v>48</v>
      </c>
    </row>
    <row r="921" spans="1:25" x14ac:dyDescent="0.3">
      <c r="A921" s="16">
        <v>7503008821095</v>
      </c>
      <c r="B921" s="81" t="s">
        <v>43</v>
      </c>
      <c r="C921" s="81" t="s">
        <v>1667</v>
      </c>
      <c r="D921" s="81" t="s">
        <v>45</v>
      </c>
      <c r="E921" s="81" t="s">
        <v>2227</v>
      </c>
      <c r="F921" s="81" t="s">
        <v>2227</v>
      </c>
      <c r="G921" s="81" t="s">
        <v>4817</v>
      </c>
      <c r="H921" s="81" t="s">
        <v>3744</v>
      </c>
      <c r="I921" s="81" t="s">
        <v>4861</v>
      </c>
      <c r="J921" s="81" t="s">
        <v>2186</v>
      </c>
      <c r="K921" s="81" t="s">
        <v>4674</v>
      </c>
      <c r="L921" s="81" t="s">
        <v>2392</v>
      </c>
      <c r="M921" s="81" t="s">
        <v>3465</v>
      </c>
      <c r="N921" s="81" t="s">
        <v>2231</v>
      </c>
      <c r="O921" s="81" t="s">
        <v>2187</v>
      </c>
      <c r="P921" s="81" t="s">
        <v>2187</v>
      </c>
      <c r="Q921" s="81" t="s">
        <v>43</v>
      </c>
      <c r="R921" s="81" t="s">
        <v>203</v>
      </c>
      <c r="S921" s="81" t="s">
        <v>203</v>
      </c>
      <c r="T921" s="81" t="s">
        <v>48</v>
      </c>
      <c r="U921" s="81" t="s">
        <v>48</v>
      </c>
      <c r="V921" s="81" t="s">
        <v>49</v>
      </c>
      <c r="W921" s="81" t="s">
        <v>48</v>
      </c>
      <c r="X921" s="81" t="s">
        <v>48</v>
      </c>
      <c r="Y921" s="81" t="s">
        <v>48</v>
      </c>
    </row>
    <row r="922" spans="1:25" x14ac:dyDescent="0.3">
      <c r="A922" s="16">
        <v>7501088579615</v>
      </c>
      <c r="B922" s="81" t="s">
        <v>43</v>
      </c>
      <c r="C922" s="81" t="s">
        <v>3466</v>
      </c>
      <c r="D922" s="81" t="s">
        <v>45</v>
      </c>
      <c r="E922" s="81" t="s">
        <v>2298</v>
      </c>
      <c r="F922" s="81" t="s">
        <v>2545</v>
      </c>
      <c r="G922" s="81" t="s">
        <v>3467</v>
      </c>
      <c r="H922" s="81" t="s">
        <v>2671</v>
      </c>
      <c r="I922" s="81" t="s">
        <v>6231</v>
      </c>
      <c r="J922" s="81" t="s">
        <v>2186</v>
      </c>
      <c r="K922" s="81" t="s">
        <v>6231</v>
      </c>
      <c r="L922" s="81" t="s">
        <v>2392</v>
      </c>
      <c r="M922" s="81" t="s">
        <v>6231</v>
      </c>
      <c r="N922" s="81" t="s">
        <v>2231</v>
      </c>
      <c r="O922" s="81" t="s">
        <v>2187</v>
      </c>
      <c r="P922" s="81" t="s">
        <v>2187</v>
      </c>
      <c r="Q922" s="81" t="s">
        <v>43</v>
      </c>
      <c r="R922" s="81" t="s">
        <v>374</v>
      </c>
      <c r="S922" s="81" t="s">
        <v>374</v>
      </c>
      <c r="T922" s="81" t="s">
        <v>49</v>
      </c>
      <c r="U922" s="81" t="s">
        <v>48</v>
      </c>
      <c r="V922" s="81" t="s">
        <v>48</v>
      </c>
      <c r="W922" s="81" t="s">
        <v>49</v>
      </c>
      <c r="X922" s="81" t="s">
        <v>48</v>
      </c>
      <c r="Y922" s="81" t="s">
        <v>48</v>
      </c>
    </row>
    <row r="923" spans="1:25" x14ac:dyDescent="0.3">
      <c r="A923" s="16">
        <v>7501349024175</v>
      </c>
      <c r="B923" s="81" t="s">
        <v>43</v>
      </c>
      <c r="C923" s="81" t="s">
        <v>890</v>
      </c>
      <c r="D923" s="81" t="s">
        <v>45</v>
      </c>
      <c r="E923" s="81" t="s">
        <v>2435</v>
      </c>
      <c r="F923" s="81" t="s">
        <v>3031</v>
      </c>
      <c r="G923" s="81" t="s">
        <v>4337</v>
      </c>
      <c r="H923" s="81" t="s">
        <v>2264</v>
      </c>
      <c r="I923" s="81" t="s">
        <v>6026</v>
      </c>
      <c r="J923" s="81" t="s">
        <v>2186</v>
      </c>
      <c r="K923" s="81" t="s">
        <v>6026</v>
      </c>
      <c r="L923" s="81" t="s">
        <v>2392</v>
      </c>
      <c r="M923" s="81" t="s">
        <v>6026</v>
      </c>
      <c r="N923" s="81" t="s">
        <v>2231</v>
      </c>
      <c r="O923" s="81" t="s">
        <v>2187</v>
      </c>
      <c r="P923" s="81" t="s">
        <v>2187</v>
      </c>
      <c r="Q923" s="81" t="s">
        <v>43</v>
      </c>
      <c r="R923" s="81" t="s">
        <v>46</v>
      </c>
      <c r="S923" s="81" t="s">
        <v>47</v>
      </c>
      <c r="T923" s="81" t="s">
        <v>48</v>
      </c>
      <c r="U923" s="81" t="s">
        <v>48</v>
      </c>
      <c r="V923" s="81" t="s">
        <v>48</v>
      </c>
      <c r="W923" s="81" t="s">
        <v>49</v>
      </c>
      <c r="X923" s="81" t="s">
        <v>48</v>
      </c>
      <c r="Y923" s="81" t="s">
        <v>48</v>
      </c>
    </row>
    <row r="924" spans="1:25" x14ac:dyDescent="0.3">
      <c r="A924" s="16">
        <v>7501547505056</v>
      </c>
      <c r="B924" s="81" t="s">
        <v>43</v>
      </c>
      <c r="C924" s="81" t="s">
        <v>891</v>
      </c>
      <c r="D924" s="81" t="s">
        <v>45</v>
      </c>
      <c r="E924" s="81" t="s">
        <v>2465</v>
      </c>
      <c r="F924" s="81" t="s">
        <v>2210</v>
      </c>
      <c r="G924" s="81" t="s">
        <v>3468</v>
      </c>
      <c r="H924" s="81" t="s">
        <v>2190</v>
      </c>
      <c r="I924" s="81" t="s">
        <v>6197</v>
      </c>
      <c r="J924" s="81" t="s">
        <v>2186</v>
      </c>
      <c r="K924" s="81" t="s">
        <v>6197</v>
      </c>
      <c r="L924" s="81" t="s">
        <v>2392</v>
      </c>
      <c r="M924" s="81" t="s">
        <v>6197</v>
      </c>
      <c r="N924" s="81" t="s">
        <v>2231</v>
      </c>
      <c r="O924" s="81" t="s">
        <v>2187</v>
      </c>
      <c r="P924" s="81" t="s">
        <v>2187</v>
      </c>
      <c r="Q924" s="81" t="s">
        <v>43</v>
      </c>
      <c r="R924" s="81" t="s">
        <v>46</v>
      </c>
      <c r="S924" s="81" t="s">
        <v>46</v>
      </c>
      <c r="T924" s="81" t="s">
        <v>49</v>
      </c>
      <c r="U924" s="81" t="s">
        <v>48</v>
      </c>
      <c r="V924" s="81" t="s">
        <v>48</v>
      </c>
      <c r="W924" s="81" t="s">
        <v>49</v>
      </c>
      <c r="X924" s="81" t="s">
        <v>48</v>
      </c>
      <c r="Y924" s="81" t="s">
        <v>48</v>
      </c>
    </row>
    <row r="925" spans="1:25" x14ac:dyDescent="0.3">
      <c r="A925" s="16">
        <v>7501130709847</v>
      </c>
      <c r="B925" s="81" t="s">
        <v>43</v>
      </c>
      <c r="C925" s="81" t="s">
        <v>3469</v>
      </c>
      <c r="D925" s="81" t="s">
        <v>45</v>
      </c>
      <c r="E925" s="81" t="s">
        <v>2180</v>
      </c>
      <c r="F925" s="81" t="s">
        <v>2298</v>
      </c>
      <c r="G925" s="81" t="s">
        <v>5499</v>
      </c>
      <c r="H925" s="81" t="s">
        <v>3363</v>
      </c>
      <c r="I925" s="81" t="s">
        <v>6232</v>
      </c>
      <c r="J925" s="81" t="s">
        <v>2186</v>
      </c>
      <c r="K925" s="81" t="s">
        <v>6232</v>
      </c>
      <c r="L925" s="81" t="s">
        <v>2392</v>
      </c>
      <c r="M925" s="81" t="s">
        <v>6232</v>
      </c>
      <c r="N925" s="81" t="s">
        <v>2231</v>
      </c>
      <c r="O925" s="81" t="s">
        <v>2187</v>
      </c>
      <c r="P925" s="81" t="s">
        <v>2187</v>
      </c>
      <c r="Q925" s="81" t="s">
        <v>43</v>
      </c>
      <c r="R925" s="81" t="s">
        <v>101</v>
      </c>
      <c r="S925" s="81" t="s">
        <v>101</v>
      </c>
      <c r="T925" s="81" t="s">
        <v>48</v>
      </c>
      <c r="U925" s="81" t="s">
        <v>48</v>
      </c>
      <c r="V925" s="81" t="s">
        <v>49</v>
      </c>
      <c r="W925" s="81" t="s">
        <v>48</v>
      </c>
      <c r="X925" s="81" t="s">
        <v>48</v>
      </c>
      <c r="Y925" s="81" t="s">
        <v>48</v>
      </c>
    </row>
    <row r="926" spans="1:25" x14ac:dyDescent="0.3">
      <c r="A926" s="16">
        <v>7502001169296</v>
      </c>
      <c r="B926" s="81" t="s">
        <v>43</v>
      </c>
      <c r="C926" s="81" t="s">
        <v>3470</v>
      </c>
      <c r="D926" s="81" t="s">
        <v>45</v>
      </c>
      <c r="E926" s="81" t="s">
        <v>2939</v>
      </c>
      <c r="F926" s="81" t="s">
        <v>3471</v>
      </c>
      <c r="G926" s="81" t="s">
        <v>5218</v>
      </c>
      <c r="H926" s="81" t="s">
        <v>2217</v>
      </c>
      <c r="I926" s="81" t="s">
        <v>6233</v>
      </c>
      <c r="J926" s="81" t="s">
        <v>2186</v>
      </c>
      <c r="K926" s="81" t="s">
        <v>6233</v>
      </c>
      <c r="L926" s="81" t="s">
        <v>2392</v>
      </c>
      <c r="M926" s="81" t="s">
        <v>6233</v>
      </c>
      <c r="N926" s="81" t="s">
        <v>2231</v>
      </c>
      <c r="O926" s="81" t="s">
        <v>2187</v>
      </c>
      <c r="P926" s="81" t="s">
        <v>2187</v>
      </c>
      <c r="Q926" s="81" t="s">
        <v>43</v>
      </c>
      <c r="R926" s="81" t="s">
        <v>51</v>
      </c>
      <c r="S926" s="81" t="s">
        <v>81</v>
      </c>
      <c r="T926" s="81" t="s">
        <v>49</v>
      </c>
      <c r="U926" s="81" t="s">
        <v>48</v>
      </c>
      <c r="V926" s="81" t="s">
        <v>48</v>
      </c>
      <c r="W926" s="81" t="s">
        <v>49</v>
      </c>
      <c r="X926" s="81" t="s">
        <v>48</v>
      </c>
      <c r="Y926" s="81" t="s">
        <v>48</v>
      </c>
    </row>
    <row r="927" spans="1:25" x14ac:dyDescent="0.3">
      <c r="A927" s="16">
        <v>7502208892645</v>
      </c>
      <c r="B927" s="81" t="s">
        <v>43</v>
      </c>
      <c r="C927" s="81" t="s">
        <v>3472</v>
      </c>
      <c r="D927" s="81" t="s">
        <v>45</v>
      </c>
      <c r="E927" s="81" t="s">
        <v>2412</v>
      </c>
      <c r="F927" s="81" t="s">
        <v>2368</v>
      </c>
      <c r="G927" s="81" t="s">
        <v>2561</v>
      </c>
      <c r="H927" s="81" t="s">
        <v>2190</v>
      </c>
      <c r="I927" s="81" t="s">
        <v>6234</v>
      </c>
      <c r="J927" s="81" t="s">
        <v>2186</v>
      </c>
      <c r="K927" s="81" t="s">
        <v>6234</v>
      </c>
      <c r="L927" s="81" t="s">
        <v>2392</v>
      </c>
      <c r="M927" s="81" t="s">
        <v>6234</v>
      </c>
      <c r="N927" s="81" t="s">
        <v>2231</v>
      </c>
      <c r="O927" s="81" t="s">
        <v>2187</v>
      </c>
      <c r="P927" s="81" t="s">
        <v>2187</v>
      </c>
      <c r="Q927" s="81" t="s">
        <v>43</v>
      </c>
      <c r="R927" s="81" t="s">
        <v>51</v>
      </c>
      <c r="S927" s="81" t="s">
        <v>81</v>
      </c>
      <c r="T927" s="81" t="s">
        <v>49</v>
      </c>
      <c r="U927" s="81" t="s">
        <v>48</v>
      </c>
      <c r="V927" s="81" t="s">
        <v>48</v>
      </c>
      <c r="W927" s="81" t="s">
        <v>49</v>
      </c>
      <c r="X927" s="81" t="s">
        <v>48</v>
      </c>
      <c r="Y927" s="81" t="s">
        <v>48</v>
      </c>
    </row>
    <row r="928" spans="1:25" x14ac:dyDescent="0.3">
      <c r="A928" s="16">
        <v>780083149062</v>
      </c>
      <c r="B928" s="81" t="s">
        <v>43</v>
      </c>
      <c r="C928" s="81" t="s">
        <v>892</v>
      </c>
      <c r="D928" s="81" t="s">
        <v>45</v>
      </c>
      <c r="E928" s="81" t="s">
        <v>2368</v>
      </c>
      <c r="F928" s="81" t="s">
        <v>2308</v>
      </c>
      <c r="G928" s="81" t="s">
        <v>3473</v>
      </c>
      <c r="H928" s="81" t="s">
        <v>6235</v>
      </c>
      <c r="I928" s="81" t="s">
        <v>6028</v>
      </c>
      <c r="J928" s="81" t="s">
        <v>2186</v>
      </c>
      <c r="K928" s="81" t="s">
        <v>6028</v>
      </c>
      <c r="L928" s="81" t="s">
        <v>2392</v>
      </c>
      <c r="M928" s="81" t="s">
        <v>6028</v>
      </c>
      <c r="N928" s="81" t="s">
        <v>2231</v>
      </c>
      <c r="O928" s="81" t="s">
        <v>2187</v>
      </c>
      <c r="P928" s="81" t="s">
        <v>2187</v>
      </c>
      <c r="Q928" s="81" t="s">
        <v>43</v>
      </c>
      <c r="R928" s="81" t="s">
        <v>46</v>
      </c>
      <c r="S928" s="81" t="s">
        <v>46</v>
      </c>
      <c r="T928" s="81" t="s">
        <v>48</v>
      </c>
      <c r="U928" s="81" t="s">
        <v>48</v>
      </c>
      <c r="V928" s="81" t="s">
        <v>48</v>
      </c>
      <c r="W928" s="81" t="s">
        <v>49</v>
      </c>
      <c r="X928" s="81" t="s">
        <v>48</v>
      </c>
      <c r="Y928" s="81" t="s">
        <v>48</v>
      </c>
    </row>
    <row r="929" spans="1:25" x14ac:dyDescent="0.3">
      <c r="A929" s="16">
        <v>780083148928</v>
      </c>
      <c r="B929" s="81" t="s">
        <v>43</v>
      </c>
      <c r="C929" s="81" t="s">
        <v>1983</v>
      </c>
      <c r="D929" s="81" t="s">
        <v>45</v>
      </c>
      <c r="E929" s="81" t="s">
        <v>2357</v>
      </c>
      <c r="F929" s="81" t="s">
        <v>2545</v>
      </c>
      <c r="G929" s="81" t="s">
        <v>4965</v>
      </c>
      <c r="H929" s="81" t="s">
        <v>2421</v>
      </c>
      <c r="I929" s="81" t="s">
        <v>6236</v>
      </c>
      <c r="J929" s="81" t="s">
        <v>2186</v>
      </c>
      <c r="K929" s="81" t="s">
        <v>6236</v>
      </c>
      <c r="L929" s="81" t="s">
        <v>2392</v>
      </c>
      <c r="M929" s="81" t="s">
        <v>6236</v>
      </c>
      <c r="N929" s="81" t="s">
        <v>2231</v>
      </c>
      <c r="O929" s="81" t="s">
        <v>2187</v>
      </c>
      <c r="P929" s="81" t="s">
        <v>2187</v>
      </c>
      <c r="Q929" s="81" t="s">
        <v>43</v>
      </c>
      <c r="R929" s="81" t="s">
        <v>46</v>
      </c>
      <c r="S929" s="81" t="s">
        <v>46</v>
      </c>
      <c r="T929" s="81" t="s">
        <v>49</v>
      </c>
      <c r="U929" s="81" t="s">
        <v>48</v>
      </c>
      <c r="V929" s="81" t="s">
        <v>48</v>
      </c>
      <c r="W929" s="81" t="s">
        <v>49</v>
      </c>
      <c r="X929" s="81" t="s">
        <v>48</v>
      </c>
      <c r="Y929" s="81" t="s">
        <v>48</v>
      </c>
    </row>
    <row r="930" spans="1:25" x14ac:dyDescent="0.3">
      <c r="A930" s="16">
        <v>780083146863</v>
      </c>
      <c r="B930" s="81" t="s">
        <v>43</v>
      </c>
      <c r="C930" s="81" t="s">
        <v>893</v>
      </c>
      <c r="D930" s="81" t="s">
        <v>45</v>
      </c>
      <c r="E930" s="81" t="s">
        <v>2303</v>
      </c>
      <c r="F930" s="81" t="s">
        <v>2233</v>
      </c>
      <c r="G930" s="81" t="s">
        <v>4423</v>
      </c>
      <c r="H930" s="81" t="s">
        <v>2223</v>
      </c>
      <c r="I930" s="81" t="s">
        <v>3539</v>
      </c>
      <c r="J930" s="81" t="s">
        <v>2186</v>
      </c>
      <c r="K930" s="81" t="s">
        <v>3539</v>
      </c>
      <c r="L930" s="81" t="s">
        <v>2392</v>
      </c>
      <c r="M930" s="81" t="s">
        <v>3539</v>
      </c>
      <c r="N930" s="81" t="s">
        <v>2231</v>
      </c>
      <c r="O930" s="81" t="s">
        <v>2187</v>
      </c>
      <c r="P930" s="81" t="s">
        <v>2187</v>
      </c>
      <c r="Q930" s="81" t="s">
        <v>43</v>
      </c>
      <c r="R930" s="81" t="s">
        <v>51</v>
      </c>
      <c r="S930" s="81" t="s">
        <v>47</v>
      </c>
      <c r="T930" s="81" t="s">
        <v>49</v>
      </c>
      <c r="U930" s="81" t="s">
        <v>48</v>
      </c>
      <c r="V930" s="81" t="s">
        <v>48</v>
      </c>
      <c r="W930" s="81" t="s">
        <v>49</v>
      </c>
      <c r="X930" s="81" t="s">
        <v>48</v>
      </c>
      <c r="Y930" s="81" t="s">
        <v>48</v>
      </c>
    </row>
    <row r="931" spans="1:25" x14ac:dyDescent="0.3">
      <c r="A931" s="16">
        <v>780083142018</v>
      </c>
      <c r="B931" s="81" t="s">
        <v>43</v>
      </c>
      <c r="C931" s="81" t="s">
        <v>894</v>
      </c>
      <c r="D931" s="81" t="s">
        <v>45</v>
      </c>
      <c r="E931" s="81" t="s">
        <v>2357</v>
      </c>
      <c r="F931" s="81" t="s">
        <v>2358</v>
      </c>
      <c r="G931" s="81" t="s">
        <v>3474</v>
      </c>
      <c r="H931" s="81" t="s">
        <v>2430</v>
      </c>
      <c r="I931" s="81" t="s">
        <v>5602</v>
      </c>
      <c r="J931" s="81" t="s">
        <v>2186</v>
      </c>
      <c r="K931" s="81" t="s">
        <v>5602</v>
      </c>
      <c r="L931" s="81" t="s">
        <v>2392</v>
      </c>
      <c r="M931" s="81" t="s">
        <v>5602</v>
      </c>
      <c r="N931" s="81" t="s">
        <v>2231</v>
      </c>
      <c r="O931" s="81" t="s">
        <v>2187</v>
      </c>
      <c r="P931" s="81" t="s">
        <v>2187</v>
      </c>
      <c r="Q931" s="81" t="s">
        <v>43</v>
      </c>
      <c r="R931" s="81" t="s">
        <v>46</v>
      </c>
      <c r="S931" s="81" t="s">
        <v>73</v>
      </c>
      <c r="T931" s="81" t="s">
        <v>48</v>
      </c>
      <c r="U931" s="81" t="s">
        <v>48</v>
      </c>
      <c r="V931" s="81" t="s">
        <v>48</v>
      </c>
      <c r="W931" s="81" t="s">
        <v>49</v>
      </c>
      <c r="X931" s="81" t="s">
        <v>48</v>
      </c>
      <c r="Y931" s="81" t="s">
        <v>48</v>
      </c>
    </row>
    <row r="932" spans="1:25" x14ac:dyDescent="0.3">
      <c r="A932" s="16">
        <v>780083148935</v>
      </c>
      <c r="B932" s="81" t="s">
        <v>43</v>
      </c>
      <c r="C932" s="81" t="s">
        <v>1984</v>
      </c>
      <c r="D932" s="81" t="s">
        <v>45</v>
      </c>
      <c r="E932" s="81" t="s">
        <v>2364</v>
      </c>
      <c r="F932" s="81" t="s">
        <v>2221</v>
      </c>
      <c r="G932" s="81" t="s">
        <v>5408</v>
      </c>
      <c r="H932" s="81" t="s">
        <v>2190</v>
      </c>
      <c r="I932" s="81" t="s">
        <v>3354</v>
      </c>
      <c r="J932" s="81" t="s">
        <v>2186</v>
      </c>
      <c r="K932" s="81" t="s">
        <v>3354</v>
      </c>
      <c r="L932" s="81" t="s">
        <v>2392</v>
      </c>
      <c r="M932" s="81" t="s">
        <v>3354</v>
      </c>
      <c r="N932" s="81" t="s">
        <v>2231</v>
      </c>
      <c r="O932" s="81" t="s">
        <v>2187</v>
      </c>
      <c r="P932" s="81" t="s">
        <v>2187</v>
      </c>
      <c r="Q932" s="81" t="s">
        <v>43</v>
      </c>
      <c r="R932" s="81" t="s">
        <v>46</v>
      </c>
      <c r="S932" s="81" t="s">
        <v>46</v>
      </c>
      <c r="T932" s="81" t="s">
        <v>48</v>
      </c>
      <c r="U932" s="81" t="s">
        <v>48</v>
      </c>
      <c r="V932" s="81" t="s">
        <v>48</v>
      </c>
      <c r="W932" s="81" t="s">
        <v>49</v>
      </c>
      <c r="X932" s="81" t="s">
        <v>48</v>
      </c>
      <c r="Y932" s="81" t="s">
        <v>48</v>
      </c>
    </row>
    <row r="933" spans="1:25" x14ac:dyDescent="0.3">
      <c r="A933" s="16">
        <v>780083149895</v>
      </c>
      <c r="B933" s="81" t="s">
        <v>43</v>
      </c>
      <c r="C933" s="81" t="s">
        <v>2151</v>
      </c>
      <c r="D933" s="81" t="s">
        <v>45</v>
      </c>
      <c r="E933" s="81" t="s">
        <v>2545</v>
      </c>
      <c r="F933" s="81" t="s">
        <v>2333</v>
      </c>
      <c r="G933" s="81" t="s">
        <v>4862</v>
      </c>
      <c r="H933" s="81" t="s">
        <v>2535</v>
      </c>
      <c r="I933" s="81" t="s">
        <v>6237</v>
      </c>
      <c r="J933" s="81" t="s">
        <v>2186</v>
      </c>
      <c r="K933" s="81" t="s">
        <v>6237</v>
      </c>
      <c r="L933" s="81" t="s">
        <v>2392</v>
      </c>
      <c r="M933" s="81" t="s">
        <v>6237</v>
      </c>
      <c r="N933" s="81" t="s">
        <v>2231</v>
      </c>
      <c r="O933" s="81" t="s">
        <v>2187</v>
      </c>
      <c r="P933" s="81" t="s">
        <v>2187</v>
      </c>
      <c r="Q933" s="81" t="s">
        <v>43</v>
      </c>
      <c r="R933" s="81" t="s">
        <v>46</v>
      </c>
      <c r="S933" s="81" t="s">
        <v>47</v>
      </c>
      <c r="T933" s="81" t="s">
        <v>48</v>
      </c>
      <c r="U933" s="81" t="s">
        <v>48</v>
      </c>
      <c r="V933" s="81" t="s">
        <v>48</v>
      </c>
      <c r="W933" s="81" t="s">
        <v>49</v>
      </c>
      <c r="X933" s="81" t="s">
        <v>48</v>
      </c>
      <c r="Y933" s="81" t="s">
        <v>48</v>
      </c>
    </row>
    <row r="934" spans="1:25" x14ac:dyDescent="0.3">
      <c r="A934" s="16">
        <v>780083142537</v>
      </c>
      <c r="B934" s="81" t="s">
        <v>43</v>
      </c>
      <c r="C934" s="81" t="s">
        <v>895</v>
      </c>
      <c r="D934" s="81" t="s">
        <v>45</v>
      </c>
      <c r="E934" s="81" t="s">
        <v>2362</v>
      </c>
      <c r="F934" s="81" t="s">
        <v>2274</v>
      </c>
      <c r="G934" s="81" t="s">
        <v>4929</v>
      </c>
      <c r="H934" s="81" t="s">
        <v>2190</v>
      </c>
      <c r="I934" s="81" t="s">
        <v>6238</v>
      </c>
      <c r="J934" s="81" t="s">
        <v>2186</v>
      </c>
      <c r="K934" s="81" t="s">
        <v>6238</v>
      </c>
      <c r="L934" s="81" t="s">
        <v>2392</v>
      </c>
      <c r="M934" s="81" t="s">
        <v>6238</v>
      </c>
      <c r="N934" s="81" t="s">
        <v>2231</v>
      </c>
      <c r="O934" s="81" t="s">
        <v>2187</v>
      </c>
      <c r="P934" s="81" t="s">
        <v>2187</v>
      </c>
      <c r="Q934" s="81" t="s">
        <v>43</v>
      </c>
      <c r="R934" s="81" t="s">
        <v>46</v>
      </c>
      <c r="S934" s="81" t="s">
        <v>46</v>
      </c>
      <c r="T934" s="81" t="s">
        <v>48</v>
      </c>
      <c r="U934" s="81" t="s">
        <v>48</v>
      </c>
      <c r="V934" s="81" t="s">
        <v>48</v>
      </c>
      <c r="W934" s="81" t="s">
        <v>49</v>
      </c>
      <c r="X934" s="81" t="s">
        <v>48</v>
      </c>
      <c r="Y934" s="81" t="s">
        <v>48</v>
      </c>
    </row>
    <row r="935" spans="1:25" x14ac:dyDescent="0.3">
      <c r="A935" s="16">
        <v>780083149888</v>
      </c>
      <c r="B935" s="81" t="s">
        <v>43</v>
      </c>
      <c r="C935" s="81" t="s">
        <v>896</v>
      </c>
      <c r="D935" s="81" t="s">
        <v>45</v>
      </c>
      <c r="E935" s="81" t="s">
        <v>2262</v>
      </c>
      <c r="F935" s="81" t="s">
        <v>2263</v>
      </c>
      <c r="G935" s="81" t="s">
        <v>5219</v>
      </c>
      <c r="H935" s="81" t="s">
        <v>2243</v>
      </c>
      <c r="I935" s="81" t="s">
        <v>5774</v>
      </c>
      <c r="J935" s="81" t="s">
        <v>2186</v>
      </c>
      <c r="K935" s="81" t="s">
        <v>5774</v>
      </c>
      <c r="L935" s="81" t="s">
        <v>2392</v>
      </c>
      <c r="M935" s="81" t="s">
        <v>5774</v>
      </c>
      <c r="N935" s="81" t="s">
        <v>2231</v>
      </c>
      <c r="O935" s="81" t="s">
        <v>2187</v>
      </c>
      <c r="P935" s="81" t="s">
        <v>2187</v>
      </c>
      <c r="Q935" s="81" t="s">
        <v>43</v>
      </c>
      <c r="R935" s="81" t="s">
        <v>46</v>
      </c>
      <c r="S935" s="81" t="s">
        <v>46</v>
      </c>
      <c r="T935" s="81" t="s">
        <v>48</v>
      </c>
      <c r="U935" s="81" t="s">
        <v>48</v>
      </c>
      <c r="V935" s="81" t="s">
        <v>48</v>
      </c>
      <c r="W935" s="81" t="s">
        <v>49</v>
      </c>
      <c r="X935" s="81" t="s">
        <v>48</v>
      </c>
      <c r="Y935" s="81" t="s">
        <v>48</v>
      </c>
    </row>
    <row r="936" spans="1:25" x14ac:dyDescent="0.3">
      <c r="A936" s="16">
        <v>7501008496701</v>
      </c>
      <c r="B936" s="81" t="s">
        <v>43</v>
      </c>
      <c r="C936" s="81" t="s">
        <v>3475</v>
      </c>
      <c r="D936" s="81" t="s">
        <v>45</v>
      </c>
      <c r="E936" s="81" t="s">
        <v>2368</v>
      </c>
      <c r="F936" s="81" t="s">
        <v>2368</v>
      </c>
      <c r="G936" s="81" t="s">
        <v>4557</v>
      </c>
      <c r="H936" s="81" t="s">
        <v>2230</v>
      </c>
      <c r="I936" s="81" t="s">
        <v>2290</v>
      </c>
      <c r="J936" s="81" t="s">
        <v>2186</v>
      </c>
      <c r="K936" s="81" t="s">
        <v>2290</v>
      </c>
      <c r="L936" s="81" t="s">
        <v>2392</v>
      </c>
      <c r="M936" s="81" t="s">
        <v>2290</v>
      </c>
      <c r="N936" s="81" t="s">
        <v>2231</v>
      </c>
      <c r="O936" s="81" t="s">
        <v>2187</v>
      </c>
      <c r="P936" s="81" t="s">
        <v>2187</v>
      </c>
      <c r="Q936" s="81" t="s">
        <v>43</v>
      </c>
      <c r="R936" s="81" t="s">
        <v>203</v>
      </c>
      <c r="S936" s="81" t="s">
        <v>203</v>
      </c>
      <c r="T936" s="81" t="s">
        <v>48</v>
      </c>
      <c r="U936" s="81" t="s">
        <v>48</v>
      </c>
      <c r="V936" s="81" t="s">
        <v>48</v>
      </c>
      <c r="W936" s="81" t="s">
        <v>49</v>
      </c>
      <c r="X936" s="81" t="s">
        <v>48</v>
      </c>
      <c r="Y936" s="81" t="s">
        <v>48</v>
      </c>
    </row>
    <row r="937" spans="1:25" x14ac:dyDescent="0.3">
      <c r="A937" s="16">
        <v>7501088509810</v>
      </c>
      <c r="B937" s="81" t="s">
        <v>43</v>
      </c>
      <c r="C937" s="81" t="s">
        <v>1985</v>
      </c>
      <c r="D937" s="81" t="s">
        <v>45</v>
      </c>
      <c r="E937" s="81" t="s">
        <v>2419</v>
      </c>
      <c r="F937" s="81" t="s">
        <v>2703</v>
      </c>
      <c r="G937" s="81" t="s">
        <v>6239</v>
      </c>
      <c r="H937" s="81" t="s">
        <v>6240</v>
      </c>
      <c r="I937" s="81" t="s">
        <v>6241</v>
      </c>
      <c r="J937" s="81" t="s">
        <v>2186</v>
      </c>
      <c r="K937" s="81" t="s">
        <v>6241</v>
      </c>
      <c r="L937" s="81" t="s">
        <v>2392</v>
      </c>
      <c r="M937" s="81" t="s">
        <v>6241</v>
      </c>
      <c r="N937" s="81" t="s">
        <v>2231</v>
      </c>
      <c r="O937" s="81" t="s">
        <v>2187</v>
      </c>
      <c r="P937" s="81" t="s">
        <v>2187</v>
      </c>
      <c r="Q937" s="81" t="s">
        <v>43</v>
      </c>
      <c r="R937" s="81" t="s">
        <v>374</v>
      </c>
      <c r="S937" s="81" t="s">
        <v>374</v>
      </c>
      <c r="T937" s="81" t="s">
        <v>48</v>
      </c>
      <c r="U937" s="81" t="s">
        <v>48</v>
      </c>
      <c r="V937" s="81" t="s">
        <v>48</v>
      </c>
      <c r="W937" s="81" t="s">
        <v>49</v>
      </c>
      <c r="X937" s="81" t="s">
        <v>48</v>
      </c>
      <c r="Y937" s="81" t="s">
        <v>48</v>
      </c>
    </row>
    <row r="938" spans="1:25" x14ac:dyDescent="0.3">
      <c r="A938" s="16">
        <v>7502208892294</v>
      </c>
      <c r="B938" s="81" t="s">
        <v>43</v>
      </c>
      <c r="C938" s="81" t="s">
        <v>897</v>
      </c>
      <c r="D938" s="81" t="s">
        <v>45</v>
      </c>
      <c r="E938" s="81" t="s">
        <v>2368</v>
      </c>
      <c r="F938" s="81" t="s">
        <v>2308</v>
      </c>
      <c r="G938" s="81" t="s">
        <v>4303</v>
      </c>
      <c r="H938" s="81" t="s">
        <v>2287</v>
      </c>
      <c r="I938" s="81" t="s">
        <v>6242</v>
      </c>
      <c r="J938" s="81" t="s">
        <v>2186</v>
      </c>
      <c r="K938" s="81" t="s">
        <v>6242</v>
      </c>
      <c r="L938" s="81" t="s">
        <v>2392</v>
      </c>
      <c r="M938" s="81" t="s">
        <v>6242</v>
      </c>
      <c r="N938" s="81" t="s">
        <v>2231</v>
      </c>
      <c r="O938" s="81" t="s">
        <v>2187</v>
      </c>
      <c r="P938" s="81" t="s">
        <v>2187</v>
      </c>
      <c r="Q938" s="81" t="s">
        <v>43</v>
      </c>
      <c r="R938" s="81" t="s">
        <v>51</v>
      </c>
      <c r="S938" s="81" t="s">
        <v>81</v>
      </c>
      <c r="T938" s="81" t="s">
        <v>49</v>
      </c>
      <c r="U938" s="81" t="s">
        <v>48</v>
      </c>
      <c r="V938" s="81" t="s">
        <v>48</v>
      </c>
      <c r="W938" s="81" t="s">
        <v>49</v>
      </c>
      <c r="X938" s="81" t="s">
        <v>48</v>
      </c>
      <c r="Y938" s="81" t="s">
        <v>48</v>
      </c>
    </row>
    <row r="939" spans="1:25" x14ac:dyDescent="0.3">
      <c r="A939" s="16">
        <v>7509546073767</v>
      </c>
      <c r="B939" s="81" t="s">
        <v>43</v>
      </c>
      <c r="C939" s="81" t="s">
        <v>898</v>
      </c>
      <c r="D939" s="81" t="s">
        <v>45</v>
      </c>
      <c r="E939" s="81" t="s">
        <v>2368</v>
      </c>
      <c r="F939" s="81" t="s">
        <v>2308</v>
      </c>
      <c r="G939" s="81" t="s">
        <v>3477</v>
      </c>
      <c r="H939" s="81" t="s">
        <v>6243</v>
      </c>
      <c r="I939" s="81" t="s">
        <v>6244</v>
      </c>
      <c r="J939" s="81" t="s">
        <v>2186</v>
      </c>
      <c r="K939" s="81" t="s">
        <v>6244</v>
      </c>
      <c r="L939" s="81" t="s">
        <v>2392</v>
      </c>
      <c r="M939" s="81" t="s">
        <v>6244</v>
      </c>
      <c r="N939" s="81" t="s">
        <v>2231</v>
      </c>
      <c r="O939" s="81" t="s">
        <v>2187</v>
      </c>
      <c r="P939" s="81" t="s">
        <v>2187</v>
      </c>
      <c r="Q939" s="81" t="s">
        <v>43</v>
      </c>
      <c r="R939" s="81" t="s">
        <v>524</v>
      </c>
      <c r="S939" s="81" t="s">
        <v>525</v>
      </c>
      <c r="T939" s="81" t="s">
        <v>48</v>
      </c>
      <c r="U939" s="81" t="s">
        <v>48</v>
      </c>
      <c r="V939" s="81" t="s">
        <v>49</v>
      </c>
      <c r="W939" s="81" t="s">
        <v>48</v>
      </c>
      <c r="X939" s="81" t="s">
        <v>48</v>
      </c>
      <c r="Y939" s="81" t="s">
        <v>48</v>
      </c>
    </row>
    <row r="940" spans="1:25" x14ac:dyDescent="0.3">
      <c r="A940" s="16">
        <v>7509546077284</v>
      </c>
      <c r="B940" s="81" t="s">
        <v>43</v>
      </c>
      <c r="C940" s="81" t="s">
        <v>899</v>
      </c>
      <c r="D940" s="81" t="s">
        <v>45</v>
      </c>
      <c r="E940" s="81" t="s">
        <v>2180</v>
      </c>
      <c r="F940" s="81" t="s">
        <v>2363</v>
      </c>
      <c r="G940" s="81" t="s">
        <v>3478</v>
      </c>
      <c r="H940" s="81" t="s">
        <v>3156</v>
      </c>
      <c r="I940" s="81" t="s">
        <v>3420</v>
      </c>
      <c r="J940" s="81" t="s">
        <v>2186</v>
      </c>
      <c r="K940" s="81" t="s">
        <v>3421</v>
      </c>
      <c r="L940" s="81" t="s">
        <v>2392</v>
      </c>
      <c r="M940" s="81" t="s">
        <v>3479</v>
      </c>
      <c r="N940" s="81" t="s">
        <v>2231</v>
      </c>
      <c r="O940" s="81" t="s">
        <v>2187</v>
      </c>
      <c r="P940" s="81" t="s">
        <v>2187</v>
      </c>
      <c r="Q940" s="81" t="s">
        <v>43</v>
      </c>
      <c r="R940" s="81" t="s">
        <v>524</v>
      </c>
      <c r="S940" s="81" t="s">
        <v>525</v>
      </c>
      <c r="T940" s="81" t="s">
        <v>48</v>
      </c>
      <c r="U940" s="81" t="s">
        <v>48</v>
      </c>
      <c r="V940" s="81" t="s">
        <v>49</v>
      </c>
      <c r="W940" s="81" t="s">
        <v>48</v>
      </c>
      <c r="X940" s="81" t="s">
        <v>48</v>
      </c>
      <c r="Y940" s="81" t="s">
        <v>48</v>
      </c>
    </row>
    <row r="941" spans="1:25" x14ac:dyDescent="0.3">
      <c r="A941" s="16">
        <v>7509546078434</v>
      </c>
      <c r="B941" s="81" t="s">
        <v>43</v>
      </c>
      <c r="C941" s="81" t="s">
        <v>900</v>
      </c>
      <c r="D941" s="81" t="s">
        <v>45</v>
      </c>
      <c r="E941" s="81" t="s">
        <v>2412</v>
      </c>
      <c r="F941" s="81" t="s">
        <v>2412</v>
      </c>
      <c r="G941" s="81" t="s">
        <v>3480</v>
      </c>
      <c r="H941" s="81" t="s">
        <v>3162</v>
      </c>
      <c r="I941" s="81" t="s">
        <v>6111</v>
      </c>
      <c r="J941" s="81" t="s">
        <v>2186</v>
      </c>
      <c r="K941" s="81" t="s">
        <v>6111</v>
      </c>
      <c r="L941" s="81" t="s">
        <v>2392</v>
      </c>
      <c r="M941" s="81" t="s">
        <v>6111</v>
      </c>
      <c r="N941" s="81" t="s">
        <v>2231</v>
      </c>
      <c r="O941" s="81" t="s">
        <v>2187</v>
      </c>
      <c r="P941" s="81" t="s">
        <v>2187</v>
      </c>
      <c r="Q941" s="81" t="s">
        <v>43</v>
      </c>
      <c r="R941" s="81" t="s">
        <v>524</v>
      </c>
      <c r="S941" s="81" t="s">
        <v>525</v>
      </c>
      <c r="T941" s="81" t="s">
        <v>48</v>
      </c>
      <c r="U941" s="81" t="s">
        <v>48</v>
      </c>
      <c r="V941" s="81" t="s">
        <v>49</v>
      </c>
      <c r="W941" s="81" t="s">
        <v>48</v>
      </c>
      <c r="X941" s="81" t="s">
        <v>48</v>
      </c>
      <c r="Y941" s="81" t="s">
        <v>48</v>
      </c>
    </row>
    <row r="942" spans="1:25" x14ac:dyDescent="0.3">
      <c r="A942" s="16">
        <v>70330717534</v>
      </c>
      <c r="B942" s="81" t="s">
        <v>43</v>
      </c>
      <c r="C942" s="81" t="s">
        <v>901</v>
      </c>
      <c r="D942" s="81" t="s">
        <v>45</v>
      </c>
      <c r="E942" s="81" t="s">
        <v>2412</v>
      </c>
      <c r="F942" s="81" t="s">
        <v>2412</v>
      </c>
      <c r="G942" s="81" t="s">
        <v>4548</v>
      </c>
      <c r="H942" s="81" t="s">
        <v>3226</v>
      </c>
      <c r="I942" s="81" t="s">
        <v>2869</v>
      </c>
      <c r="J942" s="81" t="s">
        <v>2186</v>
      </c>
      <c r="K942" s="81" t="s">
        <v>3231</v>
      </c>
      <c r="L942" s="81" t="s">
        <v>2392</v>
      </c>
      <c r="M942" s="81" t="s">
        <v>3738</v>
      </c>
      <c r="N942" s="81" t="s">
        <v>2231</v>
      </c>
      <c r="O942" s="81" t="s">
        <v>2187</v>
      </c>
      <c r="P942" s="81" t="s">
        <v>2187</v>
      </c>
      <c r="Q942" s="81" t="s">
        <v>902</v>
      </c>
      <c r="R942" s="81" t="s">
        <v>524</v>
      </c>
      <c r="S942" s="81" t="s">
        <v>525</v>
      </c>
      <c r="T942" s="81" t="s">
        <v>48</v>
      </c>
      <c r="U942" s="81" t="s">
        <v>48</v>
      </c>
      <c r="V942" s="81" t="s">
        <v>49</v>
      </c>
      <c r="W942" s="81" t="s">
        <v>48</v>
      </c>
      <c r="X942" s="81" t="s">
        <v>48</v>
      </c>
      <c r="Y942" s="81" t="s">
        <v>48</v>
      </c>
    </row>
    <row r="943" spans="1:25" x14ac:dyDescent="0.3">
      <c r="A943" s="16">
        <v>7502009744570</v>
      </c>
      <c r="B943" s="81" t="s">
        <v>43</v>
      </c>
      <c r="C943" s="81" t="s">
        <v>1986</v>
      </c>
      <c r="D943" s="81" t="s">
        <v>45</v>
      </c>
      <c r="E943" s="81" t="s">
        <v>2364</v>
      </c>
      <c r="F943" s="81" t="s">
        <v>2221</v>
      </c>
      <c r="G943" s="81" t="s">
        <v>5162</v>
      </c>
      <c r="H943" s="81" t="s">
        <v>2386</v>
      </c>
      <c r="I943" s="81" t="s">
        <v>5857</v>
      </c>
      <c r="J943" s="81" t="s">
        <v>2186</v>
      </c>
      <c r="K943" s="81" t="s">
        <v>5857</v>
      </c>
      <c r="L943" s="81" t="s">
        <v>2392</v>
      </c>
      <c r="M943" s="81" t="s">
        <v>5857</v>
      </c>
      <c r="N943" s="81" t="s">
        <v>2231</v>
      </c>
      <c r="O943" s="81" t="s">
        <v>2187</v>
      </c>
      <c r="P943" s="81" t="s">
        <v>2187</v>
      </c>
      <c r="Q943" s="81" t="s">
        <v>43</v>
      </c>
      <c r="R943" s="81" t="s">
        <v>46</v>
      </c>
      <c r="S943" s="81" t="s">
        <v>47</v>
      </c>
      <c r="T943" s="81" t="s">
        <v>48</v>
      </c>
      <c r="U943" s="81" t="s">
        <v>48</v>
      </c>
      <c r="V943" s="81" t="s">
        <v>48</v>
      </c>
      <c r="W943" s="81" t="s">
        <v>49</v>
      </c>
      <c r="X943" s="81" t="s">
        <v>48</v>
      </c>
      <c r="Y943" s="81" t="s">
        <v>48</v>
      </c>
    </row>
    <row r="944" spans="1:25" x14ac:dyDescent="0.3">
      <c r="A944" s="16">
        <v>7501573900245</v>
      </c>
      <c r="B944" s="81" t="s">
        <v>43</v>
      </c>
      <c r="C944" s="81" t="s">
        <v>4706</v>
      </c>
      <c r="D944" s="81" t="s">
        <v>45</v>
      </c>
      <c r="E944" s="81" t="s">
        <v>2227</v>
      </c>
      <c r="F944" s="81" t="s">
        <v>2227</v>
      </c>
      <c r="G944" s="81" t="s">
        <v>5194</v>
      </c>
      <c r="H944" s="81" t="s">
        <v>2290</v>
      </c>
      <c r="I944" s="81" t="s">
        <v>5738</v>
      </c>
      <c r="J944" s="81" t="s">
        <v>2186</v>
      </c>
      <c r="K944" s="81" t="s">
        <v>5738</v>
      </c>
      <c r="L944" s="81" t="s">
        <v>2392</v>
      </c>
      <c r="M944" s="81" t="s">
        <v>5738</v>
      </c>
      <c r="N944" s="81" t="s">
        <v>2231</v>
      </c>
      <c r="O944" s="81" t="s">
        <v>2187</v>
      </c>
      <c r="P944" s="81" t="s">
        <v>2187</v>
      </c>
      <c r="Q944" s="81" t="s">
        <v>43</v>
      </c>
      <c r="R944" s="81" t="s">
        <v>46</v>
      </c>
      <c r="S944" s="81" t="s">
        <v>46</v>
      </c>
      <c r="T944" s="81" t="s">
        <v>48</v>
      </c>
      <c r="U944" s="81" t="s">
        <v>48</v>
      </c>
      <c r="V944" s="81" t="s">
        <v>48</v>
      </c>
      <c r="W944" s="81" t="s">
        <v>49</v>
      </c>
      <c r="X944" s="81" t="s">
        <v>48</v>
      </c>
      <c r="Y944" s="81" t="s">
        <v>48</v>
      </c>
    </row>
    <row r="945" spans="1:25" x14ac:dyDescent="0.3">
      <c r="A945" s="16" t="s">
        <v>903</v>
      </c>
      <c r="B945" s="81" t="s">
        <v>43</v>
      </c>
      <c r="C945" s="81" t="s">
        <v>904</v>
      </c>
      <c r="D945" s="81" t="s">
        <v>45</v>
      </c>
      <c r="E945" s="81" t="s">
        <v>2617</v>
      </c>
      <c r="F945" s="81" t="s">
        <v>2422</v>
      </c>
      <c r="G945" s="81" t="s">
        <v>3481</v>
      </c>
      <c r="H945" s="81" t="s">
        <v>2464</v>
      </c>
      <c r="I945" s="81" t="s">
        <v>2385</v>
      </c>
      <c r="J945" s="81" t="s">
        <v>2186</v>
      </c>
      <c r="K945" s="81" t="s">
        <v>2462</v>
      </c>
      <c r="L945" s="81" t="s">
        <v>2392</v>
      </c>
      <c r="M945" s="81" t="s">
        <v>2424</v>
      </c>
      <c r="N945" s="81" t="s">
        <v>2231</v>
      </c>
      <c r="O945" s="81" t="s">
        <v>2187</v>
      </c>
      <c r="P945" s="81" t="s">
        <v>2187</v>
      </c>
      <c r="Q945" s="81" t="s">
        <v>43</v>
      </c>
      <c r="R945" s="81" t="s">
        <v>506</v>
      </c>
      <c r="S945" s="81" t="s">
        <v>506</v>
      </c>
      <c r="T945" s="81" t="s">
        <v>48</v>
      </c>
      <c r="U945" s="81" t="s">
        <v>48</v>
      </c>
      <c r="V945" s="81" t="s">
        <v>48</v>
      </c>
      <c r="W945" s="81" t="s">
        <v>49</v>
      </c>
      <c r="X945" s="81" t="s">
        <v>48</v>
      </c>
      <c r="Y945" s="81" t="s">
        <v>48</v>
      </c>
    </row>
    <row r="946" spans="1:25" x14ac:dyDescent="0.3">
      <c r="A946" s="16">
        <v>75016401</v>
      </c>
      <c r="B946" s="81" t="s">
        <v>43</v>
      </c>
      <c r="C946" s="81" t="s">
        <v>905</v>
      </c>
      <c r="D946" s="81" t="s">
        <v>45</v>
      </c>
      <c r="E946" s="81" t="s">
        <v>2363</v>
      </c>
      <c r="F946" s="81" t="s">
        <v>2606</v>
      </c>
      <c r="G946" s="81" t="s">
        <v>3482</v>
      </c>
      <c r="H946" s="81" t="s">
        <v>2325</v>
      </c>
      <c r="I946" s="81" t="s">
        <v>6180</v>
      </c>
      <c r="J946" s="81" t="s">
        <v>2186</v>
      </c>
      <c r="K946" s="81" t="s">
        <v>6180</v>
      </c>
      <c r="L946" s="81" t="s">
        <v>2392</v>
      </c>
      <c r="M946" s="81" t="s">
        <v>6180</v>
      </c>
      <c r="N946" s="81" t="s">
        <v>2231</v>
      </c>
      <c r="O946" s="81" t="s">
        <v>2187</v>
      </c>
      <c r="P946" s="81" t="s">
        <v>2187</v>
      </c>
      <c r="Q946" s="81" t="s">
        <v>43</v>
      </c>
      <c r="R946" s="81" t="s">
        <v>46</v>
      </c>
      <c r="S946" s="81" t="s">
        <v>46</v>
      </c>
      <c r="T946" s="81" t="s">
        <v>48</v>
      </c>
      <c r="U946" s="81" t="s">
        <v>48</v>
      </c>
      <c r="V946" s="81" t="s">
        <v>48</v>
      </c>
      <c r="W946" s="81" t="s">
        <v>49</v>
      </c>
      <c r="X946" s="81" t="s">
        <v>48</v>
      </c>
      <c r="Y946" s="81" t="s">
        <v>48</v>
      </c>
    </row>
    <row r="947" spans="1:25" x14ac:dyDescent="0.3">
      <c r="A947" s="16">
        <v>7502227427309</v>
      </c>
      <c r="B947" s="81" t="s">
        <v>43</v>
      </c>
      <c r="C947" s="81" t="s">
        <v>1987</v>
      </c>
      <c r="D947" s="81" t="s">
        <v>45</v>
      </c>
      <c r="E947" s="81" t="s">
        <v>2431</v>
      </c>
      <c r="F947" s="81" t="s">
        <v>2432</v>
      </c>
      <c r="G947" s="81" t="s">
        <v>4930</v>
      </c>
      <c r="H947" s="81" t="s">
        <v>2223</v>
      </c>
      <c r="I947" s="81" t="s">
        <v>6245</v>
      </c>
      <c r="J947" s="81" t="s">
        <v>2186</v>
      </c>
      <c r="K947" s="81" t="s">
        <v>6245</v>
      </c>
      <c r="L947" s="81" t="s">
        <v>2392</v>
      </c>
      <c r="M947" s="81" t="s">
        <v>6245</v>
      </c>
      <c r="N947" s="81" t="s">
        <v>2231</v>
      </c>
      <c r="O947" s="81" t="s">
        <v>2187</v>
      </c>
      <c r="P947" s="81" t="s">
        <v>2187</v>
      </c>
      <c r="Q947" s="81" t="s">
        <v>43</v>
      </c>
      <c r="R947" s="81" t="s">
        <v>46</v>
      </c>
      <c r="S947" s="81" t="s">
        <v>46</v>
      </c>
      <c r="T947" s="81" t="s">
        <v>48</v>
      </c>
      <c r="U947" s="81" t="s">
        <v>48</v>
      </c>
      <c r="V947" s="81" t="s">
        <v>48</v>
      </c>
      <c r="W947" s="81" t="s">
        <v>49</v>
      </c>
      <c r="X947" s="81" t="s">
        <v>48</v>
      </c>
      <c r="Y947" s="81" t="s">
        <v>48</v>
      </c>
    </row>
    <row r="948" spans="1:25" x14ac:dyDescent="0.3">
      <c r="A948" s="16">
        <v>7501349022768</v>
      </c>
      <c r="B948" s="81" t="s">
        <v>43</v>
      </c>
      <c r="C948" s="81" t="s">
        <v>906</v>
      </c>
      <c r="D948" s="81" t="s">
        <v>45</v>
      </c>
      <c r="E948" s="81" t="s">
        <v>2364</v>
      </c>
      <c r="F948" s="81" t="s">
        <v>2221</v>
      </c>
      <c r="G948" s="81" t="s">
        <v>3483</v>
      </c>
      <c r="H948" s="81" t="s">
        <v>2441</v>
      </c>
      <c r="I948" s="81" t="s">
        <v>6246</v>
      </c>
      <c r="J948" s="81" t="s">
        <v>2186</v>
      </c>
      <c r="K948" s="81" t="s">
        <v>6246</v>
      </c>
      <c r="L948" s="81" t="s">
        <v>2392</v>
      </c>
      <c r="M948" s="81" t="s">
        <v>6246</v>
      </c>
      <c r="N948" s="81" t="s">
        <v>2231</v>
      </c>
      <c r="O948" s="81" t="s">
        <v>2187</v>
      </c>
      <c r="P948" s="81" t="s">
        <v>2187</v>
      </c>
      <c r="Q948" s="81" t="s">
        <v>43</v>
      </c>
      <c r="R948" s="81" t="s">
        <v>51</v>
      </c>
      <c r="S948" s="81" t="s">
        <v>73</v>
      </c>
      <c r="T948" s="81" t="s">
        <v>49</v>
      </c>
      <c r="U948" s="81" t="s">
        <v>48</v>
      </c>
      <c r="V948" s="81" t="s">
        <v>48</v>
      </c>
      <c r="W948" s="81" t="s">
        <v>49</v>
      </c>
      <c r="X948" s="81" t="s">
        <v>48</v>
      </c>
      <c r="Y948" s="81" t="s">
        <v>48</v>
      </c>
    </row>
    <row r="949" spans="1:25" x14ac:dyDescent="0.3">
      <c r="A949" s="16">
        <v>7502009747168</v>
      </c>
      <c r="B949" s="81" t="s">
        <v>43</v>
      </c>
      <c r="C949" s="81" t="s">
        <v>907</v>
      </c>
      <c r="D949" s="81" t="s">
        <v>45</v>
      </c>
      <c r="E949" s="81" t="s">
        <v>2678</v>
      </c>
      <c r="F949" s="81" t="s">
        <v>2388</v>
      </c>
      <c r="G949" s="81" t="s">
        <v>6247</v>
      </c>
      <c r="H949" s="81" t="s">
        <v>2209</v>
      </c>
      <c r="I949" s="81" t="s">
        <v>5568</v>
      </c>
      <c r="J949" s="81" t="s">
        <v>2186</v>
      </c>
      <c r="K949" s="81" t="s">
        <v>5568</v>
      </c>
      <c r="L949" s="81" t="s">
        <v>2392</v>
      </c>
      <c r="M949" s="81" t="s">
        <v>5568</v>
      </c>
      <c r="N949" s="81" t="s">
        <v>2231</v>
      </c>
      <c r="O949" s="81" t="s">
        <v>2187</v>
      </c>
      <c r="P949" s="81" t="s">
        <v>2187</v>
      </c>
      <c r="Q949" s="81" t="s">
        <v>43</v>
      </c>
      <c r="R949" s="81" t="s">
        <v>46</v>
      </c>
      <c r="S949" s="81" t="s">
        <v>46</v>
      </c>
      <c r="T949" s="81" t="s">
        <v>48</v>
      </c>
      <c r="U949" s="81" t="s">
        <v>48</v>
      </c>
      <c r="V949" s="81" t="s">
        <v>48</v>
      </c>
      <c r="W949" s="81" t="s">
        <v>49</v>
      </c>
      <c r="X949" s="81" t="s">
        <v>48</v>
      </c>
      <c r="Y949" s="81" t="s">
        <v>48</v>
      </c>
    </row>
    <row r="950" spans="1:25" x14ac:dyDescent="0.3">
      <c r="A950" s="16">
        <v>7503003134701</v>
      </c>
      <c r="B950" s="81" t="s">
        <v>43</v>
      </c>
      <c r="C950" s="81" t="s">
        <v>908</v>
      </c>
      <c r="D950" s="81" t="s">
        <v>45</v>
      </c>
      <c r="E950" s="81" t="s">
        <v>2458</v>
      </c>
      <c r="F950" s="81" t="s">
        <v>2439</v>
      </c>
      <c r="G950" s="81" t="s">
        <v>4818</v>
      </c>
      <c r="H950" s="81" t="s">
        <v>2393</v>
      </c>
      <c r="I950" s="81" t="s">
        <v>6248</v>
      </c>
      <c r="J950" s="81" t="s">
        <v>2186</v>
      </c>
      <c r="K950" s="81" t="s">
        <v>6248</v>
      </c>
      <c r="L950" s="81" t="s">
        <v>2392</v>
      </c>
      <c r="M950" s="81" t="s">
        <v>6248</v>
      </c>
      <c r="N950" s="81" t="s">
        <v>2231</v>
      </c>
      <c r="O950" s="81" t="s">
        <v>2187</v>
      </c>
      <c r="P950" s="81" t="s">
        <v>2187</v>
      </c>
      <c r="Q950" s="81" t="s">
        <v>43</v>
      </c>
      <c r="R950" s="81" t="s">
        <v>46</v>
      </c>
      <c r="S950" s="81" t="s">
        <v>46</v>
      </c>
      <c r="T950" s="81" t="s">
        <v>49</v>
      </c>
      <c r="U950" s="81" t="s">
        <v>48</v>
      </c>
      <c r="V950" s="81" t="s">
        <v>48</v>
      </c>
      <c r="W950" s="81" t="s">
        <v>49</v>
      </c>
      <c r="X950" s="81" t="s">
        <v>48</v>
      </c>
      <c r="Y950" s="81" t="s">
        <v>48</v>
      </c>
    </row>
    <row r="951" spans="1:25" x14ac:dyDescent="0.3">
      <c r="A951" s="16">
        <v>7501299300367</v>
      </c>
      <c r="B951" s="81" t="s">
        <v>43</v>
      </c>
      <c r="C951" s="81" t="s">
        <v>4532</v>
      </c>
      <c r="D951" s="81" t="s">
        <v>45</v>
      </c>
      <c r="E951" s="81" t="s">
        <v>2308</v>
      </c>
      <c r="F951" s="81" t="s">
        <v>2179</v>
      </c>
      <c r="G951" s="81" t="s">
        <v>4533</v>
      </c>
      <c r="H951" s="81" t="s">
        <v>2688</v>
      </c>
      <c r="I951" s="81" t="s">
        <v>6249</v>
      </c>
      <c r="J951" s="81" t="s">
        <v>2186</v>
      </c>
      <c r="K951" s="81" t="s">
        <v>6249</v>
      </c>
      <c r="L951" s="81" t="s">
        <v>2392</v>
      </c>
      <c r="M951" s="81" t="s">
        <v>6249</v>
      </c>
      <c r="N951" s="81" t="s">
        <v>2231</v>
      </c>
      <c r="O951" s="81" t="s">
        <v>2187</v>
      </c>
      <c r="P951" s="81" t="s">
        <v>2187</v>
      </c>
      <c r="Q951" s="81" t="s">
        <v>43</v>
      </c>
      <c r="R951" s="81" t="s">
        <v>1142</v>
      </c>
      <c r="S951" s="81" t="s">
        <v>47</v>
      </c>
      <c r="T951" s="81" t="s">
        <v>48</v>
      </c>
      <c r="U951" s="81" t="s">
        <v>48</v>
      </c>
      <c r="V951" s="81" t="s">
        <v>48</v>
      </c>
      <c r="W951" s="81" t="s">
        <v>49</v>
      </c>
      <c r="X951" s="81" t="s">
        <v>48</v>
      </c>
      <c r="Y951" s="81" t="s">
        <v>48</v>
      </c>
    </row>
    <row r="952" spans="1:25" x14ac:dyDescent="0.3">
      <c r="A952" s="16">
        <v>7502208891617</v>
      </c>
      <c r="B952" s="81" t="s">
        <v>43</v>
      </c>
      <c r="C952" s="81" t="s">
        <v>4645</v>
      </c>
      <c r="D952" s="81" t="s">
        <v>45</v>
      </c>
      <c r="E952" s="81" t="s">
        <v>2191</v>
      </c>
      <c r="F952" s="81" t="s">
        <v>2192</v>
      </c>
      <c r="G952" s="81" t="s">
        <v>4300</v>
      </c>
      <c r="H952" s="81" t="s">
        <v>2264</v>
      </c>
      <c r="I952" s="81" t="s">
        <v>6250</v>
      </c>
      <c r="J952" s="81" t="s">
        <v>2186</v>
      </c>
      <c r="K952" s="81" t="s">
        <v>6250</v>
      </c>
      <c r="L952" s="81" t="s">
        <v>2392</v>
      </c>
      <c r="M952" s="81" t="s">
        <v>6250</v>
      </c>
      <c r="N952" s="81" t="s">
        <v>2231</v>
      </c>
      <c r="O952" s="81" t="s">
        <v>2187</v>
      </c>
      <c r="P952" s="81" t="s">
        <v>2187</v>
      </c>
      <c r="Q952" s="81" t="s">
        <v>43</v>
      </c>
      <c r="R952" s="81" t="s">
        <v>51</v>
      </c>
      <c r="S952" s="81" t="s">
        <v>81</v>
      </c>
      <c r="T952" s="81" t="s">
        <v>49</v>
      </c>
      <c r="U952" s="81" t="s">
        <v>48</v>
      </c>
      <c r="V952" s="81" t="s">
        <v>48</v>
      </c>
      <c r="W952" s="81" t="s">
        <v>49</v>
      </c>
      <c r="X952" s="81" t="s">
        <v>48</v>
      </c>
      <c r="Y952" s="81" t="s">
        <v>48</v>
      </c>
    </row>
    <row r="953" spans="1:25" x14ac:dyDescent="0.3">
      <c r="A953" s="16">
        <v>7501128110389</v>
      </c>
      <c r="B953" s="81" t="s">
        <v>43</v>
      </c>
      <c r="C953" s="81" t="s">
        <v>909</v>
      </c>
      <c r="D953" s="81" t="s">
        <v>45</v>
      </c>
      <c r="E953" s="81" t="s">
        <v>2180</v>
      </c>
      <c r="F953" s="81" t="s">
        <v>2298</v>
      </c>
      <c r="G953" s="81" t="s">
        <v>4348</v>
      </c>
      <c r="H953" s="81" t="s">
        <v>2969</v>
      </c>
      <c r="I953" s="81" t="s">
        <v>4012</v>
      </c>
      <c r="J953" s="81" t="s">
        <v>2186</v>
      </c>
      <c r="K953" s="81" t="s">
        <v>4012</v>
      </c>
      <c r="L953" s="81" t="s">
        <v>2392</v>
      </c>
      <c r="M953" s="81" t="s">
        <v>4012</v>
      </c>
      <c r="N953" s="81" t="s">
        <v>2231</v>
      </c>
      <c r="O953" s="81" t="s">
        <v>2187</v>
      </c>
      <c r="P953" s="81" t="s">
        <v>2187</v>
      </c>
      <c r="Q953" s="81" t="s">
        <v>43</v>
      </c>
      <c r="R953" s="81" t="s">
        <v>122</v>
      </c>
      <c r="S953" s="81" t="s">
        <v>123</v>
      </c>
      <c r="T953" s="81" t="s">
        <v>48</v>
      </c>
      <c r="U953" s="81" t="s">
        <v>48</v>
      </c>
      <c r="V953" s="81" t="s">
        <v>49</v>
      </c>
      <c r="W953" s="81" t="s">
        <v>48</v>
      </c>
      <c r="X953" s="81" t="s">
        <v>48</v>
      </c>
      <c r="Y953" s="81" t="s">
        <v>48</v>
      </c>
    </row>
    <row r="954" spans="1:25" x14ac:dyDescent="0.3">
      <c r="A954" s="16">
        <v>7502002462143</v>
      </c>
      <c r="B954" s="81" t="s">
        <v>43</v>
      </c>
      <c r="C954" s="81" t="s">
        <v>910</v>
      </c>
      <c r="D954" s="81" t="s">
        <v>45</v>
      </c>
      <c r="E954" s="81" t="s">
        <v>2458</v>
      </c>
      <c r="F954" s="81" t="s">
        <v>2447</v>
      </c>
      <c r="G954" s="81" t="s">
        <v>3484</v>
      </c>
      <c r="H954" s="81" t="s">
        <v>2743</v>
      </c>
      <c r="I954" s="81" t="s">
        <v>2910</v>
      </c>
      <c r="J954" s="81" t="s">
        <v>2186</v>
      </c>
      <c r="K954" s="81" t="s">
        <v>2560</v>
      </c>
      <c r="L954" s="81" t="s">
        <v>2392</v>
      </c>
      <c r="M954" s="81" t="s">
        <v>2560</v>
      </c>
      <c r="N954" s="81" t="s">
        <v>2231</v>
      </c>
      <c r="O954" s="81" t="s">
        <v>2187</v>
      </c>
      <c r="P954" s="81" t="s">
        <v>2187</v>
      </c>
      <c r="Q954" s="81" t="s">
        <v>43</v>
      </c>
      <c r="R954" s="81" t="s">
        <v>524</v>
      </c>
      <c r="S954" s="81" t="s">
        <v>525</v>
      </c>
      <c r="T954" s="81" t="s">
        <v>48</v>
      </c>
      <c r="U954" s="81" t="s">
        <v>48</v>
      </c>
      <c r="V954" s="81" t="s">
        <v>48</v>
      </c>
      <c r="W954" s="81" t="s">
        <v>49</v>
      </c>
      <c r="X954" s="81" t="s">
        <v>48</v>
      </c>
      <c r="Y954" s="81" t="s">
        <v>48</v>
      </c>
    </row>
    <row r="955" spans="1:25" x14ac:dyDescent="0.3">
      <c r="A955" s="16" t="s">
        <v>911</v>
      </c>
      <c r="B955" s="81" t="s">
        <v>43</v>
      </c>
      <c r="C955" s="81" t="s">
        <v>912</v>
      </c>
      <c r="D955" s="81" t="s">
        <v>45</v>
      </c>
      <c r="E955" s="81" t="s">
        <v>2298</v>
      </c>
      <c r="F955" s="81" t="s">
        <v>2262</v>
      </c>
      <c r="G955" s="81" t="s">
        <v>2489</v>
      </c>
      <c r="H955" s="81" t="s">
        <v>5614</v>
      </c>
      <c r="I955" s="81" t="s">
        <v>6251</v>
      </c>
      <c r="J955" s="81" t="s">
        <v>2186</v>
      </c>
      <c r="K955" s="81" t="s">
        <v>6251</v>
      </c>
      <c r="L955" s="81" t="s">
        <v>2392</v>
      </c>
      <c r="M955" s="81" t="s">
        <v>6251</v>
      </c>
      <c r="N955" s="81" t="s">
        <v>2231</v>
      </c>
      <c r="O955" s="81" t="s">
        <v>2187</v>
      </c>
      <c r="P955" s="81" t="s">
        <v>2187</v>
      </c>
      <c r="Q955" s="81" t="s">
        <v>43</v>
      </c>
      <c r="R955" s="81" t="s">
        <v>46</v>
      </c>
      <c r="S955" s="81" t="s">
        <v>46</v>
      </c>
      <c r="T955" s="81" t="s">
        <v>48</v>
      </c>
      <c r="U955" s="81" t="s">
        <v>48</v>
      </c>
      <c r="V955" s="81" t="s">
        <v>48</v>
      </c>
      <c r="W955" s="81" t="s">
        <v>49</v>
      </c>
      <c r="X955" s="81" t="s">
        <v>48</v>
      </c>
      <c r="Y955" s="81" t="s">
        <v>48</v>
      </c>
    </row>
    <row r="956" spans="1:25" x14ac:dyDescent="0.3">
      <c r="A956" s="16">
        <v>7501050613453</v>
      </c>
      <c r="B956" s="81" t="s">
        <v>43</v>
      </c>
      <c r="C956" s="81" t="s">
        <v>1819</v>
      </c>
      <c r="D956" s="81" t="s">
        <v>45</v>
      </c>
      <c r="E956" s="81" t="s">
        <v>2528</v>
      </c>
      <c r="F956" s="81" t="s">
        <v>2529</v>
      </c>
      <c r="G956" s="81" t="s">
        <v>5163</v>
      </c>
      <c r="H956" s="81" t="s">
        <v>2315</v>
      </c>
      <c r="I956" s="81" t="s">
        <v>6252</v>
      </c>
      <c r="J956" s="81" t="s">
        <v>2186</v>
      </c>
      <c r="K956" s="81" t="s">
        <v>6252</v>
      </c>
      <c r="L956" s="81" t="s">
        <v>2392</v>
      </c>
      <c r="M956" s="81" t="s">
        <v>6252</v>
      </c>
      <c r="N956" s="81" t="s">
        <v>2231</v>
      </c>
      <c r="O956" s="81" t="s">
        <v>2187</v>
      </c>
      <c r="P956" s="81" t="s">
        <v>2187</v>
      </c>
      <c r="Q956" s="81" t="s">
        <v>43</v>
      </c>
      <c r="R956" s="81" t="s">
        <v>203</v>
      </c>
      <c r="S956" s="81" t="s">
        <v>203</v>
      </c>
      <c r="T956" s="81" t="s">
        <v>48</v>
      </c>
      <c r="U956" s="81" t="s">
        <v>48</v>
      </c>
      <c r="V956" s="81" t="s">
        <v>48</v>
      </c>
      <c r="W956" s="81" t="s">
        <v>49</v>
      </c>
      <c r="X956" s="81" t="s">
        <v>48</v>
      </c>
      <c r="Y956" s="81" t="s">
        <v>48</v>
      </c>
    </row>
    <row r="957" spans="1:25" x14ac:dyDescent="0.3">
      <c r="A957" s="16">
        <v>7501349025059</v>
      </c>
      <c r="B957" s="81" t="s">
        <v>43</v>
      </c>
      <c r="C957" s="81" t="s">
        <v>913</v>
      </c>
      <c r="D957" s="81" t="s">
        <v>45</v>
      </c>
      <c r="E957" s="81" t="s">
        <v>2443</v>
      </c>
      <c r="F957" s="81" t="s">
        <v>2512</v>
      </c>
      <c r="G957" s="81" t="s">
        <v>6253</v>
      </c>
      <c r="H957" s="81" t="s">
        <v>2511</v>
      </c>
      <c r="I957" s="81" t="s">
        <v>6254</v>
      </c>
      <c r="J957" s="81" t="s">
        <v>2186</v>
      </c>
      <c r="K957" s="81" t="s">
        <v>6254</v>
      </c>
      <c r="L957" s="81" t="s">
        <v>2392</v>
      </c>
      <c r="M957" s="81" t="s">
        <v>6254</v>
      </c>
      <c r="N957" s="81" t="s">
        <v>2231</v>
      </c>
      <c r="O957" s="81" t="s">
        <v>2187</v>
      </c>
      <c r="P957" s="81" t="s">
        <v>2187</v>
      </c>
      <c r="Q957" s="81" t="s">
        <v>43</v>
      </c>
      <c r="R957" s="81" t="s">
        <v>46</v>
      </c>
      <c r="S957" s="81" t="s">
        <v>46</v>
      </c>
      <c r="T957" s="81" t="s">
        <v>48</v>
      </c>
      <c r="U957" s="81" t="s">
        <v>48</v>
      </c>
      <c r="V957" s="81" t="s">
        <v>48</v>
      </c>
      <c r="W957" s="81" t="s">
        <v>49</v>
      </c>
      <c r="X957" s="81" t="s">
        <v>48</v>
      </c>
      <c r="Y957" s="81" t="s">
        <v>48</v>
      </c>
    </row>
    <row r="958" spans="1:25" x14ac:dyDescent="0.3">
      <c r="A958" s="16">
        <v>7503001007649</v>
      </c>
      <c r="B958" s="81" t="s">
        <v>43</v>
      </c>
      <c r="C958" s="81" t="s">
        <v>914</v>
      </c>
      <c r="D958" s="81" t="s">
        <v>45</v>
      </c>
      <c r="E958" s="81" t="s">
        <v>2308</v>
      </c>
      <c r="F958" s="81" t="s">
        <v>2180</v>
      </c>
      <c r="G958" s="81" t="s">
        <v>3485</v>
      </c>
      <c r="H958" s="81" t="s">
        <v>6255</v>
      </c>
      <c r="I958" s="81" t="s">
        <v>6256</v>
      </c>
      <c r="J958" s="81" t="s">
        <v>2186</v>
      </c>
      <c r="K958" s="81" t="s">
        <v>6256</v>
      </c>
      <c r="L958" s="81" t="s">
        <v>2392</v>
      </c>
      <c r="M958" s="81" t="s">
        <v>6256</v>
      </c>
      <c r="N958" s="81" t="s">
        <v>2231</v>
      </c>
      <c r="O958" s="81" t="s">
        <v>2187</v>
      </c>
      <c r="P958" s="81" t="s">
        <v>2187</v>
      </c>
      <c r="Q958" s="81" t="s">
        <v>43</v>
      </c>
      <c r="R958" s="81" t="s">
        <v>46</v>
      </c>
      <c r="S958" s="81" t="s">
        <v>46</v>
      </c>
      <c r="T958" s="81" t="s">
        <v>48</v>
      </c>
      <c r="U958" s="81" t="s">
        <v>48</v>
      </c>
      <c r="V958" s="81" t="s">
        <v>48</v>
      </c>
      <c r="W958" s="81" t="s">
        <v>49</v>
      </c>
      <c r="X958" s="81" t="s">
        <v>48</v>
      </c>
      <c r="Y958" s="81" t="s">
        <v>48</v>
      </c>
    </row>
    <row r="959" spans="1:25" x14ac:dyDescent="0.3">
      <c r="A959" s="16" t="s">
        <v>915</v>
      </c>
      <c r="B959" s="81" t="s">
        <v>43</v>
      </c>
      <c r="C959" s="81" t="s">
        <v>916</v>
      </c>
      <c r="D959" s="81" t="s">
        <v>45</v>
      </c>
      <c r="E959" s="81" t="s">
        <v>2298</v>
      </c>
      <c r="F959" s="81" t="s">
        <v>2262</v>
      </c>
      <c r="G959" s="81" t="s">
        <v>3486</v>
      </c>
      <c r="H959" s="81" t="s">
        <v>6257</v>
      </c>
      <c r="I959" s="81" t="s">
        <v>6258</v>
      </c>
      <c r="J959" s="81" t="s">
        <v>2186</v>
      </c>
      <c r="K959" s="81" t="s">
        <v>6258</v>
      </c>
      <c r="L959" s="81" t="s">
        <v>2392</v>
      </c>
      <c r="M959" s="81" t="s">
        <v>6258</v>
      </c>
      <c r="N959" s="81" t="s">
        <v>2231</v>
      </c>
      <c r="O959" s="81" t="s">
        <v>2187</v>
      </c>
      <c r="P959" s="81" t="s">
        <v>2187</v>
      </c>
      <c r="Q959" s="81" t="s">
        <v>43</v>
      </c>
      <c r="R959" s="81" t="s">
        <v>51</v>
      </c>
      <c r="S959" s="81" t="s">
        <v>81</v>
      </c>
      <c r="T959" s="81" t="s">
        <v>49</v>
      </c>
      <c r="U959" s="81" t="s">
        <v>48</v>
      </c>
      <c r="V959" s="81" t="s">
        <v>48</v>
      </c>
      <c r="W959" s="81" t="s">
        <v>49</v>
      </c>
      <c r="X959" s="81" t="s">
        <v>48</v>
      </c>
      <c r="Y959" s="81" t="s">
        <v>48</v>
      </c>
    </row>
    <row r="960" spans="1:25" x14ac:dyDescent="0.3">
      <c r="A960" s="16">
        <v>7503000422511</v>
      </c>
      <c r="B960" s="81" t="s">
        <v>43</v>
      </c>
      <c r="C960" s="81" t="s">
        <v>2152</v>
      </c>
      <c r="D960" s="81" t="s">
        <v>45</v>
      </c>
      <c r="E960" s="81" t="s">
        <v>2629</v>
      </c>
      <c r="F960" s="81" t="s">
        <v>2433</v>
      </c>
      <c r="G960" s="81" t="s">
        <v>5343</v>
      </c>
      <c r="H960" s="81" t="s">
        <v>2264</v>
      </c>
      <c r="I960" s="81" t="s">
        <v>5959</v>
      </c>
      <c r="J960" s="81" t="s">
        <v>2186</v>
      </c>
      <c r="K960" s="81" t="s">
        <v>5959</v>
      </c>
      <c r="L960" s="81" t="s">
        <v>2392</v>
      </c>
      <c r="M960" s="81" t="s">
        <v>5959</v>
      </c>
      <c r="N960" s="81" t="s">
        <v>2231</v>
      </c>
      <c r="O960" s="81" t="s">
        <v>2187</v>
      </c>
      <c r="P960" s="81" t="s">
        <v>2187</v>
      </c>
      <c r="Q960" s="81" t="s">
        <v>43</v>
      </c>
      <c r="R960" s="81" t="s">
        <v>51</v>
      </c>
      <c r="S960" s="81" t="s">
        <v>81</v>
      </c>
      <c r="T960" s="81" t="s">
        <v>49</v>
      </c>
      <c r="U960" s="81" t="s">
        <v>48</v>
      </c>
      <c r="V960" s="81" t="s">
        <v>48</v>
      </c>
      <c r="W960" s="81" t="s">
        <v>49</v>
      </c>
      <c r="X960" s="81" t="s">
        <v>48</v>
      </c>
      <c r="Y960" s="81" t="s">
        <v>48</v>
      </c>
    </row>
    <row r="961" spans="1:25" x14ac:dyDescent="0.3">
      <c r="A961" s="16">
        <v>7501573906469</v>
      </c>
      <c r="B961" s="81" t="s">
        <v>43</v>
      </c>
      <c r="C961" s="81" t="s">
        <v>917</v>
      </c>
      <c r="D961" s="81" t="s">
        <v>45</v>
      </c>
      <c r="E961" s="81" t="s">
        <v>2477</v>
      </c>
      <c r="F961" s="81" t="s">
        <v>3487</v>
      </c>
      <c r="G961" s="81" t="s">
        <v>3488</v>
      </c>
      <c r="H961" s="81" t="s">
        <v>2193</v>
      </c>
      <c r="I961" s="81" t="s">
        <v>2367</v>
      </c>
      <c r="J961" s="81" t="s">
        <v>2186</v>
      </c>
      <c r="K961" s="81" t="s">
        <v>2209</v>
      </c>
      <c r="L961" s="81" t="s">
        <v>2392</v>
      </c>
      <c r="M961" s="81" t="s">
        <v>3489</v>
      </c>
      <c r="N961" s="81" t="s">
        <v>2231</v>
      </c>
      <c r="O961" s="81" t="s">
        <v>2187</v>
      </c>
      <c r="P961" s="81" t="s">
        <v>2187</v>
      </c>
      <c r="Q961" s="81" t="s">
        <v>43</v>
      </c>
      <c r="R961" s="81" t="s">
        <v>46</v>
      </c>
      <c r="S961" s="81" t="s">
        <v>46</v>
      </c>
      <c r="T961" s="81" t="s">
        <v>48</v>
      </c>
      <c r="U961" s="81" t="s">
        <v>48</v>
      </c>
      <c r="V961" s="81" t="s">
        <v>48</v>
      </c>
      <c r="W961" s="81" t="s">
        <v>49</v>
      </c>
      <c r="X961" s="81" t="s">
        <v>48</v>
      </c>
      <c r="Y961" s="81" t="s">
        <v>48</v>
      </c>
    </row>
    <row r="962" spans="1:25" x14ac:dyDescent="0.3">
      <c r="A962" s="16">
        <v>7502009746321</v>
      </c>
      <c r="B962" s="81" t="s">
        <v>43</v>
      </c>
      <c r="C962" s="81" t="s">
        <v>918</v>
      </c>
      <c r="D962" s="81" t="s">
        <v>45</v>
      </c>
      <c r="E962" s="81" t="s">
        <v>2248</v>
      </c>
      <c r="F962" s="81" t="s">
        <v>2249</v>
      </c>
      <c r="G962" s="81" t="s">
        <v>4348</v>
      </c>
      <c r="H962" s="81" t="s">
        <v>2416</v>
      </c>
      <c r="I962" s="81" t="s">
        <v>6259</v>
      </c>
      <c r="J962" s="81" t="s">
        <v>2186</v>
      </c>
      <c r="K962" s="81" t="s">
        <v>6259</v>
      </c>
      <c r="L962" s="81" t="s">
        <v>2392</v>
      </c>
      <c r="M962" s="81" t="s">
        <v>6259</v>
      </c>
      <c r="N962" s="81" t="s">
        <v>2231</v>
      </c>
      <c r="O962" s="81" t="s">
        <v>2187</v>
      </c>
      <c r="P962" s="81" t="s">
        <v>2187</v>
      </c>
      <c r="Q962" s="81" t="s">
        <v>43</v>
      </c>
      <c r="R962" s="81" t="s">
        <v>468</v>
      </c>
      <c r="S962" s="81" t="s">
        <v>46</v>
      </c>
      <c r="T962" s="81" t="s">
        <v>48</v>
      </c>
      <c r="U962" s="81" t="s">
        <v>48</v>
      </c>
      <c r="V962" s="81" t="s">
        <v>48</v>
      </c>
      <c r="W962" s="81" t="s">
        <v>49</v>
      </c>
      <c r="X962" s="81" t="s">
        <v>48</v>
      </c>
      <c r="Y962" s="81" t="s">
        <v>48</v>
      </c>
    </row>
    <row r="963" spans="1:25" x14ac:dyDescent="0.3">
      <c r="A963" s="16">
        <v>75016418</v>
      </c>
      <c r="B963" s="81" t="s">
        <v>43</v>
      </c>
      <c r="C963" s="81" t="s">
        <v>919</v>
      </c>
      <c r="D963" s="81" t="s">
        <v>45</v>
      </c>
      <c r="E963" s="81" t="s">
        <v>2216</v>
      </c>
      <c r="F963" s="81" t="s">
        <v>3490</v>
      </c>
      <c r="G963" s="81" t="s">
        <v>5033</v>
      </c>
      <c r="H963" s="81" t="s">
        <v>2474</v>
      </c>
      <c r="I963" s="81" t="s">
        <v>5596</v>
      </c>
      <c r="J963" s="81" t="s">
        <v>2186</v>
      </c>
      <c r="K963" s="81" t="s">
        <v>5596</v>
      </c>
      <c r="L963" s="81" t="s">
        <v>2392</v>
      </c>
      <c r="M963" s="81" t="s">
        <v>5596</v>
      </c>
      <c r="N963" s="81" t="s">
        <v>2231</v>
      </c>
      <c r="O963" s="81" t="s">
        <v>2187</v>
      </c>
      <c r="P963" s="81" t="s">
        <v>2187</v>
      </c>
      <c r="Q963" s="81" t="s">
        <v>43</v>
      </c>
      <c r="R963" s="81" t="s">
        <v>203</v>
      </c>
      <c r="S963" s="81" t="s">
        <v>203</v>
      </c>
      <c r="T963" s="81" t="s">
        <v>48</v>
      </c>
      <c r="U963" s="81" t="s">
        <v>48</v>
      </c>
      <c r="V963" s="81" t="s">
        <v>48</v>
      </c>
      <c r="W963" s="81" t="s">
        <v>49</v>
      </c>
      <c r="X963" s="81" t="s">
        <v>48</v>
      </c>
      <c r="Y963" s="81" t="s">
        <v>48</v>
      </c>
    </row>
    <row r="964" spans="1:25" x14ac:dyDescent="0.3">
      <c r="A964" s="16">
        <v>7506425603589</v>
      </c>
      <c r="B964" s="81" t="s">
        <v>43</v>
      </c>
      <c r="C964" s="81" t="s">
        <v>920</v>
      </c>
      <c r="D964" s="81" t="s">
        <v>45</v>
      </c>
      <c r="E964" s="81" t="s">
        <v>2180</v>
      </c>
      <c r="F964" s="81" t="s">
        <v>2363</v>
      </c>
      <c r="G964" s="81" t="s">
        <v>3491</v>
      </c>
      <c r="H964" s="81" t="s">
        <v>5263</v>
      </c>
      <c r="I964" s="81" t="s">
        <v>6260</v>
      </c>
      <c r="J964" s="81" t="s">
        <v>2186</v>
      </c>
      <c r="K964" s="81" t="s">
        <v>6260</v>
      </c>
      <c r="L964" s="81" t="s">
        <v>2392</v>
      </c>
      <c r="M964" s="81" t="s">
        <v>6260</v>
      </c>
      <c r="N964" s="81" t="s">
        <v>2231</v>
      </c>
      <c r="O964" s="81" t="s">
        <v>2187</v>
      </c>
      <c r="P964" s="81" t="s">
        <v>2187</v>
      </c>
      <c r="Q964" s="81" t="s">
        <v>43</v>
      </c>
      <c r="R964" s="81" t="s">
        <v>524</v>
      </c>
      <c r="S964" s="81" t="s">
        <v>525</v>
      </c>
      <c r="T964" s="81" t="s">
        <v>48</v>
      </c>
      <c r="U964" s="81" t="s">
        <v>48</v>
      </c>
      <c r="V964" s="81" t="s">
        <v>49</v>
      </c>
      <c r="W964" s="81" t="s">
        <v>48</v>
      </c>
      <c r="X964" s="81" t="s">
        <v>48</v>
      </c>
      <c r="Y964" s="81" t="s">
        <v>48</v>
      </c>
    </row>
    <row r="965" spans="1:25" x14ac:dyDescent="0.3">
      <c r="A965" s="16">
        <v>7501943493698</v>
      </c>
      <c r="B965" s="81" t="s">
        <v>43</v>
      </c>
      <c r="C965" s="81" t="s">
        <v>921</v>
      </c>
      <c r="D965" s="81" t="s">
        <v>45</v>
      </c>
      <c r="E965" s="81" t="s">
        <v>2308</v>
      </c>
      <c r="F965" s="81" t="s">
        <v>2179</v>
      </c>
      <c r="G965" s="81" t="s">
        <v>3493</v>
      </c>
      <c r="H965" s="81" t="s">
        <v>3494</v>
      </c>
      <c r="I965" s="81" t="s">
        <v>6261</v>
      </c>
      <c r="J965" s="81" t="s">
        <v>2186</v>
      </c>
      <c r="K965" s="81" t="s">
        <v>6261</v>
      </c>
      <c r="L965" s="81" t="s">
        <v>2392</v>
      </c>
      <c r="M965" s="81" t="s">
        <v>6261</v>
      </c>
      <c r="N965" s="81" t="s">
        <v>2231</v>
      </c>
      <c r="O965" s="81" t="s">
        <v>2187</v>
      </c>
      <c r="P965" s="81" t="s">
        <v>2187</v>
      </c>
      <c r="Q965" s="81" t="s">
        <v>43</v>
      </c>
      <c r="R965" s="81" t="s">
        <v>524</v>
      </c>
      <c r="S965" s="81" t="s">
        <v>525</v>
      </c>
      <c r="T965" s="81" t="s">
        <v>48</v>
      </c>
      <c r="U965" s="81" t="s">
        <v>48</v>
      </c>
      <c r="V965" s="81" t="s">
        <v>49</v>
      </c>
      <c r="W965" s="81" t="s">
        <v>48</v>
      </c>
      <c r="X965" s="81" t="s">
        <v>48</v>
      </c>
      <c r="Y965" s="81" t="s">
        <v>48</v>
      </c>
    </row>
    <row r="966" spans="1:25" x14ac:dyDescent="0.3">
      <c r="A966" s="16">
        <v>7502216791602</v>
      </c>
      <c r="B966" s="81" t="s">
        <v>43</v>
      </c>
      <c r="C966" s="81" t="s">
        <v>3495</v>
      </c>
      <c r="D966" s="81" t="s">
        <v>45</v>
      </c>
      <c r="E966" s="81" t="s">
        <v>2645</v>
      </c>
      <c r="F966" s="81" t="s">
        <v>2431</v>
      </c>
      <c r="G966" s="81" t="s">
        <v>5409</v>
      </c>
      <c r="H966" s="81" t="s">
        <v>2230</v>
      </c>
      <c r="I966" s="81" t="s">
        <v>5697</v>
      </c>
      <c r="J966" s="81" t="s">
        <v>2186</v>
      </c>
      <c r="K966" s="81" t="s">
        <v>5697</v>
      </c>
      <c r="L966" s="81" t="s">
        <v>2392</v>
      </c>
      <c r="M966" s="81" t="s">
        <v>5697</v>
      </c>
      <c r="N966" s="81" t="s">
        <v>2231</v>
      </c>
      <c r="O966" s="81" t="s">
        <v>2187</v>
      </c>
      <c r="P966" s="81" t="s">
        <v>2187</v>
      </c>
      <c r="Q966" s="81" t="s">
        <v>43</v>
      </c>
      <c r="R966" s="81" t="s">
        <v>46</v>
      </c>
      <c r="S966" s="81" t="s">
        <v>47</v>
      </c>
      <c r="T966" s="81" t="s">
        <v>48</v>
      </c>
      <c r="U966" s="81" t="s">
        <v>48</v>
      </c>
      <c r="V966" s="81" t="s">
        <v>48</v>
      </c>
      <c r="W966" s="81" t="s">
        <v>49</v>
      </c>
      <c r="X966" s="81" t="s">
        <v>48</v>
      </c>
      <c r="Y966" s="81" t="s">
        <v>48</v>
      </c>
    </row>
    <row r="967" spans="1:25" x14ac:dyDescent="0.3">
      <c r="A967" s="16">
        <v>7502009744853</v>
      </c>
      <c r="B967" s="81" t="s">
        <v>43</v>
      </c>
      <c r="C967" s="81" t="s">
        <v>922</v>
      </c>
      <c r="D967" s="81" t="s">
        <v>45</v>
      </c>
      <c r="E967" s="81" t="s">
        <v>2364</v>
      </c>
      <c r="F967" s="81" t="s">
        <v>2221</v>
      </c>
      <c r="G967" s="81" t="s">
        <v>3496</v>
      </c>
      <c r="H967" s="81" t="s">
        <v>2424</v>
      </c>
      <c r="I967" s="81" t="s">
        <v>6262</v>
      </c>
      <c r="J967" s="81" t="s">
        <v>2186</v>
      </c>
      <c r="K967" s="81" t="s">
        <v>6262</v>
      </c>
      <c r="L967" s="81" t="s">
        <v>2392</v>
      </c>
      <c r="M967" s="81" t="s">
        <v>6262</v>
      </c>
      <c r="N967" s="81" t="s">
        <v>2231</v>
      </c>
      <c r="O967" s="81" t="s">
        <v>2187</v>
      </c>
      <c r="P967" s="81" t="s">
        <v>2187</v>
      </c>
      <c r="Q967" s="81" t="s">
        <v>43</v>
      </c>
      <c r="R967" s="81" t="s">
        <v>46</v>
      </c>
      <c r="S967" s="81" t="s">
        <v>46</v>
      </c>
      <c r="T967" s="81" t="s">
        <v>48</v>
      </c>
      <c r="U967" s="81" t="s">
        <v>48</v>
      </c>
      <c r="V967" s="81" t="s">
        <v>48</v>
      </c>
      <c r="W967" s="81" t="s">
        <v>49</v>
      </c>
      <c r="X967" s="81" t="s">
        <v>48</v>
      </c>
      <c r="Y967" s="81" t="s">
        <v>48</v>
      </c>
    </row>
    <row r="968" spans="1:25" x14ac:dyDescent="0.3">
      <c r="A968" s="16">
        <v>7502216808362</v>
      </c>
      <c r="B968" s="81" t="s">
        <v>43</v>
      </c>
      <c r="C968" s="81" t="s">
        <v>923</v>
      </c>
      <c r="D968" s="81" t="s">
        <v>45</v>
      </c>
      <c r="E968" s="81" t="s">
        <v>2465</v>
      </c>
      <c r="F968" s="81" t="s">
        <v>2257</v>
      </c>
      <c r="G968" s="81" t="s">
        <v>5220</v>
      </c>
      <c r="H968" s="81" t="s">
        <v>2993</v>
      </c>
      <c r="I968" s="81" t="s">
        <v>6263</v>
      </c>
      <c r="J968" s="81" t="s">
        <v>2186</v>
      </c>
      <c r="K968" s="81" t="s">
        <v>6263</v>
      </c>
      <c r="L968" s="81" t="s">
        <v>2392</v>
      </c>
      <c r="M968" s="81" t="s">
        <v>6263</v>
      </c>
      <c r="N968" s="81" t="s">
        <v>2231</v>
      </c>
      <c r="O968" s="81" t="s">
        <v>2187</v>
      </c>
      <c r="P968" s="81" t="s">
        <v>2187</v>
      </c>
      <c r="Q968" s="81" t="s">
        <v>43</v>
      </c>
      <c r="R968" s="81" t="s">
        <v>46</v>
      </c>
      <c r="S968" s="81" t="s">
        <v>47</v>
      </c>
      <c r="T968" s="81" t="s">
        <v>48</v>
      </c>
      <c r="U968" s="81" t="s">
        <v>48</v>
      </c>
      <c r="V968" s="81" t="s">
        <v>48</v>
      </c>
      <c r="W968" s="81" t="s">
        <v>49</v>
      </c>
      <c r="X968" s="81" t="s">
        <v>48</v>
      </c>
      <c r="Y968" s="81" t="s">
        <v>48</v>
      </c>
    </row>
    <row r="969" spans="1:25" x14ac:dyDescent="0.3">
      <c r="A969" s="16">
        <v>7502216792920</v>
      </c>
      <c r="B969" s="81" t="s">
        <v>43</v>
      </c>
      <c r="C969" s="81" t="s">
        <v>924</v>
      </c>
      <c r="D969" s="81" t="s">
        <v>45</v>
      </c>
      <c r="E969" s="81" t="s">
        <v>2404</v>
      </c>
      <c r="F969" s="81" t="s">
        <v>2253</v>
      </c>
      <c r="G969" s="81" t="s">
        <v>6264</v>
      </c>
      <c r="H969" s="81" t="s">
        <v>6265</v>
      </c>
      <c r="I969" s="81" t="s">
        <v>6266</v>
      </c>
      <c r="J969" s="81" t="s">
        <v>2186</v>
      </c>
      <c r="K969" s="81" t="s">
        <v>6266</v>
      </c>
      <c r="L969" s="81" t="s">
        <v>2392</v>
      </c>
      <c r="M969" s="81" t="s">
        <v>6266</v>
      </c>
      <c r="N969" s="81" t="s">
        <v>2231</v>
      </c>
      <c r="O969" s="81" t="s">
        <v>2187</v>
      </c>
      <c r="P969" s="81" t="s">
        <v>2187</v>
      </c>
      <c r="Q969" s="81" t="s">
        <v>43</v>
      </c>
      <c r="R969" s="81" t="s">
        <v>203</v>
      </c>
      <c r="S969" s="81" t="s">
        <v>203</v>
      </c>
      <c r="T969" s="81" t="s">
        <v>48</v>
      </c>
      <c r="U969" s="81" t="s">
        <v>48</v>
      </c>
      <c r="V969" s="81" t="s">
        <v>48</v>
      </c>
      <c r="W969" s="81" t="s">
        <v>49</v>
      </c>
      <c r="X969" s="81" t="s">
        <v>48</v>
      </c>
      <c r="Y969" s="81" t="s">
        <v>48</v>
      </c>
    </row>
    <row r="970" spans="1:25" x14ac:dyDescent="0.3">
      <c r="A970" s="16">
        <v>7503003134268</v>
      </c>
      <c r="B970" s="81" t="s">
        <v>43</v>
      </c>
      <c r="C970" s="81" t="s">
        <v>925</v>
      </c>
      <c r="D970" s="81" t="s">
        <v>45</v>
      </c>
      <c r="E970" s="81" t="s">
        <v>2616</v>
      </c>
      <c r="F970" s="81" t="s">
        <v>2471</v>
      </c>
      <c r="G970" s="81" t="s">
        <v>6267</v>
      </c>
      <c r="H970" s="81" t="s">
        <v>2190</v>
      </c>
      <c r="I970" s="81" t="s">
        <v>5624</v>
      </c>
      <c r="J970" s="81" t="s">
        <v>2186</v>
      </c>
      <c r="K970" s="81" t="s">
        <v>5624</v>
      </c>
      <c r="L970" s="81" t="s">
        <v>2392</v>
      </c>
      <c r="M970" s="81" t="s">
        <v>5624</v>
      </c>
      <c r="N970" s="81" t="s">
        <v>2231</v>
      </c>
      <c r="O970" s="81" t="s">
        <v>2187</v>
      </c>
      <c r="P970" s="81" t="s">
        <v>2187</v>
      </c>
      <c r="Q970" s="81" t="s">
        <v>43</v>
      </c>
      <c r="R970" s="81" t="s">
        <v>51</v>
      </c>
      <c r="S970" s="81" t="s">
        <v>47</v>
      </c>
      <c r="T970" s="81" t="s">
        <v>49</v>
      </c>
      <c r="U970" s="81" t="s">
        <v>48</v>
      </c>
      <c r="V970" s="81" t="s">
        <v>48</v>
      </c>
      <c r="W970" s="81" t="s">
        <v>49</v>
      </c>
      <c r="X970" s="81" t="s">
        <v>48</v>
      </c>
      <c r="Y970" s="81" t="s">
        <v>48</v>
      </c>
    </row>
    <row r="971" spans="1:25" x14ac:dyDescent="0.3">
      <c r="A971" s="16">
        <v>7791293032153</v>
      </c>
      <c r="B971" s="81" t="s">
        <v>43</v>
      </c>
      <c r="C971" s="81" t="s">
        <v>926</v>
      </c>
      <c r="D971" s="81" t="s">
        <v>45</v>
      </c>
      <c r="E971" s="81" t="s">
        <v>2313</v>
      </c>
      <c r="F971" s="81" t="s">
        <v>2352</v>
      </c>
      <c r="G971" s="81" t="s">
        <v>3478</v>
      </c>
      <c r="H971" s="81" t="s">
        <v>3657</v>
      </c>
      <c r="I971" s="81" t="s">
        <v>6268</v>
      </c>
      <c r="J971" s="81" t="s">
        <v>2186</v>
      </c>
      <c r="K971" s="81" t="s">
        <v>6268</v>
      </c>
      <c r="L971" s="81" t="s">
        <v>2392</v>
      </c>
      <c r="M971" s="81" t="s">
        <v>6268</v>
      </c>
      <c r="N971" s="81" t="s">
        <v>2231</v>
      </c>
      <c r="O971" s="81" t="s">
        <v>2187</v>
      </c>
      <c r="P971" s="81" t="s">
        <v>2187</v>
      </c>
      <c r="Q971" s="81" t="s">
        <v>43</v>
      </c>
      <c r="R971" s="81" t="s">
        <v>524</v>
      </c>
      <c r="S971" s="81" t="s">
        <v>525</v>
      </c>
      <c r="T971" s="81" t="s">
        <v>48</v>
      </c>
      <c r="U971" s="81" t="s">
        <v>48</v>
      </c>
      <c r="V971" s="81" t="s">
        <v>49</v>
      </c>
      <c r="W971" s="81" t="s">
        <v>48</v>
      </c>
      <c r="X971" s="81" t="s">
        <v>48</v>
      </c>
      <c r="Y971" s="81" t="s">
        <v>48</v>
      </c>
    </row>
    <row r="972" spans="1:25" x14ac:dyDescent="0.3">
      <c r="A972" s="16">
        <v>7506306202832</v>
      </c>
      <c r="B972" s="81" t="s">
        <v>43</v>
      </c>
      <c r="C972" s="81" t="s">
        <v>927</v>
      </c>
      <c r="D972" s="81" t="s">
        <v>45</v>
      </c>
      <c r="E972" s="81" t="s">
        <v>2313</v>
      </c>
      <c r="F972" s="81" t="s">
        <v>2352</v>
      </c>
      <c r="G972" s="81" t="s">
        <v>4839</v>
      </c>
      <c r="H972" s="81" t="s">
        <v>3657</v>
      </c>
      <c r="I972" s="81" t="s">
        <v>6269</v>
      </c>
      <c r="J972" s="81" t="s">
        <v>2186</v>
      </c>
      <c r="K972" s="81" t="s">
        <v>6269</v>
      </c>
      <c r="L972" s="81" t="s">
        <v>2392</v>
      </c>
      <c r="M972" s="81" t="s">
        <v>6269</v>
      </c>
      <c r="N972" s="81" t="s">
        <v>2231</v>
      </c>
      <c r="O972" s="81" t="s">
        <v>2187</v>
      </c>
      <c r="P972" s="81" t="s">
        <v>2187</v>
      </c>
      <c r="Q972" s="81" t="s">
        <v>43</v>
      </c>
      <c r="R972" s="81" t="s">
        <v>524</v>
      </c>
      <c r="S972" s="81" t="s">
        <v>525</v>
      </c>
      <c r="T972" s="81" t="s">
        <v>48</v>
      </c>
      <c r="U972" s="81" t="s">
        <v>48</v>
      </c>
      <c r="V972" s="81" t="s">
        <v>49</v>
      </c>
      <c r="W972" s="81" t="s">
        <v>48</v>
      </c>
      <c r="X972" s="81" t="s">
        <v>48</v>
      </c>
      <c r="Y972" s="81" t="s">
        <v>48</v>
      </c>
    </row>
    <row r="973" spans="1:25" x14ac:dyDescent="0.3">
      <c r="A973" s="16">
        <v>7506306226722</v>
      </c>
      <c r="B973" s="81" t="s">
        <v>43</v>
      </c>
      <c r="C973" s="81" t="s">
        <v>928</v>
      </c>
      <c r="D973" s="81" t="s">
        <v>45</v>
      </c>
      <c r="E973" s="81" t="s">
        <v>2313</v>
      </c>
      <c r="F973" s="81" t="s">
        <v>2352</v>
      </c>
      <c r="G973" s="81" t="s">
        <v>5414</v>
      </c>
      <c r="H973" s="81" t="s">
        <v>3134</v>
      </c>
      <c r="I973" s="81" t="s">
        <v>6270</v>
      </c>
      <c r="J973" s="81" t="s">
        <v>2186</v>
      </c>
      <c r="K973" s="81" t="s">
        <v>6270</v>
      </c>
      <c r="L973" s="81" t="s">
        <v>2392</v>
      </c>
      <c r="M973" s="81" t="s">
        <v>6270</v>
      </c>
      <c r="N973" s="81" t="s">
        <v>2231</v>
      </c>
      <c r="O973" s="81" t="s">
        <v>2187</v>
      </c>
      <c r="P973" s="81" t="s">
        <v>2187</v>
      </c>
      <c r="Q973" s="81" t="s">
        <v>43</v>
      </c>
      <c r="R973" s="81" t="s">
        <v>524</v>
      </c>
      <c r="S973" s="81" t="s">
        <v>525</v>
      </c>
      <c r="T973" s="81" t="s">
        <v>48</v>
      </c>
      <c r="U973" s="81" t="s">
        <v>48</v>
      </c>
      <c r="V973" s="81" t="s">
        <v>49</v>
      </c>
      <c r="W973" s="81" t="s">
        <v>48</v>
      </c>
      <c r="X973" s="81" t="s">
        <v>48</v>
      </c>
      <c r="Y973" s="81" t="s">
        <v>48</v>
      </c>
    </row>
    <row r="974" spans="1:25" x14ac:dyDescent="0.3">
      <c r="A974" s="16">
        <v>7791293025810</v>
      </c>
      <c r="B974" s="81" t="s">
        <v>43</v>
      </c>
      <c r="C974" s="81" t="s">
        <v>929</v>
      </c>
      <c r="D974" s="81" t="s">
        <v>45</v>
      </c>
      <c r="E974" s="81" t="s">
        <v>2313</v>
      </c>
      <c r="F974" s="81" t="s">
        <v>2352</v>
      </c>
      <c r="G974" s="81" t="s">
        <v>6271</v>
      </c>
      <c r="H974" s="81" t="s">
        <v>3657</v>
      </c>
      <c r="I974" s="81" t="s">
        <v>6269</v>
      </c>
      <c r="J974" s="81" t="s">
        <v>2186</v>
      </c>
      <c r="K974" s="81" t="s">
        <v>6269</v>
      </c>
      <c r="L974" s="81" t="s">
        <v>2392</v>
      </c>
      <c r="M974" s="81" t="s">
        <v>6269</v>
      </c>
      <c r="N974" s="81" t="s">
        <v>2231</v>
      </c>
      <c r="O974" s="81" t="s">
        <v>2187</v>
      </c>
      <c r="P974" s="81" t="s">
        <v>2187</v>
      </c>
      <c r="Q974" s="81" t="s">
        <v>43</v>
      </c>
      <c r="R974" s="81" t="s">
        <v>524</v>
      </c>
      <c r="S974" s="81" t="s">
        <v>525</v>
      </c>
      <c r="T974" s="81" t="s">
        <v>48</v>
      </c>
      <c r="U974" s="81" t="s">
        <v>48</v>
      </c>
      <c r="V974" s="81" t="s">
        <v>49</v>
      </c>
      <c r="W974" s="81" t="s">
        <v>48</v>
      </c>
      <c r="X974" s="81" t="s">
        <v>48</v>
      </c>
      <c r="Y974" s="81" t="s">
        <v>48</v>
      </c>
    </row>
    <row r="975" spans="1:25" x14ac:dyDescent="0.3">
      <c r="A975" s="16">
        <v>7502009744440</v>
      </c>
      <c r="B975" s="81" t="s">
        <v>43</v>
      </c>
      <c r="C975" s="81" t="s">
        <v>930</v>
      </c>
      <c r="D975" s="81" t="s">
        <v>45</v>
      </c>
      <c r="E975" s="81" t="s">
        <v>2457</v>
      </c>
      <c r="F975" s="81" t="s">
        <v>2645</v>
      </c>
      <c r="G975" s="81" t="s">
        <v>5187</v>
      </c>
      <c r="H975" s="81" t="s">
        <v>6272</v>
      </c>
      <c r="I975" s="81" t="s">
        <v>6273</v>
      </c>
      <c r="J975" s="81" t="s">
        <v>2186</v>
      </c>
      <c r="K975" s="81" t="s">
        <v>6273</v>
      </c>
      <c r="L975" s="81" t="s">
        <v>2392</v>
      </c>
      <c r="M975" s="81" t="s">
        <v>6273</v>
      </c>
      <c r="N975" s="81" t="s">
        <v>2231</v>
      </c>
      <c r="O975" s="81" t="s">
        <v>2187</v>
      </c>
      <c r="P975" s="81" t="s">
        <v>2187</v>
      </c>
      <c r="Q975" s="81" t="s">
        <v>43</v>
      </c>
      <c r="R975" s="81" t="s">
        <v>46</v>
      </c>
      <c r="S975" s="81" t="s">
        <v>46</v>
      </c>
      <c r="T975" s="81" t="s">
        <v>48</v>
      </c>
      <c r="U975" s="81" t="s">
        <v>48</v>
      </c>
      <c r="V975" s="81" t="s">
        <v>48</v>
      </c>
      <c r="W975" s="81" t="s">
        <v>49</v>
      </c>
      <c r="X975" s="81" t="s">
        <v>48</v>
      </c>
      <c r="Y975" s="81" t="s">
        <v>48</v>
      </c>
    </row>
    <row r="976" spans="1:25" x14ac:dyDescent="0.3">
      <c r="A976" s="16">
        <v>7502009747779</v>
      </c>
      <c r="B976" s="81" t="s">
        <v>43</v>
      </c>
      <c r="C976" s="81" t="s">
        <v>931</v>
      </c>
      <c r="D976" s="81" t="s">
        <v>45</v>
      </c>
      <c r="E976" s="81" t="s">
        <v>2333</v>
      </c>
      <c r="F976" s="81" t="s">
        <v>2334</v>
      </c>
      <c r="G976" s="81" t="s">
        <v>5221</v>
      </c>
      <c r="H976" s="81" t="s">
        <v>6274</v>
      </c>
      <c r="I976" s="81" t="s">
        <v>5910</v>
      </c>
      <c r="J976" s="81" t="s">
        <v>2186</v>
      </c>
      <c r="K976" s="81" t="s">
        <v>5910</v>
      </c>
      <c r="L976" s="81" t="s">
        <v>2392</v>
      </c>
      <c r="M976" s="81" t="s">
        <v>5910</v>
      </c>
      <c r="N976" s="81" t="s">
        <v>2231</v>
      </c>
      <c r="O976" s="81" t="s">
        <v>2187</v>
      </c>
      <c r="P976" s="81" t="s">
        <v>2187</v>
      </c>
      <c r="Q976" s="81" t="s">
        <v>43</v>
      </c>
      <c r="R976" s="81" t="s">
        <v>46</v>
      </c>
      <c r="S976" s="81" t="s">
        <v>46</v>
      </c>
      <c r="T976" s="81" t="s">
        <v>48</v>
      </c>
      <c r="U976" s="81" t="s">
        <v>48</v>
      </c>
      <c r="V976" s="81" t="s">
        <v>48</v>
      </c>
      <c r="W976" s="81" t="s">
        <v>49</v>
      </c>
      <c r="X976" s="81" t="s">
        <v>48</v>
      </c>
      <c r="Y976" s="81" t="s">
        <v>48</v>
      </c>
    </row>
    <row r="977" spans="1:25" x14ac:dyDescent="0.3">
      <c r="A977" s="16">
        <v>7501058793393</v>
      </c>
      <c r="B977" s="81" t="s">
        <v>43</v>
      </c>
      <c r="C977" s="81" t="s">
        <v>932</v>
      </c>
      <c r="D977" s="81" t="s">
        <v>45</v>
      </c>
      <c r="E977" s="81" t="s">
        <v>2358</v>
      </c>
      <c r="F977" s="81" t="s">
        <v>2557</v>
      </c>
      <c r="G977" s="81" t="s">
        <v>3498</v>
      </c>
      <c r="H977" s="81" t="s">
        <v>2415</v>
      </c>
      <c r="I977" s="81" t="s">
        <v>6275</v>
      </c>
      <c r="J977" s="81" t="s">
        <v>2186</v>
      </c>
      <c r="K977" s="81" t="s">
        <v>6275</v>
      </c>
      <c r="L977" s="81" t="s">
        <v>2392</v>
      </c>
      <c r="M977" s="81" t="s">
        <v>6275</v>
      </c>
      <c r="N977" s="81" t="s">
        <v>2231</v>
      </c>
      <c r="O977" s="81" t="s">
        <v>2187</v>
      </c>
      <c r="P977" s="81" t="s">
        <v>2187</v>
      </c>
      <c r="Q977" s="81" t="s">
        <v>43</v>
      </c>
      <c r="R977" s="81" t="s">
        <v>203</v>
      </c>
      <c r="S977" s="81" t="s">
        <v>47</v>
      </c>
      <c r="T977" s="81" t="s">
        <v>48</v>
      </c>
      <c r="U977" s="81" t="s">
        <v>48</v>
      </c>
      <c r="V977" s="81" t="s">
        <v>48</v>
      </c>
      <c r="W977" s="81" t="s">
        <v>49</v>
      </c>
      <c r="X977" s="81" t="s">
        <v>48</v>
      </c>
      <c r="Y977" s="81" t="s">
        <v>48</v>
      </c>
    </row>
    <row r="978" spans="1:25" x14ac:dyDescent="0.3">
      <c r="A978" s="16">
        <v>354312425403</v>
      </c>
      <c r="B978" s="81" t="s">
        <v>43</v>
      </c>
      <c r="C978" s="81" t="s">
        <v>1988</v>
      </c>
      <c r="D978" s="81" t="s">
        <v>45</v>
      </c>
      <c r="E978" s="81" t="s">
        <v>2227</v>
      </c>
      <c r="F978" s="81" t="s">
        <v>2227</v>
      </c>
      <c r="G978" s="81" t="s">
        <v>5344</v>
      </c>
      <c r="H978" s="81" t="s">
        <v>3193</v>
      </c>
      <c r="I978" s="81" t="s">
        <v>6276</v>
      </c>
      <c r="J978" s="81" t="s">
        <v>2186</v>
      </c>
      <c r="K978" s="81" t="s">
        <v>6276</v>
      </c>
      <c r="L978" s="81" t="s">
        <v>2392</v>
      </c>
      <c r="M978" s="81" t="s">
        <v>6276</v>
      </c>
      <c r="N978" s="81" t="s">
        <v>2231</v>
      </c>
      <c r="O978" s="81" t="s">
        <v>2187</v>
      </c>
      <c r="P978" s="81" t="s">
        <v>2187</v>
      </c>
      <c r="Q978" s="81" t="s">
        <v>43</v>
      </c>
      <c r="R978" s="81" t="s">
        <v>203</v>
      </c>
      <c r="S978" s="81" t="s">
        <v>203</v>
      </c>
      <c r="T978" s="81" t="s">
        <v>48</v>
      </c>
      <c r="U978" s="81" t="s">
        <v>48</v>
      </c>
      <c r="V978" s="81" t="s">
        <v>49</v>
      </c>
      <c r="W978" s="81" t="s">
        <v>48</v>
      </c>
      <c r="X978" s="81" t="s">
        <v>48</v>
      </c>
      <c r="Y978" s="81" t="s">
        <v>48</v>
      </c>
    </row>
    <row r="979" spans="1:25" x14ac:dyDescent="0.3">
      <c r="A979" s="16">
        <v>7501298221823</v>
      </c>
      <c r="B979" s="81" t="s">
        <v>43</v>
      </c>
      <c r="C979" s="81" t="s">
        <v>2153</v>
      </c>
      <c r="D979" s="81" t="s">
        <v>45</v>
      </c>
      <c r="E979" s="81" t="s">
        <v>2369</v>
      </c>
      <c r="F979" s="81" t="s">
        <v>2357</v>
      </c>
      <c r="G979" s="81" t="s">
        <v>3499</v>
      </c>
      <c r="H979" s="81" t="s">
        <v>3500</v>
      </c>
      <c r="I979" s="81" t="s">
        <v>6277</v>
      </c>
      <c r="J979" s="81" t="s">
        <v>2186</v>
      </c>
      <c r="K979" s="81" t="s">
        <v>6277</v>
      </c>
      <c r="L979" s="81" t="s">
        <v>2392</v>
      </c>
      <c r="M979" s="81" t="s">
        <v>6277</v>
      </c>
      <c r="N979" s="81" t="s">
        <v>2231</v>
      </c>
      <c r="O979" s="81" t="s">
        <v>2187</v>
      </c>
      <c r="P979" s="81" t="s">
        <v>2187</v>
      </c>
      <c r="Q979" s="81" t="s">
        <v>43</v>
      </c>
      <c r="R979" s="81" t="s">
        <v>374</v>
      </c>
      <c r="S979" s="81" t="s">
        <v>374</v>
      </c>
      <c r="T979" s="81" t="s">
        <v>48</v>
      </c>
      <c r="U979" s="81" t="s">
        <v>48</v>
      </c>
      <c r="V979" s="81" t="s">
        <v>48</v>
      </c>
      <c r="W979" s="81" t="s">
        <v>49</v>
      </c>
      <c r="X979" s="81" t="s">
        <v>48</v>
      </c>
      <c r="Y979" s="81" t="s">
        <v>48</v>
      </c>
    </row>
    <row r="980" spans="1:25" x14ac:dyDescent="0.3">
      <c r="A980" s="16">
        <v>354312425106</v>
      </c>
      <c r="B980" s="81" t="s">
        <v>43</v>
      </c>
      <c r="C980" s="81" t="s">
        <v>933</v>
      </c>
      <c r="D980" s="81" t="s">
        <v>45</v>
      </c>
      <c r="E980" s="81" t="s">
        <v>2442</v>
      </c>
      <c r="F980" s="81" t="s">
        <v>2443</v>
      </c>
      <c r="G980" s="81" t="s">
        <v>4466</v>
      </c>
      <c r="H980" s="81" t="s">
        <v>2949</v>
      </c>
      <c r="I980" s="81" t="s">
        <v>6278</v>
      </c>
      <c r="J980" s="81" t="s">
        <v>2186</v>
      </c>
      <c r="K980" s="81" t="s">
        <v>6278</v>
      </c>
      <c r="L980" s="81" t="s">
        <v>2392</v>
      </c>
      <c r="M980" s="81" t="s">
        <v>6278</v>
      </c>
      <c r="N980" s="81" t="s">
        <v>2231</v>
      </c>
      <c r="O980" s="81" t="s">
        <v>2187</v>
      </c>
      <c r="P980" s="81" t="s">
        <v>2187</v>
      </c>
      <c r="Q980" s="81" t="s">
        <v>43</v>
      </c>
      <c r="R980" s="81" t="s">
        <v>203</v>
      </c>
      <c r="S980" s="81" t="s">
        <v>203</v>
      </c>
      <c r="T980" s="81" t="s">
        <v>48</v>
      </c>
      <c r="U980" s="81" t="s">
        <v>48</v>
      </c>
      <c r="V980" s="81" t="s">
        <v>49</v>
      </c>
      <c r="W980" s="81" t="s">
        <v>48</v>
      </c>
      <c r="X980" s="81" t="s">
        <v>48</v>
      </c>
      <c r="Y980" s="81" t="s">
        <v>48</v>
      </c>
    </row>
    <row r="981" spans="1:25" x14ac:dyDescent="0.3">
      <c r="A981" s="16">
        <v>7502009746710</v>
      </c>
      <c r="B981" s="81" t="s">
        <v>43</v>
      </c>
      <c r="C981" s="81" t="s">
        <v>934</v>
      </c>
      <c r="D981" s="81" t="s">
        <v>45</v>
      </c>
      <c r="E981" s="81" t="s">
        <v>2369</v>
      </c>
      <c r="F981" s="81" t="s">
        <v>2442</v>
      </c>
      <c r="G981" s="81" t="s">
        <v>3505</v>
      </c>
      <c r="H981" s="81" t="s">
        <v>2535</v>
      </c>
      <c r="I981" s="81" t="s">
        <v>3181</v>
      </c>
      <c r="J981" s="81" t="s">
        <v>2186</v>
      </c>
      <c r="K981" s="81" t="s">
        <v>3181</v>
      </c>
      <c r="L981" s="81" t="s">
        <v>2392</v>
      </c>
      <c r="M981" s="81" t="s">
        <v>3181</v>
      </c>
      <c r="N981" s="81" t="s">
        <v>2231</v>
      </c>
      <c r="O981" s="81" t="s">
        <v>2187</v>
      </c>
      <c r="P981" s="81" t="s">
        <v>2187</v>
      </c>
      <c r="Q981" s="81" t="s">
        <v>43</v>
      </c>
      <c r="R981" s="81" t="s">
        <v>46</v>
      </c>
      <c r="S981" s="81" t="s">
        <v>47</v>
      </c>
      <c r="T981" s="81" t="s">
        <v>48</v>
      </c>
      <c r="U981" s="81" t="s">
        <v>48</v>
      </c>
      <c r="V981" s="81" t="s">
        <v>48</v>
      </c>
      <c r="W981" s="81" t="s">
        <v>49</v>
      </c>
      <c r="X981" s="81" t="s">
        <v>48</v>
      </c>
      <c r="Y981" s="81" t="s">
        <v>48</v>
      </c>
    </row>
    <row r="982" spans="1:25" x14ac:dyDescent="0.3">
      <c r="A982" s="16">
        <v>75049812</v>
      </c>
      <c r="B982" s="81" t="s">
        <v>43</v>
      </c>
      <c r="C982" s="81" t="s">
        <v>935</v>
      </c>
      <c r="D982" s="81" t="s">
        <v>45</v>
      </c>
      <c r="E982" s="81" t="s">
        <v>2442</v>
      </c>
      <c r="F982" s="81" t="s">
        <v>2443</v>
      </c>
      <c r="G982" s="81" t="s">
        <v>5439</v>
      </c>
      <c r="H982" s="81" t="s">
        <v>2209</v>
      </c>
      <c r="I982" s="81" t="s">
        <v>6279</v>
      </c>
      <c r="J982" s="81" t="s">
        <v>2186</v>
      </c>
      <c r="K982" s="81" t="s">
        <v>6279</v>
      </c>
      <c r="L982" s="81" t="s">
        <v>2392</v>
      </c>
      <c r="M982" s="81" t="s">
        <v>6279</v>
      </c>
      <c r="N982" s="81" t="s">
        <v>2231</v>
      </c>
      <c r="O982" s="81" t="s">
        <v>2187</v>
      </c>
      <c r="P982" s="81" t="s">
        <v>2187</v>
      </c>
      <c r="Q982" s="81" t="s">
        <v>43</v>
      </c>
      <c r="R982" s="81" t="s">
        <v>46</v>
      </c>
      <c r="S982" s="81" t="s">
        <v>46</v>
      </c>
      <c r="T982" s="81" t="s">
        <v>48</v>
      </c>
      <c r="U982" s="81" t="s">
        <v>48</v>
      </c>
      <c r="V982" s="81" t="s">
        <v>48</v>
      </c>
      <c r="W982" s="81" t="s">
        <v>49</v>
      </c>
      <c r="X982" s="81" t="s">
        <v>48</v>
      </c>
      <c r="Y982" s="81" t="s">
        <v>48</v>
      </c>
    </row>
    <row r="983" spans="1:25" x14ac:dyDescent="0.3">
      <c r="A983" s="16">
        <v>7501109902637</v>
      </c>
      <c r="B983" s="81" t="s">
        <v>43</v>
      </c>
      <c r="C983" s="81" t="s">
        <v>936</v>
      </c>
      <c r="D983" s="81" t="s">
        <v>45</v>
      </c>
      <c r="E983" s="81" t="s">
        <v>2512</v>
      </c>
      <c r="F983" s="81" t="s">
        <v>2494</v>
      </c>
      <c r="G983" s="81" t="s">
        <v>4652</v>
      </c>
      <c r="H983" s="81" t="s">
        <v>2559</v>
      </c>
      <c r="I983" s="81" t="s">
        <v>6280</v>
      </c>
      <c r="J983" s="81" t="s">
        <v>2186</v>
      </c>
      <c r="K983" s="81" t="s">
        <v>6280</v>
      </c>
      <c r="L983" s="81" t="s">
        <v>2392</v>
      </c>
      <c r="M983" s="81" t="s">
        <v>6280</v>
      </c>
      <c r="N983" s="81" t="s">
        <v>2231</v>
      </c>
      <c r="O983" s="81" t="s">
        <v>2187</v>
      </c>
      <c r="P983" s="81" t="s">
        <v>2187</v>
      </c>
      <c r="Q983" s="81" t="s">
        <v>43</v>
      </c>
      <c r="R983" s="81" t="s">
        <v>203</v>
      </c>
      <c r="S983" s="81" t="s">
        <v>203</v>
      </c>
      <c r="T983" s="81" t="s">
        <v>48</v>
      </c>
      <c r="U983" s="81" t="s">
        <v>48</v>
      </c>
      <c r="V983" s="81" t="s">
        <v>48</v>
      </c>
      <c r="W983" s="81" t="s">
        <v>49</v>
      </c>
      <c r="X983" s="81" t="s">
        <v>48</v>
      </c>
      <c r="Y983" s="81" t="s">
        <v>48</v>
      </c>
    </row>
    <row r="984" spans="1:25" x14ac:dyDescent="0.3">
      <c r="A984" s="16">
        <v>7502211784289</v>
      </c>
      <c r="B984" s="81" t="s">
        <v>43</v>
      </c>
      <c r="C984" s="81" t="s">
        <v>1989</v>
      </c>
      <c r="D984" s="81" t="s">
        <v>45</v>
      </c>
      <c r="E984" s="81" t="s">
        <v>2363</v>
      </c>
      <c r="F984" s="81" t="s">
        <v>2616</v>
      </c>
      <c r="G984" s="81" t="s">
        <v>5345</v>
      </c>
      <c r="H984" s="81" t="s">
        <v>6281</v>
      </c>
      <c r="I984" s="81" t="s">
        <v>6282</v>
      </c>
      <c r="J984" s="81" t="s">
        <v>2186</v>
      </c>
      <c r="K984" s="81" t="s">
        <v>6282</v>
      </c>
      <c r="L984" s="81" t="s">
        <v>2392</v>
      </c>
      <c r="M984" s="81" t="s">
        <v>6282</v>
      </c>
      <c r="N984" s="81" t="s">
        <v>2231</v>
      </c>
      <c r="O984" s="81" t="s">
        <v>2187</v>
      </c>
      <c r="P984" s="81" t="s">
        <v>2187</v>
      </c>
      <c r="Q984" s="81" t="s">
        <v>43</v>
      </c>
      <c r="R984" s="81" t="s">
        <v>46</v>
      </c>
      <c r="S984" s="81" t="s">
        <v>46</v>
      </c>
      <c r="T984" s="81" t="s">
        <v>48</v>
      </c>
      <c r="U984" s="81" t="s">
        <v>48</v>
      </c>
      <c r="V984" s="81" t="s">
        <v>48</v>
      </c>
      <c r="W984" s="81" t="s">
        <v>49</v>
      </c>
      <c r="X984" s="81" t="s">
        <v>48</v>
      </c>
      <c r="Y984" s="81" t="s">
        <v>48</v>
      </c>
    </row>
    <row r="985" spans="1:25" x14ac:dyDescent="0.3">
      <c r="A985" s="16">
        <v>7502222840349</v>
      </c>
      <c r="B985" s="81" t="s">
        <v>43</v>
      </c>
      <c r="C985" s="81" t="s">
        <v>937</v>
      </c>
      <c r="D985" s="81" t="s">
        <v>45</v>
      </c>
      <c r="E985" s="81" t="s">
        <v>2334</v>
      </c>
      <c r="F985" s="81" t="s">
        <v>2604</v>
      </c>
      <c r="G985" s="81" t="s">
        <v>3506</v>
      </c>
      <c r="H985" s="81" t="s">
        <v>2337</v>
      </c>
      <c r="I985" s="81" t="s">
        <v>5995</v>
      </c>
      <c r="J985" s="81" t="s">
        <v>2186</v>
      </c>
      <c r="K985" s="81" t="s">
        <v>5995</v>
      </c>
      <c r="L985" s="81" t="s">
        <v>2392</v>
      </c>
      <c r="M985" s="81" t="s">
        <v>5995</v>
      </c>
      <c r="N985" s="81" t="s">
        <v>2231</v>
      </c>
      <c r="O985" s="81" t="s">
        <v>2187</v>
      </c>
      <c r="P985" s="81" t="s">
        <v>2187</v>
      </c>
      <c r="Q985" s="81" t="s">
        <v>43</v>
      </c>
      <c r="R985" s="81" t="s">
        <v>46</v>
      </c>
      <c r="S985" s="81" t="s">
        <v>46</v>
      </c>
      <c r="T985" s="81" t="s">
        <v>48</v>
      </c>
      <c r="U985" s="81" t="s">
        <v>48</v>
      </c>
      <c r="V985" s="81" t="s">
        <v>48</v>
      </c>
      <c r="W985" s="81" t="s">
        <v>49</v>
      </c>
      <c r="X985" s="81" t="s">
        <v>48</v>
      </c>
      <c r="Y985" s="81" t="s">
        <v>48</v>
      </c>
    </row>
    <row r="986" spans="1:25" x14ac:dyDescent="0.3">
      <c r="A986" s="16">
        <v>7501537103354</v>
      </c>
      <c r="B986" s="81" t="s">
        <v>43</v>
      </c>
      <c r="C986" s="81" t="s">
        <v>1990</v>
      </c>
      <c r="D986" s="81" t="s">
        <v>45</v>
      </c>
      <c r="E986" s="81" t="s">
        <v>3507</v>
      </c>
      <c r="F986" s="81" t="s">
        <v>3508</v>
      </c>
      <c r="G986" s="81" t="s">
        <v>3788</v>
      </c>
      <c r="H986" s="81" t="s">
        <v>2359</v>
      </c>
      <c r="I986" s="81" t="s">
        <v>6283</v>
      </c>
      <c r="J986" s="81" t="s">
        <v>2186</v>
      </c>
      <c r="K986" s="81" t="s">
        <v>6283</v>
      </c>
      <c r="L986" s="81" t="s">
        <v>2392</v>
      </c>
      <c r="M986" s="81" t="s">
        <v>6283</v>
      </c>
      <c r="N986" s="81" t="s">
        <v>2231</v>
      </c>
      <c r="O986" s="81" t="s">
        <v>2187</v>
      </c>
      <c r="P986" s="81" t="s">
        <v>2187</v>
      </c>
      <c r="Q986" s="81" t="s">
        <v>43</v>
      </c>
      <c r="R986" s="81" t="s">
        <v>46</v>
      </c>
      <c r="S986" s="81" t="s">
        <v>46</v>
      </c>
      <c r="T986" s="81" t="s">
        <v>48</v>
      </c>
      <c r="U986" s="81" t="s">
        <v>48</v>
      </c>
      <c r="V986" s="81" t="s">
        <v>48</v>
      </c>
      <c r="W986" s="81" t="s">
        <v>49</v>
      </c>
      <c r="X986" s="81" t="s">
        <v>48</v>
      </c>
      <c r="Y986" s="81" t="s">
        <v>48</v>
      </c>
    </row>
    <row r="987" spans="1:25" x14ac:dyDescent="0.3">
      <c r="A987" s="16">
        <v>5415062392317</v>
      </c>
      <c r="B987" s="81" t="s">
        <v>43</v>
      </c>
      <c r="C987" s="81" t="s">
        <v>1991</v>
      </c>
      <c r="D987" s="81" t="s">
        <v>45</v>
      </c>
      <c r="E987" s="81" t="s">
        <v>2471</v>
      </c>
      <c r="F987" s="81" t="s">
        <v>2472</v>
      </c>
      <c r="G987" s="81" t="s">
        <v>4463</v>
      </c>
      <c r="H987" s="81" t="s">
        <v>2681</v>
      </c>
      <c r="I987" s="81" t="s">
        <v>6284</v>
      </c>
      <c r="J987" s="81" t="s">
        <v>2186</v>
      </c>
      <c r="K987" s="81" t="s">
        <v>6284</v>
      </c>
      <c r="L987" s="81" t="s">
        <v>2392</v>
      </c>
      <c r="M987" s="81" t="s">
        <v>6284</v>
      </c>
      <c r="N987" s="81" t="s">
        <v>2231</v>
      </c>
      <c r="O987" s="81" t="s">
        <v>2187</v>
      </c>
      <c r="P987" s="81" t="s">
        <v>2187</v>
      </c>
      <c r="Q987" s="81" t="s">
        <v>43</v>
      </c>
      <c r="R987" s="81" t="s">
        <v>46</v>
      </c>
      <c r="S987" s="81" t="s">
        <v>46</v>
      </c>
      <c r="T987" s="81" t="s">
        <v>49</v>
      </c>
      <c r="U987" s="81" t="s">
        <v>48</v>
      </c>
      <c r="V987" s="81" t="s">
        <v>48</v>
      </c>
      <c r="W987" s="81" t="s">
        <v>49</v>
      </c>
      <c r="X987" s="81" t="s">
        <v>48</v>
      </c>
      <c r="Y987" s="81" t="s">
        <v>48</v>
      </c>
    </row>
    <row r="988" spans="1:25" x14ac:dyDescent="0.3">
      <c r="A988" s="16">
        <v>7502009746802</v>
      </c>
      <c r="B988" s="81" t="s">
        <v>43</v>
      </c>
      <c r="C988" s="81" t="s">
        <v>938</v>
      </c>
      <c r="D988" s="81" t="s">
        <v>45</v>
      </c>
      <c r="E988" s="81" t="s">
        <v>2179</v>
      </c>
      <c r="F988" s="81" t="s">
        <v>2704</v>
      </c>
      <c r="G988" s="81" t="s">
        <v>5346</v>
      </c>
      <c r="H988" s="81" t="s">
        <v>6285</v>
      </c>
      <c r="I988" s="81" t="s">
        <v>6286</v>
      </c>
      <c r="J988" s="81" t="s">
        <v>2186</v>
      </c>
      <c r="K988" s="81" t="s">
        <v>6286</v>
      </c>
      <c r="L988" s="81" t="s">
        <v>2392</v>
      </c>
      <c r="M988" s="81" t="s">
        <v>6286</v>
      </c>
      <c r="N988" s="81" t="s">
        <v>2231</v>
      </c>
      <c r="O988" s="81" t="s">
        <v>2187</v>
      </c>
      <c r="P988" s="81" t="s">
        <v>2187</v>
      </c>
      <c r="Q988" s="81" t="s">
        <v>43</v>
      </c>
      <c r="R988" s="81" t="s">
        <v>46</v>
      </c>
      <c r="S988" s="81" t="s">
        <v>46</v>
      </c>
      <c r="T988" s="81" t="s">
        <v>48</v>
      </c>
      <c r="U988" s="81" t="s">
        <v>48</v>
      </c>
      <c r="V988" s="81" t="s">
        <v>48</v>
      </c>
      <c r="W988" s="81" t="s">
        <v>49</v>
      </c>
      <c r="X988" s="81" t="s">
        <v>48</v>
      </c>
      <c r="Y988" s="81" t="s">
        <v>48</v>
      </c>
    </row>
    <row r="989" spans="1:25" x14ac:dyDescent="0.3">
      <c r="A989" s="16">
        <v>7501349028326</v>
      </c>
      <c r="B989" s="81" t="s">
        <v>43</v>
      </c>
      <c r="C989" s="81" t="s">
        <v>939</v>
      </c>
      <c r="D989" s="81" t="s">
        <v>45</v>
      </c>
      <c r="E989" s="81" t="s">
        <v>2362</v>
      </c>
      <c r="F989" s="81" t="s">
        <v>2274</v>
      </c>
      <c r="G989" s="81" t="s">
        <v>4931</v>
      </c>
      <c r="H989" s="81" t="s">
        <v>2217</v>
      </c>
      <c r="I989" s="81" t="s">
        <v>6287</v>
      </c>
      <c r="J989" s="81" t="s">
        <v>2186</v>
      </c>
      <c r="K989" s="81" t="s">
        <v>6287</v>
      </c>
      <c r="L989" s="81" t="s">
        <v>2392</v>
      </c>
      <c r="M989" s="81" t="s">
        <v>6287</v>
      </c>
      <c r="N989" s="81" t="s">
        <v>2231</v>
      </c>
      <c r="O989" s="81" t="s">
        <v>2187</v>
      </c>
      <c r="P989" s="81" t="s">
        <v>2187</v>
      </c>
      <c r="Q989" s="81" t="s">
        <v>43</v>
      </c>
      <c r="R989" s="81" t="s">
        <v>46</v>
      </c>
      <c r="S989" s="81" t="s">
        <v>47</v>
      </c>
      <c r="T989" s="81" t="s">
        <v>48</v>
      </c>
      <c r="U989" s="81" t="s">
        <v>48</v>
      </c>
      <c r="V989" s="81" t="s">
        <v>48</v>
      </c>
      <c r="W989" s="81" t="s">
        <v>49</v>
      </c>
      <c r="X989" s="81" t="s">
        <v>48</v>
      </c>
      <c r="Y989" s="81" t="s">
        <v>48</v>
      </c>
    </row>
    <row r="990" spans="1:25" x14ac:dyDescent="0.3">
      <c r="A990" s="16">
        <v>7509546073743</v>
      </c>
      <c r="B990" s="81" t="s">
        <v>43</v>
      </c>
      <c r="C990" s="81" t="s">
        <v>940</v>
      </c>
      <c r="D990" s="81" t="s">
        <v>45</v>
      </c>
      <c r="E990" s="81" t="s">
        <v>2180</v>
      </c>
      <c r="F990" s="81" t="s">
        <v>2363</v>
      </c>
      <c r="G990" s="81" t="s">
        <v>3509</v>
      </c>
      <c r="H990" s="81" t="s">
        <v>3161</v>
      </c>
      <c r="I990" s="81" t="s">
        <v>3510</v>
      </c>
      <c r="J990" s="81" t="s">
        <v>2186</v>
      </c>
      <c r="K990" s="81" t="s">
        <v>3354</v>
      </c>
      <c r="L990" s="81" t="s">
        <v>2392</v>
      </c>
      <c r="M990" s="81" t="s">
        <v>3355</v>
      </c>
      <c r="N990" s="81" t="s">
        <v>2231</v>
      </c>
      <c r="O990" s="81" t="s">
        <v>2187</v>
      </c>
      <c r="P990" s="81" t="s">
        <v>2187</v>
      </c>
      <c r="Q990" s="81" t="s">
        <v>43</v>
      </c>
      <c r="R990" s="81" t="s">
        <v>524</v>
      </c>
      <c r="S990" s="81" t="s">
        <v>525</v>
      </c>
      <c r="T990" s="81" t="s">
        <v>48</v>
      </c>
      <c r="U990" s="81" t="s">
        <v>48</v>
      </c>
      <c r="V990" s="81" t="s">
        <v>49</v>
      </c>
      <c r="W990" s="81" t="s">
        <v>48</v>
      </c>
      <c r="X990" s="81" t="s">
        <v>48</v>
      </c>
      <c r="Y990" s="81" t="s">
        <v>48</v>
      </c>
    </row>
    <row r="991" spans="1:25" x14ac:dyDescent="0.3">
      <c r="A991" s="16">
        <v>7502001038707</v>
      </c>
      <c r="B991" s="81" t="s">
        <v>43</v>
      </c>
      <c r="C991" s="81" t="s">
        <v>941</v>
      </c>
      <c r="D991" s="81" t="s">
        <v>45</v>
      </c>
      <c r="E991" s="81" t="s">
        <v>2404</v>
      </c>
      <c r="F991" s="81" t="s">
        <v>2519</v>
      </c>
      <c r="G991" s="81" t="s">
        <v>3511</v>
      </c>
      <c r="H991" s="81" t="s">
        <v>2391</v>
      </c>
      <c r="I991" s="81" t="s">
        <v>6288</v>
      </c>
      <c r="J991" s="81" t="s">
        <v>2186</v>
      </c>
      <c r="K991" s="81" t="s">
        <v>6288</v>
      </c>
      <c r="L991" s="81" t="s">
        <v>2392</v>
      </c>
      <c r="M991" s="81" t="s">
        <v>6288</v>
      </c>
      <c r="N991" s="81" t="s">
        <v>2231</v>
      </c>
      <c r="O991" s="81" t="s">
        <v>2187</v>
      </c>
      <c r="P991" s="81" t="s">
        <v>2187</v>
      </c>
      <c r="Q991" s="81" t="s">
        <v>43</v>
      </c>
      <c r="R991" s="81" t="s">
        <v>46</v>
      </c>
      <c r="S991" s="81" t="s">
        <v>46</v>
      </c>
      <c r="T991" s="81" t="s">
        <v>48</v>
      </c>
      <c r="U991" s="81" t="s">
        <v>48</v>
      </c>
      <c r="V991" s="81" t="s">
        <v>48</v>
      </c>
      <c r="W991" s="81" t="s">
        <v>49</v>
      </c>
      <c r="X991" s="81" t="s">
        <v>48</v>
      </c>
      <c r="Y991" s="81" t="s">
        <v>48</v>
      </c>
    </row>
    <row r="992" spans="1:25" x14ac:dyDescent="0.3">
      <c r="A992" s="16">
        <v>7502211789321</v>
      </c>
      <c r="B992" s="81" t="s">
        <v>43</v>
      </c>
      <c r="C992" s="81" t="s">
        <v>942</v>
      </c>
      <c r="D992" s="81" t="s">
        <v>45</v>
      </c>
      <c r="E992" s="81" t="s">
        <v>2521</v>
      </c>
      <c r="F992" s="81" t="s">
        <v>2528</v>
      </c>
      <c r="G992" s="81" t="s">
        <v>5195</v>
      </c>
      <c r="H992" s="81" t="s">
        <v>2260</v>
      </c>
      <c r="I992" s="81" t="s">
        <v>6289</v>
      </c>
      <c r="J992" s="81" t="s">
        <v>2186</v>
      </c>
      <c r="K992" s="81" t="s">
        <v>6289</v>
      </c>
      <c r="L992" s="81" t="s">
        <v>2392</v>
      </c>
      <c r="M992" s="81" t="s">
        <v>6289</v>
      </c>
      <c r="N992" s="81" t="s">
        <v>2231</v>
      </c>
      <c r="O992" s="81" t="s">
        <v>2187</v>
      </c>
      <c r="P992" s="81" t="s">
        <v>2187</v>
      </c>
      <c r="Q992" s="81" t="s">
        <v>43</v>
      </c>
      <c r="R992" s="81" t="s">
        <v>46</v>
      </c>
      <c r="S992" s="81" t="s">
        <v>164</v>
      </c>
      <c r="T992" s="81" t="s">
        <v>48</v>
      </c>
      <c r="U992" s="81" t="s">
        <v>48</v>
      </c>
      <c r="V992" s="81" t="s">
        <v>48</v>
      </c>
      <c r="W992" s="81" t="s">
        <v>49</v>
      </c>
      <c r="X992" s="81" t="s">
        <v>48</v>
      </c>
      <c r="Y992" s="81" t="s">
        <v>48</v>
      </c>
    </row>
    <row r="993" spans="1:25" x14ac:dyDescent="0.3">
      <c r="A993" s="16">
        <v>7502223112353</v>
      </c>
      <c r="B993" s="81" t="s">
        <v>43</v>
      </c>
      <c r="C993" s="81" t="s">
        <v>943</v>
      </c>
      <c r="D993" s="81" t="s">
        <v>45</v>
      </c>
      <c r="E993" s="81" t="s">
        <v>2620</v>
      </c>
      <c r="F993" s="81" t="s">
        <v>2780</v>
      </c>
      <c r="G993" s="81" t="s">
        <v>4671</v>
      </c>
      <c r="H993" s="81" t="s">
        <v>3253</v>
      </c>
      <c r="I993" s="81" t="s">
        <v>6140</v>
      </c>
      <c r="J993" s="81" t="s">
        <v>2186</v>
      </c>
      <c r="K993" s="81" t="s">
        <v>6140</v>
      </c>
      <c r="L993" s="81" t="s">
        <v>2392</v>
      </c>
      <c r="M993" s="81" t="s">
        <v>6140</v>
      </c>
      <c r="N993" s="81" t="s">
        <v>2231</v>
      </c>
      <c r="O993" s="81" t="s">
        <v>2187</v>
      </c>
      <c r="P993" s="81" t="s">
        <v>2187</v>
      </c>
      <c r="Q993" s="81" t="s">
        <v>43</v>
      </c>
      <c r="R993" s="81" t="s">
        <v>46</v>
      </c>
      <c r="S993" s="81" t="s">
        <v>47</v>
      </c>
      <c r="T993" s="81" t="s">
        <v>48</v>
      </c>
      <c r="U993" s="81" t="s">
        <v>48</v>
      </c>
      <c r="V993" s="81" t="s">
        <v>48</v>
      </c>
      <c r="W993" s="81" t="s">
        <v>49</v>
      </c>
      <c r="X993" s="81" t="s">
        <v>48</v>
      </c>
      <c r="Y993" s="81" t="s">
        <v>48</v>
      </c>
    </row>
    <row r="994" spans="1:25" x14ac:dyDescent="0.3">
      <c r="A994" s="16">
        <v>785120755466</v>
      </c>
      <c r="B994" s="81" t="s">
        <v>43</v>
      </c>
      <c r="C994" s="81" t="s">
        <v>944</v>
      </c>
      <c r="D994" s="81" t="s">
        <v>45</v>
      </c>
      <c r="E994" s="81" t="s">
        <v>2620</v>
      </c>
      <c r="F994" s="81" t="s">
        <v>2780</v>
      </c>
      <c r="G994" s="81" t="s">
        <v>4907</v>
      </c>
      <c r="H994" s="81" t="s">
        <v>3512</v>
      </c>
      <c r="I994" s="81" t="s">
        <v>6290</v>
      </c>
      <c r="J994" s="81" t="s">
        <v>2186</v>
      </c>
      <c r="K994" s="81" t="s">
        <v>6290</v>
      </c>
      <c r="L994" s="81" t="s">
        <v>2392</v>
      </c>
      <c r="M994" s="81" t="s">
        <v>6290</v>
      </c>
      <c r="N994" s="81" t="s">
        <v>2231</v>
      </c>
      <c r="O994" s="81" t="s">
        <v>2187</v>
      </c>
      <c r="P994" s="81" t="s">
        <v>2187</v>
      </c>
      <c r="Q994" s="81" t="s">
        <v>43</v>
      </c>
      <c r="R994" s="81" t="s">
        <v>46</v>
      </c>
      <c r="S994" s="81" t="s">
        <v>47</v>
      </c>
      <c r="T994" s="81" t="s">
        <v>48</v>
      </c>
      <c r="U994" s="81" t="s">
        <v>48</v>
      </c>
      <c r="V994" s="81" t="s">
        <v>48</v>
      </c>
      <c r="W994" s="81" t="s">
        <v>49</v>
      </c>
      <c r="X994" s="81" t="s">
        <v>48</v>
      </c>
      <c r="Y994" s="81" t="s">
        <v>48</v>
      </c>
    </row>
    <row r="995" spans="1:25" x14ac:dyDescent="0.3">
      <c r="A995" s="16">
        <v>7501349025530</v>
      </c>
      <c r="B995" s="81" t="s">
        <v>43</v>
      </c>
      <c r="C995" s="81" t="s">
        <v>3513</v>
      </c>
      <c r="D995" s="81" t="s">
        <v>45</v>
      </c>
      <c r="E995" s="81" t="s">
        <v>2412</v>
      </c>
      <c r="F995" s="81" t="s">
        <v>2368</v>
      </c>
      <c r="G995" s="81" t="s">
        <v>5500</v>
      </c>
      <c r="H995" s="81" t="s">
        <v>2193</v>
      </c>
      <c r="I995" s="81" t="s">
        <v>6291</v>
      </c>
      <c r="J995" s="81" t="s">
        <v>2186</v>
      </c>
      <c r="K995" s="81" t="s">
        <v>6291</v>
      </c>
      <c r="L995" s="81" t="s">
        <v>2392</v>
      </c>
      <c r="M995" s="81" t="s">
        <v>6291</v>
      </c>
      <c r="N995" s="81" t="s">
        <v>2231</v>
      </c>
      <c r="O995" s="81" t="s">
        <v>2187</v>
      </c>
      <c r="P995" s="81" t="s">
        <v>2187</v>
      </c>
      <c r="Q995" s="81" t="s">
        <v>43</v>
      </c>
      <c r="R995" s="81" t="s">
        <v>46</v>
      </c>
      <c r="S995" s="81" t="s">
        <v>1740</v>
      </c>
      <c r="T995" s="81" t="s">
        <v>48</v>
      </c>
      <c r="U995" s="81" t="s">
        <v>48</v>
      </c>
      <c r="V995" s="81" t="s">
        <v>48</v>
      </c>
      <c r="W995" s="81" t="s">
        <v>49</v>
      </c>
      <c r="X995" s="81" t="s">
        <v>48</v>
      </c>
      <c r="Y995" s="81" t="s">
        <v>48</v>
      </c>
    </row>
    <row r="996" spans="1:25" x14ac:dyDescent="0.3">
      <c r="A996" s="16">
        <v>7506428800602</v>
      </c>
      <c r="B996" s="81" t="s">
        <v>43</v>
      </c>
      <c r="C996" s="81" t="s">
        <v>945</v>
      </c>
      <c r="D996" s="81" t="s">
        <v>45</v>
      </c>
      <c r="E996" s="81" t="s">
        <v>2368</v>
      </c>
      <c r="F996" s="81" t="s">
        <v>2369</v>
      </c>
      <c r="G996" s="81" t="s">
        <v>2380</v>
      </c>
      <c r="H996" s="81" t="s">
        <v>6292</v>
      </c>
      <c r="I996" s="81" t="s">
        <v>6293</v>
      </c>
      <c r="J996" s="81" t="s">
        <v>2186</v>
      </c>
      <c r="K996" s="81" t="s">
        <v>6293</v>
      </c>
      <c r="L996" s="81" t="s">
        <v>2392</v>
      </c>
      <c r="M996" s="81" t="s">
        <v>6293</v>
      </c>
      <c r="N996" s="81" t="s">
        <v>2231</v>
      </c>
      <c r="O996" s="81" t="s">
        <v>2187</v>
      </c>
      <c r="P996" s="81" t="s">
        <v>2187</v>
      </c>
      <c r="Q996" s="81" t="s">
        <v>43</v>
      </c>
      <c r="R996" s="81" t="s">
        <v>122</v>
      </c>
      <c r="S996" s="81" t="s">
        <v>123</v>
      </c>
      <c r="T996" s="81" t="s">
        <v>48</v>
      </c>
      <c r="U996" s="81" t="s">
        <v>48</v>
      </c>
      <c r="V996" s="81" t="s">
        <v>49</v>
      </c>
      <c r="W996" s="81" t="s">
        <v>48</v>
      </c>
      <c r="X996" s="81" t="s">
        <v>48</v>
      </c>
      <c r="Y996" s="81" t="s">
        <v>48</v>
      </c>
    </row>
    <row r="997" spans="1:25" x14ac:dyDescent="0.3">
      <c r="A997" s="16">
        <v>7506428800305</v>
      </c>
      <c r="B997" s="81" t="s">
        <v>43</v>
      </c>
      <c r="C997" s="81" t="s">
        <v>946</v>
      </c>
      <c r="D997" s="81" t="s">
        <v>45</v>
      </c>
      <c r="E997" s="81" t="s">
        <v>2227</v>
      </c>
      <c r="F997" s="81" t="s">
        <v>2227</v>
      </c>
      <c r="G997" s="81" t="s">
        <v>2186</v>
      </c>
      <c r="H997" s="81" t="s">
        <v>2868</v>
      </c>
      <c r="I997" s="81" t="s">
        <v>6294</v>
      </c>
      <c r="J997" s="81" t="s">
        <v>2186</v>
      </c>
      <c r="K997" s="81" t="s">
        <v>6294</v>
      </c>
      <c r="L997" s="81" t="s">
        <v>2392</v>
      </c>
      <c r="M997" s="81" t="s">
        <v>6294</v>
      </c>
      <c r="N997" s="81" t="s">
        <v>2231</v>
      </c>
      <c r="O997" s="81" t="s">
        <v>2187</v>
      </c>
      <c r="P997" s="81" t="s">
        <v>2187</v>
      </c>
      <c r="Q997" s="81" t="s">
        <v>43</v>
      </c>
      <c r="R997" s="81" t="s">
        <v>122</v>
      </c>
      <c r="S997" s="81" t="s">
        <v>123</v>
      </c>
      <c r="T997" s="81" t="s">
        <v>48</v>
      </c>
      <c r="U997" s="81" t="s">
        <v>48</v>
      </c>
      <c r="V997" s="81" t="s">
        <v>49</v>
      </c>
      <c r="W997" s="81" t="s">
        <v>48</v>
      </c>
      <c r="X997" s="81" t="s">
        <v>48</v>
      </c>
      <c r="Y997" s="81" t="s">
        <v>48</v>
      </c>
    </row>
    <row r="998" spans="1:25" x14ac:dyDescent="0.3">
      <c r="A998" s="16">
        <v>7501590211225</v>
      </c>
      <c r="B998" s="81" t="s">
        <v>43</v>
      </c>
      <c r="C998" s="81" t="s">
        <v>1992</v>
      </c>
      <c r="D998" s="81" t="s">
        <v>45</v>
      </c>
      <c r="E998" s="81" t="s">
        <v>2357</v>
      </c>
      <c r="F998" s="81" t="s">
        <v>2358</v>
      </c>
      <c r="G998" s="81" t="s">
        <v>5347</v>
      </c>
      <c r="H998" s="81" t="s">
        <v>2964</v>
      </c>
      <c r="I998" s="81" t="s">
        <v>3162</v>
      </c>
      <c r="J998" s="81" t="s">
        <v>2186</v>
      </c>
      <c r="K998" s="81" t="s">
        <v>3515</v>
      </c>
      <c r="L998" s="81" t="s">
        <v>2392</v>
      </c>
      <c r="M998" s="81" t="s">
        <v>3516</v>
      </c>
      <c r="N998" s="81" t="s">
        <v>2231</v>
      </c>
      <c r="O998" s="81" t="s">
        <v>2187</v>
      </c>
      <c r="P998" s="81" t="s">
        <v>2187</v>
      </c>
      <c r="Q998" s="81" t="s">
        <v>43</v>
      </c>
      <c r="R998" s="81" t="s">
        <v>46</v>
      </c>
      <c r="S998" s="81" t="s">
        <v>46</v>
      </c>
      <c r="T998" s="81" t="s">
        <v>48</v>
      </c>
      <c r="U998" s="81" t="s">
        <v>48</v>
      </c>
      <c r="V998" s="81" t="s">
        <v>49</v>
      </c>
      <c r="W998" s="81" t="s">
        <v>48</v>
      </c>
      <c r="X998" s="81" t="s">
        <v>48</v>
      </c>
      <c r="Y998" s="81" t="s">
        <v>48</v>
      </c>
    </row>
    <row r="999" spans="1:25" x14ac:dyDescent="0.3">
      <c r="A999" s="16">
        <v>7502216791299</v>
      </c>
      <c r="B999" s="81" t="s">
        <v>43</v>
      </c>
      <c r="C999" s="81" t="s">
        <v>947</v>
      </c>
      <c r="D999" s="81" t="s">
        <v>45</v>
      </c>
      <c r="E999" s="81" t="s">
        <v>2613</v>
      </c>
      <c r="F999" s="81" t="s">
        <v>3070</v>
      </c>
      <c r="G999" s="81" t="s">
        <v>7113</v>
      </c>
      <c r="H999" s="81" t="s">
        <v>2237</v>
      </c>
      <c r="I999" s="81" t="s">
        <v>6295</v>
      </c>
      <c r="J999" s="81" t="s">
        <v>2186</v>
      </c>
      <c r="K999" s="81" t="s">
        <v>6295</v>
      </c>
      <c r="L999" s="81" t="s">
        <v>2392</v>
      </c>
      <c r="M999" s="81" t="s">
        <v>6295</v>
      </c>
      <c r="N999" s="81" t="s">
        <v>2231</v>
      </c>
      <c r="O999" s="81" t="s">
        <v>2187</v>
      </c>
      <c r="P999" s="81" t="s">
        <v>2187</v>
      </c>
      <c r="Q999" s="81" t="s">
        <v>43</v>
      </c>
      <c r="R999" s="81" t="s">
        <v>46</v>
      </c>
      <c r="S999" s="81" t="s">
        <v>47</v>
      </c>
      <c r="T999" s="81" t="s">
        <v>48</v>
      </c>
      <c r="U999" s="81" t="s">
        <v>48</v>
      </c>
      <c r="V999" s="81" t="s">
        <v>48</v>
      </c>
      <c r="W999" s="81" t="s">
        <v>49</v>
      </c>
      <c r="X999" s="81" t="s">
        <v>48</v>
      </c>
      <c r="Y999" s="81" t="s">
        <v>48</v>
      </c>
    </row>
    <row r="1000" spans="1:25" x14ac:dyDescent="0.3">
      <c r="A1000" s="16">
        <v>7502305940034</v>
      </c>
      <c r="B1000" s="81" t="s">
        <v>43</v>
      </c>
      <c r="C1000" s="81" t="s">
        <v>948</v>
      </c>
      <c r="D1000" s="81" t="s">
        <v>45</v>
      </c>
      <c r="E1000" s="81" t="s">
        <v>2704</v>
      </c>
      <c r="F1000" s="81" t="s">
        <v>2312</v>
      </c>
      <c r="G1000" s="81" t="s">
        <v>3518</v>
      </c>
      <c r="H1000" s="81" t="s">
        <v>3224</v>
      </c>
      <c r="I1000" s="81" t="s">
        <v>6296</v>
      </c>
      <c r="J1000" s="81" t="s">
        <v>2186</v>
      </c>
      <c r="K1000" s="81" t="s">
        <v>6296</v>
      </c>
      <c r="L1000" s="81" t="s">
        <v>2392</v>
      </c>
      <c r="M1000" s="81" t="s">
        <v>6296</v>
      </c>
      <c r="N1000" s="81" t="s">
        <v>2231</v>
      </c>
      <c r="O1000" s="81" t="s">
        <v>2187</v>
      </c>
      <c r="P1000" s="81" t="s">
        <v>2187</v>
      </c>
      <c r="Q1000" s="81" t="s">
        <v>43</v>
      </c>
      <c r="R1000" s="81" t="s">
        <v>122</v>
      </c>
      <c r="S1000" s="81" t="s">
        <v>123</v>
      </c>
      <c r="T1000" s="81" t="s">
        <v>48</v>
      </c>
      <c r="U1000" s="81" t="s">
        <v>48</v>
      </c>
      <c r="V1000" s="81" t="s">
        <v>49</v>
      </c>
      <c r="W1000" s="81" t="s">
        <v>48</v>
      </c>
      <c r="X1000" s="81" t="s">
        <v>48</v>
      </c>
      <c r="Y1000" s="81" t="s">
        <v>48</v>
      </c>
    </row>
    <row r="1001" spans="1:25" x14ac:dyDescent="0.3">
      <c r="A1001" s="16">
        <v>7502305940058</v>
      </c>
      <c r="B1001" s="81" t="s">
        <v>43</v>
      </c>
      <c r="C1001" s="81" t="s">
        <v>949</v>
      </c>
      <c r="D1001" s="81" t="s">
        <v>45</v>
      </c>
      <c r="E1001" s="81" t="s">
        <v>2368</v>
      </c>
      <c r="F1001" s="81" t="s">
        <v>2369</v>
      </c>
      <c r="G1001" s="81" t="s">
        <v>3519</v>
      </c>
      <c r="H1001" s="81" t="s">
        <v>3520</v>
      </c>
      <c r="I1001" s="81" t="s">
        <v>6297</v>
      </c>
      <c r="J1001" s="81" t="s">
        <v>2186</v>
      </c>
      <c r="K1001" s="81" t="s">
        <v>6297</v>
      </c>
      <c r="L1001" s="81" t="s">
        <v>2392</v>
      </c>
      <c r="M1001" s="81" t="s">
        <v>6297</v>
      </c>
      <c r="N1001" s="81" t="s">
        <v>2231</v>
      </c>
      <c r="O1001" s="81" t="s">
        <v>2187</v>
      </c>
      <c r="P1001" s="81" t="s">
        <v>2187</v>
      </c>
      <c r="Q1001" s="81" t="s">
        <v>43</v>
      </c>
      <c r="R1001" s="81" t="s">
        <v>524</v>
      </c>
      <c r="S1001" s="81" t="s">
        <v>525</v>
      </c>
      <c r="T1001" s="81" t="s">
        <v>48</v>
      </c>
      <c r="U1001" s="81" t="s">
        <v>48</v>
      </c>
      <c r="V1001" s="81" t="s">
        <v>49</v>
      </c>
      <c r="W1001" s="81" t="s">
        <v>48</v>
      </c>
      <c r="X1001" s="81" t="s">
        <v>48</v>
      </c>
      <c r="Y1001" s="81" t="s">
        <v>48</v>
      </c>
    </row>
    <row r="1002" spans="1:25" x14ac:dyDescent="0.3">
      <c r="A1002" s="16">
        <v>7502227871409</v>
      </c>
      <c r="B1002" s="81" t="s">
        <v>43</v>
      </c>
      <c r="C1002" s="81" t="s">
        <v>3521</v>
      </c>
      <c r="D1002" s="81" t="s">
        <v>45</v>
      </c>
      <c r="E1002" s="81" t="s">
        <v>2465</v>
      </c>
      <c r="F1002" s="81" t="s">
        <v>2210</v>
      </c>
      <c r="G1002" s="81" t="s">
        <v>6298</v>
      </c>
      <c r="H1002" s="81" t="s">
        <v>2259</v>
      </c>
      <c r="I1002" s="81" t="s">
        <v>5699</v>
      </c>
      <c r="J1002" s="81" t="s">
        <v>2186</v>
      </c>
      <c r="K1002" s="81" t="s">
        <v>5699</v>
      </c>
      <c r="L1002" s="81" t="s">
        <v>2392</v>
      </c>
      <c r="M1002" s="81" t="s">
        <v>5699</v>
      </c>
      <c r="N1002" s="81" t="s">
        <v>2231</v>
      </c>
      <c r="O1002" s="81" t="s">
        <v>2187</v>
      </c>
      <c r="P1002" s="81" t="s">
        <v>2187</v>
      </c>
      <c r="Q1002" s="81" t="s">
        <v>43</v>
      </c>
      <c r="R1002" s="81" t="s">
        <v>46</v>
      </c>
      <c r="S1002" s="81" t="s">
        <v>47</v>
      </c>
      <c r="T1002" s="81" t="s">
        <v>48</v>
      </c>
      <c r="U1002" s="81" t="s">
        <v>48</v>
      </c>
      <c r="V1002" s="81" t="s">
        <v>48</v>
      </c>
      <c r="W1002" s="81" t="s">
        <v>49</v>
      </c>
      <c r="X1002" s="81" t="s">
        <v>48</v>
      </c>
      <c r="Y1002" s="81" t="s">
        <v>48</v>
      </c>
    </row>
    <row r="1003" spans="1:25" x14ac:dyDescent="0.3">
      <c r="A1003" s="16">
        <v>7502216795051</v>
      </c>
      <c r="B1003" s="81" t="s">
        <v>43</v>
      </c>
      <c r="C1003" s="81" t="s">
        <v>950</v>
      </c>
      <c r="D1003" s="81" t="s">
        <v>45</v>
      </c>
      <c r="E1003" s="81" t="s">
        <v>2179</v>
      </c>
      <c r="F1003" s="81" t="s">
        <v>2704</v>
      </c>
      <c r="G1003" s="81" t="s">
        <v>4437</v>
      </c>
      <c r="H1003" s="81" t="s">
        <v>2535</v>
      </c>
      <c r="I1003" s="81" t="s">
        <v>6299</v>
      </c>
      <c r="J1003" s="81" t="s">
        <v>2186</v>
      </c>
      <c r="K1003" s="81" t="s">
        <v>6299</v>
      </c>
      <c r="L1003" s="81" t="s">
        <v>2392</v>
      </c>
      <c r="M1003" s="81" t="s">
        <v>6299</v>
      </c>
      <c r="N1003" s="81" t="s">
        <v>2231</v>
      </c>
      <c r="O1003" s="81" t="s">
        <v>2187</v>
      </c>
      <c r="P1003" s="81" t="s">
        <v>2187</v>
      </c>
      <c r="Q1003" s="81" t="s">
        <v>43</v>
      </c>
      <c r="R1003" s="81" t="s">
        <v>46</v>
      </c>
      <c r="S1003" s="81" t="s">
        <v>47</v>
      </c>
      <c r="T1003" s="81" t="s">
        <v>48</v>
      </c>
      <c r="U1003" s="81" t="s">
        <v>48</v>
      </c>
      <c r="V1003" s="81" t="s">
        <v>48</v>
      </c>
      <c r="W1003" s="81" t="s">
        <v>49</v>
      </c>
      <c r="X1003" s="81" t="s">
        <v>48</v>
      </c>
      <c r="Y1003" s="81" t="s">
        <v>48</v>
      </c>
    </row>
    <row r="1004" spans="1:25" x14ac:dyDescent="0.3">
      <c r="A1004" s="16">
        <v>7502009740367</v>
      </c>
      <c r="B1004" s="81" t="s">
        <v>43</v>
      </c>
      <c r="C1004" s="81" t="s">
        <v>951</v>
      </c>
      <c r="D1004" s="81" t="s">
        <v>45</v>
      </c>
      <c r="E1004" s="81" t="s">
        <v>2545</v>
      </c>
      <c r="F1004" s="81" t="s">
        <v>2248</v>
      </c>
      <c r="G1004" s="81" t="s">
        <v>5501</v>
      </c>
      <c r="H1004" s="81" t="s">
        <v>2243</v>
      </c>
      <c r="I1004" s="81" t="s">
        <v>5662</v>
      </c>
      <c r="J1004" s="81" t="s">
        <v>2186</v>
      </c>
      <c r="K1004" s="81" t="s">
        <v>5662</v>
      </c>
      <c r="L1004" s="81" t="s">
        <v>2392</v>
      </c>
      <c r="M1004" s="81" t="s">
        <v>5662</v>
      </c>
      <c r="N1004" s="81" t="s">
        <v>2231</v>
      </c>
      <c r="O1004" s="81" t="s">
        <v>2187</v>
      </c>
      <c r="P1004" s="81" t="s">
        <v>2187</v>
      </c>
      <c r="Q1004" s="81" t="s">
        <v>43</v>
      </c>
      <c r="R1004" s="81" t="s">
        <v>46</v>
      </c>
      <c r="S1004" s="81" t="s">
        <v>46</v>
      </c>
      <c r="T1004" s="81" t="s">
        <v>48</v>
      </c>
      <c r="U1004" s="81" t="s">
        <v>48</v>
      </c>
      <c r="V1004" s="81" t="s">
        <v>48</v>
      </c>
      <c r="W1004" s="81" t="s">
        <v>49</v>
      </c>
      <c r="X1004" s="81" t="s">
        <v>48</v>
      </c>
      <c r="Y1004" s="81" t="s">
        <v>48</v>
      </c>
    </row>
    <row r="1005" spans="1:25" x14ac:dyDescent="0.3">
      <c r="A1005" s="16">
        <v>7502009740374</v>
      </c>
      <c r="B1005" s="81" t="s">
        <v>43</v>
      </c>
      <c r="C1005" s="81" t="s">
        <v>952</v>
      </c>
      <c r="D1005" s="81" t="s">
        <v>45</v>
      </c>
      <c r="E1005" s="81" t="s">
        <v>2352</v>
      </c>
      <c r="F1005" s="81" t="s">
        <v>2496</v>
      </c>
      <c r="G1005" s="81" t="s">
        <v>5502</v>
      </c>
      <c r="H1005" s="81" t="s">
        <v>2209</v>
      </c>
      <c r="I1005" s="81" t="s">
        <v>6245</v>
      </c>
      <c r="J1005" s="81" t="s">
        <v>2186</v>
      </c>
      <c r="K1005" s="81" t="s">
        <v>6245</v>
      </c>
      <c r="L1005" s="81" t="s">
        <v>2392</v>
      </c>
      <c r="M1005" s="81" t="s">
        <v>6245</v>
      </c>
      <c r="N1005" s="81" t="s">
        <v>2231</v>
      </c>
      <c r="O1005" s="81" t="s">
        <v>2187</v>
      </c>
      <c r="P1005" s="81" t="s">
        <v>2187</v>
      </c>
      <c r="Q1005" s="81" t="s">
        <v>43</v>
      </c>
      <c r="R1005" s="81" t="s">
        <v>46</v>
      </c>
      <c r="S1005" s="81" t="s">
        <v>46</v>
      </c>
      <c r="T1005" s="81" t="s">
        <v>48</v>
      </c>
      <c r="U1005" s="81" t="s">
        <v>48</v>
      </c>
      <c r="V1005" s="81" t="s">
        <v>48</v>
      </c>
      <c r="W1005" s="81" t="s">
        <v>49</v>
      </c>
      <c r="X1005" s="81" t="s">
        <v>48</v>
      </c>
      <c r="Y1005" s="81" t="s">
        <v>48</v>
      </c>
    </row>
    <row r="1006" spans="1:25" x14ac:dyDescent="0.3">
      <c r="A1006" s="16">
        <v>7501868901131</v>
      </c>
      <c r="B1006" s="81" t="s">
        <v>43</v>
      </c>
      <c r="C1006" s="81" t="s">
        <v>953</v>
      </c>
      <c r="D1006" s="81" t="s">
        <v>45</v>
      </c>
      <c r="E1006" s="81" t="s">
        <v>2420</v>
      </c>
      <c r="F1006" s="81" t="s">
        <v>2722</v>
      </c>
      <c r="G1006" s="81" t="s">
        <v>4731</v>
      </c>
      <c r="H1006" s="81" t="s">
        <v>3135</v>
      </c>
      <c r="I1006" s="81" t="s">
        <v>6300</v>
      </c>
      <c r="J1006" s="81" t="s">
        <v>2186</v>
      </c>
      <c r="K1006" s="81" t="s">
        <v>6300</v>
      </c>
      <c r="L1006" s="81" t="s">
        <v>2392</v>
      </c>
      <c r="M1006" s="81" t="s">
        <v>6300</v>
      </c>
      <c r="N1006" s="81" t="s">
        <v>2231</v>
      </c>
      <c r="O1006" s="81" t="s">
        <v>2187</v>
      </c>
      <c r="P1006" s="81" t="s">
        <v>2187</v>
      </c>
      <c r="Q1006" s="81" t="s">
        <v>43</v>
      </c>
      <c r="R1006" s="81" t="s">
        <v>122</v>
      </c>
      <c r="S1006" s="81" t="s">
        <v>122</v>
      </c>
      <c r="T1006" s="81" t="s">
        <v>48</v>
      </c>
      <c r="U1006" s="81" t="s">
        <v>48</v>
      </c>
      <c r="V1006" s="81" t="s">
        <v>49</v>
      </c>
      <c r="W1006" s="81" t="s">
        <v>48</v>
      </c>
      <c r="X1006" s="81" t="s">
        <v>48</v>
      </c>
      <c r="Y1006" s="81" t="s">
        <v>48</v>
      </c>
    </row>
    <row r="1007" spans="1:25" x14ac:dyDescent="0.3">
      <c r="A1007" s="16">
        <v>7501868901124</v>
      </c>
      <c r="B1007" s="81" t="s">
        <v>43</v>
      </c>
      <c r="C1007" s="81" t="s">
        <v>954</v>
      </c>
      <c r="D1007" s="81" t="s">
        <v>45</v>
      </c>
      <c r="E1007" s="81" t="s">
        <v>2483</v>
      </c>
      <c r="F1007" s="81" t="s">
        <v>2378</v>
      </c>
      <c r="G1007" s="81" t="s">
        <v>2556</v>
      </c>
      <c r="H1007" s="81" t="s">
        <v>3524</v>
      </c>
      <c r="I1007" s="81" t="s">
        <v>6301</v>
      </c>
      <c r="J1007" s="81" t="s">
        <v>2186</v>
      </c>
      <c r="K1007" s="81" t="s">
        <v>6301</v>
      </c>
      <c r="L1007" s="81" t="s">
        <v>2392</v>
      </c>
      <c r="M1007" s="81" t="s">
        <v>6301</v>
      </c>
      <c r="N1007" s="81" t="s">
        <v>2231</v>
      </c>
      <c r="O1007" s="81" t="s">
        <v>2187</v>
      </c>
      <c r="P1007" s="81" t="s">
        <v>2187</v>
      </c>
      <c r="Q1007" s="81" t="s">
        <v>43</v>
      </c>
      <c r="R1007" s="81" t="s">
        <v>122</v>
      </c>
      <c r="S1007" s="81" t="s">
        <v>123</v>
      </c>
      <c r="T1007" s="81" t="s">
        <v>48</v>
      </c>
      <c r="U1007" s="81" t="s">
        <v>48</v>
      </c>
      <c r="V1007" s="81" t="s">
        <v>49</v>
      </c>
      <c r="W1007" s="81" t="s">
        <v>48</v>
      </c>
      <c r="X1007" s="81" t="s">
        <v>48</v>
      </c>
      <c r="Y1007" s="81" t="s">
        <v>48</v>
      </c>
    </row>
    <row r="1008" spans="1:25" x14ac:dyDescent="0.3">
      <c r="A1008" s="16">
        <v>7501868901117</v>
      </c>
      <c r="B1008" s="81" t="s">
        <v>43</v>
      </c>
      <c r="C1008" s="81" t="s">
        <v>955</v>
      </c>
      <c r="D1008" s="81" t="s">
        <v>45</v>
      </c>
      <c r="E1008" s="81" t="s">
        <v>3029</v>
      </c>
      <c r="F1008" s="81" t="s">
        <v>3526</v>
      </c>
      <c r="G1008" s="81" t="s">
        <v>3527</v>
      </c>
      <c r="H1008" s="81" t="s">
        <v>3231</v>
      </c>
      <c r="I1008" s="81" t="s">
        <v>6302</v>
      </c>
      <c r="J1008" s="81" t="s">
        <v>2186</v>
      </c>
      <c r="K1008" s="81" t="s">
        <v>6302</v>
      </c>
      <c r="L1008" s="81" t="s">
        <v>2392</v>
      </c>
      <c r="M1008" s="81" t="s">
        <v>6302</v>
      </c>
      <c r="N1008" s="81" t="s">
        <v>2231</v>
      </c>
      <c r="O1008" s="81" t="s">
        <v>2187</v>
      </c>
      <c r="P1008" s="81" t="s">
        <v>2187</v>
      </c>
      <c r="Q1008" s="81" t="s">
        <v>43</v>
      </c>
      <c r="R1008" s="81" t="s">
        <v>122</v>
      </c>
      <c r="S1008" s="81" t="s">
        <v>123</v>
      </c>
      <c r="T1008" s="81" t="s">
        <v>48</v>
      </c>
      <c r="U1008" s="81" t="s">
        <v>48</v>
      </c>
      <c r="V1008" s="81" t="s">
        <v>49</v>
      </c>
      <c r="W1008" s="81" t="s">
        <v>48</v>
      </c>
      <c r="X1008" s="81" t="s">
        <v>48</v>
      </c>
      <c r="Y1008" s="81" t="s">
        <v>48</v>
      </c>
    </row>
    <row r="1009" spans="1:25" x14ac:dyDescent="0.3">
      <c r="A1009" s="16">
        <v>729514000190</v>
      </c>
      <c r="B1009" s="81" t="s">
        <v>43</v>
      </c>
      <c r="C1009" s="81" t="s">
        <v>956</v>
      </c>
      <c r="D1009" s="81" t="s">
        <v>45</v>
      </c>
      <c r="E1009" s="81" t="s">
        <v>2412</v>
      </c>
      <c r="F1009" s="81" t="s">
        <v>2368</v>
      </c>
      <c r="G1009" s="81" t="s">
        <v>3528</v>
      </c>
      <c r="H1009" s="81" t="s">
        <v>6303</v>
      </c>
      <c r="I1009" s="81" t="s">
        <v>6304</v>
      </c>
      <c r="J1009" s="81" t="s">
        <v>2186</v>
      </c>
      <c r="K1009" s="81" t="s">
        <v>6304</v>
      </c>
      <c r="L1009" s="81" t="s">
        <v>2392</v>
      </c>
      <c r="M1009" s="81" t="s">
        <v>6304</v>
      </c>
      <c r="N1009" s="81" t="s">
        <v>2231</v>
      </c>
      <c r="O1009" s="81" t="s">
        <v>2187</v>
      </c>
      <c r="P1009" s="81" t="s">
        <v>2187</v>
      </c>
      <c r="Q1009" s="81" t="s">
        <v>43</v>
      </c>
      <c r="R1009" s="81" t="s">
        <v>203</v>
      </c>
      <c r="S1009" s="81" t="s">
        <v>203</v>
      </c>
      <c r="T1009" s="81" t="s">
        <v>48</v>
      </c>
      <c r="U1009" s="81" t="s">
        <v>48</v>
      </c>
      <c r="V1009" s="81" t="s">
        <v>49</v>
      </c>
      <c r="W1009" s="81" t="s">
        <v>48</v>
      </c>
      <c r="X1009" s="81" t="s">
        <v>48</v>
      </c>
      <c r="Y1009" s="81" t="s">
        <v>48</v>
      </c>
    </row>
    <row r="1010" spans="1:25" x14ac:dyDescent="0.3">
      <c r="A1010" s="16">
        <v>4021447739687</v>
      </c>
      <c r="B1010" s="81" t="s">
        <v>43</v>
      </c>
      <c r="C1010" s="81" t="s">
        <v>957</v>
      </c>
      <c r="D1010" s="81" t="s">
        <v>45</v>
      </c>
      <c r="E1010" s="81" t="s">
        <v>2412</v>
      </c>
      <c r="F1010" s="81" t="s">
        <v>2412</v>
      </c>
      <c r="G1010" s="81" t="s">
        <v>3529</v>
      </c>
      <c r="H1010" s="81" t="s">
        <v>2702</v>
      </c>
      <c r="I1010" s="81" t="s">
        <v>6305</v>
      </c>
      <c r="J1010" s="81" t="s">
        <v>2186</v>
      </c>
      <c r="K1010" s="81" t="s">
        <v>6305</v>
      </c>
      <c r="L1010" s="81" t="s">
        <v>2392</v>
      </c>
      <c r="M1010" s="81" t="s">
        <v>6305</v>
      </c>
      <c r="N1010" s="81" t="s">
        <v>2231</v>
      </c>
      <c r="O1010" s="81" t="s">
        <v>2187</v>
      </c>
      <c r="P1010" s="81" t="s">
        <v>2187</v>
      </c>
      <c r="Q1010" s="81" t="s">
        <v>43</v>
      </c>
      <c r="R1010" s="81" t="s">
        <v>122</v>
      </c>
      <c r="S1010" s="81" t="s">
        <v>123</v>
      </c>
      <c r="T1010" s="81" t="s">
        <v>48</v>
      </c>
      <c r="U1010" s="81" t="s">
        <v>48</v>
      </c>
      <c r="V1010" s="81" t="s">
        <v>49</v>
      </c>
      <c r="W1010" s="81" t="s">
        <v>48</v>
      </c>
      <c r="X1010" s="81" t="s">
        <v>48</v>
      </c>
      <c r="Y1010" s="81" t="s">
        <v>48</v>
      </c>
    </row>
    <row r="1011" spans="1:25" x14ac:dyDescent="0.3">
      <c r="A1011" s="16">
        <v>4021447930350</v>
      </c>
      <c r="B1011" s="81" t="s">
        <v>43</v>
      </c>
      <c r="C1011" s="81" t="s">
        <v>958</v>
      </c>
      <c r="D1011" s="81" t="s">
        <v>45</v>
      </c>
      <c r="E1011" s="81" t="s">
        <v>2180</v>
      </c>
      <c r="F1011" s="81" t="s">
        <v>2704</v>
      </c>
      <c r="G1011" s="81" t="s">
        <v>3529</v>
      </c>
      <c r="H1011" s="81" t="s">
        <v>2702</v>
      </c>
      <c r="I1011" s="81" t="s">
        <v>6305</v>
      </c>
      <c r="J1011" s="81" t="s">
        <v>2186</v>
      </c>
      <c r="K1011" s="81" t="s">
        <v>6305</v>
      </c>
      <c r="L1011" s="81" t="s">
        <v>2392</v>
      </c>
      <c r="M1011" s="81" t="s">
        <v>6305</v>
      </c>
      <c r="N1011" s="81" t="s">
        <v>2231</v>
      </c>
      <c r="O1011" s="81" t="s">
        <v>2187</v>
      </c>
      <c r="P1011" s="81" t="s">
        <v>2187</v>
      </c>
      <c r="Q1011" s="81" t="s">
        <v>43</v>
      </c>
      <c r="R1011" s="81" t="s">
        <v>122</v>
      </c>
      <c r="S1011" s="81" t="s">
        <v>123</v>
      </c>
      <c r="T1011" s="81" t="s">
        <v>48</v>
      </c>
      <c r="U1011" s="81" t="s">
        <v>48</v>
      </c>
      <c r="V1011" s="81" t="s">
        <v>49</v>
      </c>
      <c r="W1011" s="81" t="s">
        <v>48</v>
      </c>
      <c r="X1011" s="81" t="s">
        <v>48</v>
      </c>
      <c r="Y1011" s="81" t="s">
        <v>48</v>
      </c>
    </row>
    <row r="1012" spans="1:25" x14ac:dyDescent="0.3">
      <c r="A1012" s="16">
        <v>4021447089782</v>
      </c>
      <c r="B1012" s="81" t="s">
        <v>43</v>
      </c>
      <c r="C1012" s="81" t="s">
        <v>959</v>
      </c>
      <c r="D1012" s="81" t="s">
        <v>45</v>
      </c>
      <c r="E1012" s="81" t="s">
        <v>2412</v>
      </c>
      <c r="F1012" s="81" t="s">
        <v>2412</v>
      </c>
      <c r="G1012" s="81" t="s">
        <v>3530</v>
      </c>
      <c r="H1012" s="81" t="s">
        <v>5264</v>
      </c>
      <c r="I1012" s="81" t="s">
        <v>6306</v>
      </c>
      <c r="J1012" s="81" t="s">
        <v>2186</v>
      </c>
      <c r="K1012" s="81" t="s">
        <v>6306</v>
      </c>
      <c r="L1012" s="81" t="s">
        <v>2392</v>
      </c>
      <c r="M1012" s="81" t="s">
        <v>6306</v>
      </c>
      <c r="N1012" s="81" t="s">
        <v>2231</v>
      </c>
      <c r="O1012" s="81" t="s">
        <v>2187</v>
      </c>
      <c r="P1012" s="81" t="s">
        <v>2187</v>
      </c>
      <c r="Q1012" s="81" t="s">
        <v>43</v>
      </c>
      <c r="R1012" s="81" t="s">
        <v>122</v>
      </c>
      <c r="S1012" s="81" t="s">
        <v>123</v>
      </c>
      <c r="T1012" s="81" t="s">
        <v>48</v>
      </c>
      <c r="U1012" s="81" t="s">
        <v>48</v>
      </c>
      <c r="V1012" s="81" t="s">
        <v>49</v>
      </c>
      <c r="W1012" s="81" t="s">
        <v>48</v>
      </c>
      <c r="X1012" s="81" t="s">
        <v>48</v>
      </c>
      <c r="Y1012" s="81" t="s">
        <v>48</v>
      </c>
    </row>
    <row r="1013" spans="1:25" x14ac:dyDescent="0.3">
      <c r="A1013" s="16">
        <v>729513130041</v>
      </c>
      <c r="B1013" s="81" t="s">
        <v>43</v>
      </c>
      <c r="C1013" s="81" t="s">
        <v>960</v>
      </c>
      <c r="D1013" s="81" t="s">
        <v>45</v>
      </c>
      <c r="E1013" s="81" t="s">
        <v>2442</v>
      </c>
      <c r="F1013" s="81" t="s">
        <v>2620</v>
      </c>
      <c r="G1013" s="81" t="s">
        <v>3531</v>
      </c>
      <c r="H1013" s="81" t="s">
        <v>3083</v>
      </c>
      <c r="I1013" s="81" t="s">
        <v>4596</v>
      </c>
      <c r="J1013" s="81" t="s">
        <v>2186</v>
      </c>
      <c r="K1013" s="81" t="s">
        <v>4597</v>
      </c>
      <c r="L1013" s="81" t="s">
        <v>2392</v>
      </c>
      <c r="M1013" s="81" t="s">
        <v>2181</v>
      </c>
      <c r="N1013" s="81" t="s">
        <v>2231</v>
      </c>
      <c r="O1013" s="81" t="s">
        <v>2187</v>
      </c>
      <c r="P1013" s="81" t="s">
        <v>2187</v>
      </c>
      <c r="Q1013" s="81" t="s">
        <v>43</v>
      </c>
      <c r="R1013" s="81" t="s">
        <v>122</v>
      </c>
      <c r="S1013" s="81" t="s">
        <v>122</v>
      </c>
      <c r="T1013" s="81" t="s">
        <v>48</v>
      </c>
      <c r="U1013" s="81" t="s">
        <v>48</v>
      </c>
      <c r="V1013" s="81" t="s">
        <v>49</v>
      </c>
      <c r="W1013" s="81" t="s">
        <v>48</v>
      </c>
      <c r="X1013" s="81" t="s">
        <v>48</v>
      </c>
      <c r="Y1013" s="81" t="s">
        <v>48</v>
      </c>
    </row>
    <row r="1014" spans="1:25" x14ac:dyDescent="0.3">
      <c r="A1014" s="16">
        <v>729513130027</v>
      </c>
      <c r="B1014" s="81" t="s">
        <v>43</v>
      </c>
      <c r="C1014" s="81" t="s">
        <v>961</v>
      </c>
      <c r="D1014" s="81" t="s">
        <v>45</v>
      </c>
      <c r="E1014" s="81" t="s">
        <v>2308</v>
      </c>
      <c r="F1014" s="81" t="s">
        <v>2180</v>
      </c>
      <c r="G1014" s="81" t="s">
        <v>3532</v>
      </c>
      <c r="H1014" s="81" t="s">
        <v>6307</v>
      </c>
      <c r="I1014" s="81" t="s">
        <v>6308</v>
      </c>
      <c r="J1014" s="81" t="s">
        <v>2186</v>
      </c>
      <c r="K1014" s="81" t="s">
        <v>6308</v>
      </c>
      <c r="L1014" s="81" t="s">
        <v>2392</v>
      </c>
      <c r="M1014" s="81" t="s">
        <v>6308</v>
      </c>
      <c r="N1014" s="81" t="s">
        <v>2231</v>
      </c>
      <c r="O1014" s="81" t="s">
        <v>2187</v>
      </c>
      <c r="P1014" s="81" t="s">
        <v>2187</v>
      </c>
      <c r="Q1014" s="81" t="s">
        <v>43</v>
      </c>
      <c r="R1014" s="81" t="s">
        <v>122</v>
      </c>
      <c r="S1014" s="81" t="s">
        <v>122</v>
      </c>
      <c r="T1014" s="81" t="s">
        <v>48</v>
      </c>
      <c r="U1014" s="81" t="s">
        <v>48</v>
      </c>
      <c r="V1014" s="81" t="s">
        <v>49</v>
      </c>
      <c r="W1014" s="81" t="s">
        <v>48</v>
      </c>
      <c r="X1014" s="81" t="s">
        <v>48</v>
      </c>
      <c r="Y1014" s="81" t="s">
        <v>48</v>
      </c>
    </row>
    <row r="1015" spans="1:25" x14ac:dyDescent="0.3">
      <c r="A1015" s="16">
        <v>729513107890</v>
      </c>
      <c r="B1015" s="81" t="s">
        <v>43</v>
      </c>
      <c r="C1015" s="81" t="s">
        <v>962</v>
      </c>
      <c r="D1015" s="81" t="s">
        <v>45</v>
      </c>
      <c r="E1015" s="81" t="s">
        <v>2233</v>
      </c>
      <c r="F1015" s="81" t="s">
        <v>2477</v>
      </c>
      <c r="G1015" s="81" t="s">
        <v>4598</v>
      </c>
      <c r="H1015" s="81" t="s">
        <v>6309</v>
      </c>
      <c r="I1015" s="81" t="s">
        <v>6310</v>
      </c>
      <c r="J1015" s="81" t="s">
        <v>2186</v>
      </c>
      <c r="K1015" s="81" t="s">
        <v>6310</v>
      </c>
      <c r="L1015" s="81" t="s">
        <v>2392</v>
      </c>
      <c r="M1015" s="81" t="s">
        <v>6310</v>
      </c>
      <c r="N1015" s="81" t="s">
        <v>2231</v>
      </c>
      <c r="O1015" s="81" t="s">
        <v>2187</v>
      </c>
      <c r="P1015" s="81" t="s">
        <v>2187</v>
      </c>
      <c r="Q1015" s="81" t="s">
        <v>43</v>
      </c>
      <c r="R1015" s="81" t="s">
        <v>122</v>
      </c>
      <c r="S1015" s="81" t="s">
        <v>122</v>
      </c>
      <c r="T1015" s="81" t="s">
        <v>48</v>
      </c>
      <c r="U1015" s="81" t="s">
        <v>48</v>
      </c>
      <c r="V1015" s="81" t="s">
        <v>49</v>
      </c>
      <c r="W1015" s="81" t="s">
        <v>48</v>
      </c>
      <c r="X1015" s="81" t="s">
        <v>48</v>
      </c>
      <c r="Y1015" s="81" t="s">
        <v>48</v>
      </c>
    </row>
    <row r="1016" spans="1:25" x14ac:dyDescent="0.3">
      <c r="A1016" s="16">
        <v>729513107913</v>
      </c>
      <c r="B1016" s="81" t="s">
        <v>43</v>
      </c>
      <c r="C1016" s="81" t="s">
        <v>3534</v>
      </c>
      <c r="D1016" s="81" t="s">
        <v>45</v>
      </c>
      <c r="E1016" s="81" t="s">
        <v>2629</v>
      </c>
      <c r="F1016" s="81" t="s">
        <v>2433</v>
      </c>
      <c r="G1016" s="81" t="s">
        <v>3535</v>
      </c>
      <c r="H1016" s="81" t="s">
        <v>3041</v>
      </c>
      <c r="I1016" s="81" t="s">
        <v>6311</v>
      </c>
      <c r="J1016" s="81" t="s">
        <v>2186</v>
      </c>
      <c r="K1016" s="81" t="s">
        <v>6311</v>
      </c>
      <c r="L1016" s="81" t="s">
        <v>2392</v>
      </c>
      <c r="M1016" s="81" t="s">
        <v>6311</v>
      </c>
      <c r="N1016" s="81" t="s">
        <v>2231</v>
      </c>
      <c r="O1016" s="81" t="s">
        <v>2187</v>
      </c>
      <c r="P1016" s="81" t="s">
        <v>2187</v>
      </c>
      <c r="Q1016" s="81" t="s">
        <v>43</v>
      </c>
      <c r="R1016" s="81" t="s">
        <v>122</v>
      </c>
      <c r="S1016" s="81" t="s">
        <v>123</v>
      </c>
      <c r="T1016" s="81" t="s">
        <v>48</v>
      </c>
      <c r="U1016" s="81" t="s">
        <v>48</v>
      </c>
      <c r="V1016" s="81" t="s">
        <v>49</v>
      </c>
      <c r="W1016" s="81" t="s">
        <v>48</v>
      </c>
      <c r="X1016" s="81" t="s">
        <v>48</v>
      </c>
      <c r="Y1016" s="81" t="s">
        <v>48</v>
      </c>
    </row>
    <row r="1017" spans="1:25" x14ac:dyDescent="0.3">
      <c r="A1017" s="16">
        <v>7503008344617</v>
      </c>
      <c r="B1017" s="81" t="s">
        <v>43</v>
      </c>
      <c r="C1017" s="81" t="s">
        <v>963</v>
      </c>
      <c r="D1017" s="81" t="s">
        <v>45</v>
      </c>
      <c r="E1017" s="81" t="s">
        <v>2620</v>
      </c>
      <c r="F1017" s="81" t="s">
        <v>2780</v>
      </c>
      <c r="G1017" s="81" t="s">
        <v>4863</v>
      </c>
      <c r="H1017" s="81" t="s">
        <v>3161</v>
      </c>
      <c r="I1017" s="81" t="s">
        <v>6312</v>
      </c>
      <c r="J1017" s="81" t="s">
        <v>2186</v>
      </c>
      <c r="K1017" s="81" t="s">
        <v>6312</v>
      </c>
      <c r="L1017" s="81" t="s">
        <v>2392</v>
      </c>
      <c r="M1017" s="81" t="s">
        <v>6312</v>
      </c>
      <c r="N1017" s="81" t="s">
        <v>2231</v>
      </c>
      <c r="O1017" s="81" t="s">
        <v>2187</v>
      </c>
      <c r="P1017" s="81" t="s">
        <v>2187</v>
      </c>
      <c r="Q1017" s="81" t="s">
        <v>43</v>
      </c>
      <c r="R1017" s="81" t="s">
        <v>46</v>
      </c>
      <c r="S1017" s="81" t="s">
        <v>46</v>
      </c>
      <c r="T1017" s="81" t="s">
        <v>48</v>
      </c>
      <c r="U1017" s="81" t="s">
        <v>48</v>
      </c>
      <c r="V1017" s="81" t="s">
        <v>49</v>
      </c>
      <c r="W1017" s="81" t="s">
        <v>48</v>
      </c>
      <c r="X1017" s="81" t="s">
        <v>48</v>
      </c>
      <c r="Y1017" s="81" t="s">
        <v>48</v>
      </c>
    </row>
    <row r="1018" spans="1:25" x14ac:dyDescent="0.3">
      <c r="A1018" s="16">
        <v>7501349014299</v>
      </c>
      <c r="B1018" s="81" t="s">
        <v>43</v>
      </c>
      <c r="C1018" s="81" t="s">
        <v>964</v>
      </c>
      <c r="D1018" s="81" t="s">
        <v>45</v>
      </c>
      <c r="E1018" s="81" t="s">
        <v>2442</v>
      </c>
      <c r="F1018" s="81" t="s">
        <v>2443</v>
      </c>
      <c r="G1018" s="81" t="s">
        <v>6313</v>
      </c>
      <c r="H1018" s="81" t="s">
        <v>2236</v>
      </c>
      <c r="I1018" s="81" t="s">
        <v>6314</v>
      </c>
      <c r="J1018" s="81" t="s">
        <v>2186</v>
      </c>
      <c r="K1018" s="81" t="s">
        <v>6314</v>
      </c>
      <c r="L1018" s="81" t="s">
        <v>2392</v>
      </c>
      <c r="M1018" s="81" t="s">
        <v>6314</v>
      </c>
      <c r="N1018" s="81" t="s">
        <v>2231</v>
      </c>
      <c r="O1018" s="81" t="s">
        <v>2187</v>
      </c>
      <c r="P1018" s="81" t="s">
        <v>2187</v>
      </c>
      <c r="Q1018" s="81" t="s">
        <v>43</v>
      </c>
      <c r="R1018" s="81" t="s">
        <v>46</v>
      </c>
      <c r="S1018" s="81" t="s">
        <v>47</v>
      </c>
      <c r="T1018" s="81" t="s">
        <v>48</v>
      </c>
      <c r="U1018" s="81" t="s">
        <v>48</v>
      </c>
      <c r="V1018" s="81" t="s">
        <v>48</v>
      </c>
      <c r="W1018" s="81" t="s">
        <v>49</v>
      </c>
      <c r="X1018" s="81" t="s">
        <v>48</v>
      </c>
      <c r="Y1018" s="81" t="s">
        <v>48</v>
      </c>
    </row>
    <row r="1019" spans="1:25" x14ac:dyDescent="0.3">
      <c r="A1019" s="16">
        <v>7502227875964</v>
      </c>
      <c r="B1019" s="81" t="s">
        <v>43</v>
      </c>
      <c r="C1019" s="81" t="s">
        <v>965</v>
      </c>
      <c r="D1019" s="81" t="s">
        <v>45</v>
      </c>
      <c r="E1019" s="81" t="s">
        <v>2465</v>
      </c>
      <c r="F1019" s="81" t="s">
        <v>2210</v>
      </c>
      <c r="G1019" s="81" t="s">
        <v>5188</v>
      </c>
      <c r="H1019" s="81" t="s">
        <v>2259</v>
      </c>
      <c r="I1019" s="81" t="s">
        <v>6315</v>
      </c>
      <c r="J1019" s="81" t="s">
        <v>2186</v>
      </c>
      <c r="K1019" s="81" t="s">
        <v>6315</v>
      </c>
      <c r="L1019" s="81" t="s">
        <v>2392</v>
      </c>
      <c r="M1019" s="81" t="s">
        <v>6315</v>
      </c>
      <c r="N1019" s="81" t="s">
        <v>2231</v>
      </c>
      <c r="O1019" s="81" t="s">
        <v>2187</v>
      </c>
      <c r="P1019" s="81" t="s">
        <v>2187</v>
      </c>
      <c r="Q1019" s="81" t="s">
        <v>43</v>
      </c>
      <c r="R1019" s="81" t="s">
        <v>46</v>
      </c>
      <c r="S1019" s="81" t="s">
        <v>47</v>
      </c>
      <c r="T1019" s="81" t="s">
        <v>48</v>
      </c>
      <c r="U1019" s="81" t="s">
        <v>48</v>
      </c>
      <c r="V1019" s="81" t="s">
        <v>48</v>
      </c>
      <c r="W1019" s="81" t="s">
        <v>49</v>
      </c>
      <c r="X1019" s="81" t="s">
        <v>48</v>
      </c>
      <c r="Y1019" s="81" t="s">
        <v>48</v>
      </c>
    </row>
    <row r="1020" spans="1:25" x14ac:dyDescent="0.3">
      <c r="A1020" s="16">
        <v>7501277030224</v>
      </c>
      <c r="B1020" s="81" t="s">
        <v>43</v>
      </c>
      <c r="C1020" s="81" t="s">
        <v>3536</v>
      </c>
      <c r="D1020" s="81" t="s">
        <v>45</v>
      </c>
      <c r="E1020" s="81" t="s">
        <v>2308</v>
      </c>
      <c r="F1020" s="81" t="s">
        <v>2180</v>
      </c>
      <c r="G1020" s="81" t="s">
        <v>3537</v>
      </c>
      <c r="H1020" s="81" t="s">
        <v>2503</v>
      </c>
      <c r="I1020" s="81" t="s">
        <v>3785</v>
      </c>
      <c r="J1020" s="81" t="s">
        <v>2186</v>
      </c>
      <c r="K1020" s="81" t="s">
        <v>3785</v>
      </c>
      <c r="L1020" s="81" t="s">
        <v>2392</v>
      </c>
      <c r="M1020" s="81" t="s">
        <v>3785</v>
      </c>
      <c r="N1020" s="81" t="s">
        <v>2231</v>
      </c>
      <c r="O1020" s="81" t="s">
        <v>2187</v>
      </c>
      <c r="P1020" s="81" t="s">
        <v>2187</v>
      </c>
      <c r="Q1020" s="81" t="s">
        <v>43</v>
      </c>
      <c r="R1020" s="81" t="s">
        <v>46</v>
      </c>
      <c r="S1020" s="81" t="s">
        <v>47</v>
      </c>
      <c r="T1020" s="81" t="s">
        <v>48</v>
      </c>
      <c r="U1020" s="81" t="s">
        <v>48</v>
      </c>
      <c r="V1020" s="81" t="s">
        <v>48</v>
      </c>
      <c r="W1020" s="81" t="s">
        <v>49</v>
      </c>
      <c r="X1020" s="81" t="s">
        <v>48</v>
      </c>
      <c r="Y1020" s="81" t="s">
        <v>48</v>
      </c>
    </row>
    <row r="1021" spans="1:25" x14ac:dyDescent="0.3">
      <c r="A1021" s="16">
        <v>7506021101021</v>
      </c>
      <c r="B1021" s="81" t="s">
        <v>43</v>
      </c>
      <c r="C1021" s="81" t="s">
        <v>1993</v>
      </c>
      <c r="D1021" s="81" t="s">
        <v>45</v>
      </c>
      <c r="E1021" s="81" t="s">
        <v>2465</v>
      </c>
      <c r="F1021" s="81" t="s">
        <v>2257</v>
      </c>
      <c r="G1021" s="81" t="s">
        <v>4932</v>
      </c>
      <c r="H1021" s="81" t="s">
        <v>2467</v>
      </c>
      <c r="I1021" s="81" t="s">
        <v>5938</v>
      </c>
      <c r="J1021" s="81" t="s">
        <v>2186</v>
      </c>
      <c r="K1021" s="81" t="s">
        <v>5938</v>
      </c>
      <c r="L1021" s="81" t="s">
        <v>2392</v>
      </c>
      <c r="M1021" s="81" t="s">
        <v>5938</v>
      </c>
      <c r="N1021" s="81" t="s">
        <v>2231</v>
      </c>
      <c r="O1021" s="81" t="s">
        <v>2187</v>
      </c>
      <c r="P1021" s="81" t="s">
        <v>2187</v>
      </c>
      <c r="Q1021" s="81" t="s">
        <v>43</v>
      </c>
      <c r="R1021" s="81" t="s">
        <v>101</v>
      </c>
      <c r="S1021" s="81" t="s">
        <v>101</v>
      </c>
      <c r="T1021" s="81" t="s">
        <v>48</v>
      </c>
      <c r="U1021" s="81" t="s">
        <v>48</v>
      </c>
      <c r="V1021" s="81" t="s">
        <v>49</v>
      </c>
      <c r="W1021" s="81" t="s">
        <v>48</v>
      </c>
      <c r="X1021" s="81" t="s">
        <v>48</v>
      </c>
      <c r="Y1021" s="81" t="s">
        <v>48</v>
      </c>
    </row>
    <row r="1022" spans="1:25" x14ac:dyDescent="0.3">
      <c r="A1022" s="16">
        <v>7502001163065</v>
      </c>
      <c r="B1022" s="81" t="s">
        <v>43</v>
      </c>
      <c r="C1022" s="81" t="s">
        <v>3538</v>
      </c>
      <c r="D1022" s="81" t="s">
        <v>45</v>
      </c>
      <c r="E1022" s="81" t="s">
        <v>2893</v>
      </c>
      <c r="F1022" s="81" t="s">
        <v>2894</v>
      </c>
      <c r="G1022" s="81" t="s">
        <v>5034</v>
      </c>
      <c r="H1022" s="81" t="s">
        <v>2391</v>
      </c>
      <c r="I1022" s="81" t="s">
        <v>6316</v>
      </c>
      <c r="J1022" s="81" t="s">
        <v>2186</v>
      </c>
      <c r="K1022" s="81" t="s">
        <v>6316</v>
      </c>
      <c r="L1022" s="81" t="s">
        <v>2392</v>
      </c>
      <c r="M1022" s="81" t="s">
        <v>6316</v>
      </c>
      <c r="N1022" s="81" t="s">
        <v>2231</v>
      </c>
      <c r="O1022" s="81" t="s">
        <v>2187</v>
      </c>
      <c r="P1022" s="81" t="s">
        <v>2187</v>
      </c>
      <c r="Q1022" s="81" t="s">
        <v>43</v>
      </c>
      <c r="R1022" s="81" t="s">
        <v>46</v>
      </c>
      <c r="S1022" s="81" t="s">
        <v>46</v>
      </c>
      <c r="T1022" s="81" t="s">
        <v>48</v>
      </c>
      <c r="U1022" s="81" t="s">
        <v>48</v>
      </c>
      <c r="V1022" s="81" t="s">
        <v>48</v>
      </c>
      <c r="W1022" s="81" t="s">
        <v>49</v>
      </c>
      <c r="X1022" s="81" t="s">
        <v>48</v>
      </c>
      <c r="Y1022" s="81" t="s">
        <v>48</v>
      </c>
    </row>
    <row r="1023" spans="1:25" x14ac:dyDescent="0.3">
      <c r="A1023" s="16">
        <v>7502001163119</v>
      </c>
      <c r="B1023" s="81" t="s">
        <v>43</v>
      </c>
      <c r="C1023" s="81" t="s">
        <v>2154</v>
      </c>
      <c r="D1023" s="81" t="s">
        <v>45</v>
      </c>
      <c r="E1023" s="81" t="s">
        <v>2900</v>
      </c>
      <c r="F1023" s="81" t="s">
        <v>3540</v>
      </c>
      <c r="G1023" s="81" t="s">
        <v>4933</v>
      </c>
      <c r="H1023" s="81" t="s">
        <v>2217</v>
      </c>
      <c r="I1023" s="81" t="s">
        <v>6317</v>
      </c>
      <c r="J1023" s="81" t="s">
        <v>2186</v>
      </c>
      <c r="K1023" s="81" t="s">
        <v>6317</v>
      </c>
      <c r="L1023" s="81" t="s">
        <v>2392</v>
      </c>
      <c r="M1023" s="81" t="s">
        <v>6317</v>
      </c>
      <c r="N1023" s="81" t="s">
        <v>2231</v>
      </c>
      <c r="O1023" s="81" t="s">
        <v>2187</v>
      </c>
      <c r="P1023" s="81" t="s">
        <v>2187</v>
      </c>
      <c r="Q1023" s="81" t="s">
        <v>43</v>
      </c>
      <c r="R1023" s="81" t="s">
        <v>46</v>
      </c>
      <c r="S1023" s="81" t="s">
        <v>46</v>
      </c>
      <c r="T1023" s="81" t="s">
        <v>48</v>
      </c>
      <c r="U1023" s="81" t="s">
        <v>48</v>
      </c>
      <c r="V1023" s="81" t="s">
        <v>48</v>
      </c>
      <c r="W1023" s="81" t="s">
        <v>49</v>
      </c>
      <c r="X1023" s="81" t="s">
        <v>48</v>
      </c>
      <c r="Y1023" s="81" t="s">
        <v>48</v>
      </c>
    </row>
    <row r="1024" spans="1:25" x14ac:dyDescent="0.3">
      <c r="A1024" s="16">
        <v>7502211789833</v>
      </c>
      <c r="B1024" s="81" t="s">
        <v>43</v>
      </c>
      <c r="C1024" s="81" t="s">
        <v>966</v>
      </c>
      <c r="D1024" s="81" t="s">
        <v>45</v>
      </c>
      <c r="E1024" s="81" t="s">
        <v>2179</v>
      </c>
      <c r="F1024" s="81" t="s">
        <v>2704</v>
      </c>
      <c r="G1024" s="81" t="s">
        <v>3541</v>
      </c>
      <c r="H1024" s="81" t="s">
        <v>3542</v>
      </c>
      <c r="I1024" s="81" t="s">
        <v>3430</v>
      </c>
      <c r="J1024" s="81" t="s">
        <v>2186</v>
      </c>
      <c r="K1024" s="81" t="s">
        <v>3430</v>
      </c>
      <c r="L1024" s="81" t="s">
        <v>2392</v>
      </c>
      <c r="M1024" s="81" t="s">
        <v>3430</v>
      </c>
      <c r="N1024" s="81" t="s">
        <v>2231</v>
      </c>
      <c r="O1024" s="81" t="s">
        <v>2187</v>
      </c>
      <c r="P1024" s="81" t="s">
        <v>2187</v>
      </c>
      <c r="Q1024" s="81" t="s">
        <v>43</v>
      </c>
      <c r="R1024" s="81" t="s">
        <v>101</v>
      </c>
      <c r="S1024" s="81" t="s">
        <v>101</v>
      </c>
      <c r="T1024" s="81" t="s">
        <v>48</v>
      </c>
      <c r="U1024" s="81" t="s">
        <v>48</v>
      </c>
      <c r="V1024" s="81" t="s">
        <v>49</v>
      </c>
      <c r="W1024" s="81" t="s">
        <v>48</v>
      </c>
      <c r="X1024" s="81" t="s">
        <v>48</v>
      </c>
      <c r="Y1024" s="81" t="s">
        <v>48</v>
      </c>
    </row>
    <row r="1025" spans="1:25" x14ac:dyDescent="0.3">
      <c r="A1025" s="16">
        <v>7502211789826</v>
      </c>
      <c r="B1025" s="81" t="s">
        <v>43</v>
      </c>
      <c r="C1025" s="81" t="s">
        <v>967</v>
      </c>
      <c r="D1025" s="81" t="s">
        <v>45</v>
      </c>
      <c r="E1025" s="81" t="s">
        <v>2308</v>
      </c>
      <c r="F1025" s="81" t="s">
        <v>2180</v>
      </c>
      <c r="G1025" s="81" t="s">
        <v>3543</v>
      </c>
      <c r="H1025" s="81" t="s">
        <v>3184</v>
      </c>
      <c r="I1025" s="81" t="s">
        <v>3201</v>
      </c>
      <c r="J1025" s="81" t="s">
        <v>2186</v>
      </c>
      <c r="K1025" s="81" t="s">
        <v>3544</v>
      </c>
      <c r="L1025" s="81" t="s">
        <v>2392</v>
      </c>
      <c r="M1025" s="81" t="s">
        <v>3545</v>
      </c>
      <c r="N1025" s="81" t="s">
        <v>2231</v>
      </c>
      <c r="O1025" s="81" t="s">
        <v>2187</v>
      </c>
      <c r="P1025" s="81" t="s">
        <v>2187</v>
      </c>
      <c r="Q1025" s="81" t="s">
        <v>43</v>
      </c>
      <c r="R1025" s="81" t="s">
        <v>46</v>
      </c>
      <c r="S1025" s="81" t="s">
        <v>46</v>
      </c>
      <c r="T1025" s="81" t="s">
        <v>48</v>
      </c>
      <c r="U1025" s="81" t="s">
        <v>48</v>
      </c>
      <c r="V1025" s="81" t="s">
        <v>49</v>
      </c>
      <c r="W1025" s="81" t="s">
        <v>48</v>
      </c>
      <c r="X1025" s="81" t="s">
        <v>48</v>
      </c>
      <c r="Y1025" s="81" t="s">
        <v>48</v>
      </c>
    </row>
    <row r="1026" spans="1:25" x14ac:dyDescent="0.3">
      <c r="A1026" s="16">
        <v>7503001007663</v>
      </c>
      <c r="B1026" s="81" t="s">
        <v>43</v>
      </c>
      <c r="C1026" s="81" t="s">
        <v>968</v>
      </c>
      <c r="D1026" s="81" t="s">
        <v>45</v>
      </c>
      <c r="E1026" s="81" t="s">
        <v>2362</v>
      </c>
      <c r="F1026" s="81" t="s">
        <v>2274</v>
      </c>
      <c r="G1026" s="81" t="s">
        <v>6318</v>
      </c>
      <c r="H1026" s="81" t="s">
        <v>2264</v>
      </c>
      <c r="I1026" s="81" t="s">
        <v>6319</v>
      </c>
      <c r="J1026" s="81" t="s">
        <v>2186</v>
      </c>
      <c r="K1026" s="81" t="s">
        <v>6319</v>
      </c>
      <c r="L1026" s="81" t="s">
        <v>2392</v>
      </c>
      <c r="M1026" s="81" t="s">
        <v>6319</v>
      </c>
      <c r="N1026" s="81" t="s">
        <v>2231</v>
      </c>
      <c r="O1026" s="81" t="s">
        <v>2187</v>
      </c>
      <c r="P1026" s="81" t="s">
        <v>2187</v>
      </c>
      <c r="Q1026" s="81" t="s">
        <v>43</v>
      </c>
      <c r="R1026" s="81" t="s">
        <v>46</v>
      </c>
      <c r="S1026" s="81" t="s">
        <v>46</v>
      </c>
      <c r="T1026" s="81" t="s">
        <v>48</v>
      </c>
      <c r="U1026" s="81" t="s">
        <v>48</v>
      </c>
      <c r="V1026" s="81" t="s">
        <v>48</v>
      </c>
      <c r="W1026" s="81" t="s">
        <v>49</v>
      </c>
      <c r="X1026" s="81" t="s">
        <v>48</v>
      </c>
      <c r="Y1026" s="81" t="s">
        <v>48</v>
      </c>
    </row>
    <row r="1027" spans="1:25" x14ac:dyDescent="0.3">
      <c r="A1027" s="16">
        <v>7506021100710</v>
      </c>
      <c r="B1027" s="81" t="s">
        <v>43</v>
      </c>
      <c r="C1027" s="81" t="s">
        <v>1994</v>
      </c>
      <c r="D1027" s="81" t="s">
        <v>45</v>
      </c>
      <c r="E1027" s="81" t="s">
        <v>2303</v>
      </c>
      <c r="F1027" s="81" t="s">
        <v>2304</v>
      </c>
      <c r="G1027" s="81" t="s">
        <v>5348</v>
      </c>
      <c r="H1027" s="81" t="s">
        <v>2310</v>
      </c>
      <c r="I1027" s="81" t="s">
        <v>5154</v>
      </c>
      <c r="J1027" s="81" t="s">
        <v>2186</v>
      </c>
      <c r="K1027" s="81" t="s">
        <v>5154</v>
      </c>
      <c r="L1027" s="81" t="s">
        <v>2392</v>
      </c>
      <c r="M1027" s="81" t="s">
        <v>5154</v>
      </c>
      <c r="N1027" s="81" t="s">
        <v>2231</v>
      </c>
      <c r="O1027" s="81" t="s">
        <v>2187</v>
      </c>
      <c r="P1027" s="81" t="s">
        <v>2187</v>
      </c>
      <c r="Q1027" s="81" t="s">
        <v>43</v>
      </c>
      <c r="R1027" s="81" t="s">
        <v>101</v>
      </c>
      <c r="S1027" s="81" t="s">
        <v>101</v>
      </c>
      <c r="T1027" s="81" t="s">
        <v>48</v>
      </c>
      <c r="U1027" s="81" t="s">
        <v>48</v>
      </c>
      <c r="V1027" s="81" t="s">
        <v>49</v>
      </c>
      <c r="W1027" s="81" t="s">
        <v>48</v>
      </c>
      <c r="X1027" s="81" t="s">
        <v>48</v>
      </c>
      <c r="Y1027" s="81" t="s">
        <v>48</v>
      </c>
    </row>
    <row r="1028" spans="1:25" x14ac:dyDescent="0.3">
      <c r="A1028" s="16">
        <v>7502009740312</v>
      </c>
      <c r="B1028" s="81" t="s">
        <v>43</v>
      </c>
      <c r="C1028" s="81" t="s">
        <v>969</v>
      </c>
      <c r="D1028" s="81" t="s">
        <v>45</v>
      </c>
      <c r="E1028" s="81" t="s">
        <v>2312</v>
      </c>
      <c r="F1028" s="81" t="s">
        <v>2419</v>
      </c>
      <c r="G1028" s="81" t="s">
        <v>3546</v>
      </c>
      <c r="H1028" s="81" t="s">
        <v>2252</v>
      </c>
      <c r="I1028" s="81" t="s">
        <v>5737</v>
      </c>
      <c r="J1028" s="81" t="s">
        <v>2186</v>
      </c>
      <c r="K1028" s="81" t="s">
        <v>5737</v>
      </c>
      <c r="L1028" s="81" t="s">
        <v>2392</v>
      </c>
      <c r="M1028" s="81" t="s">
        <v>5737</v>
      </c>
      <c r="N1028" s="81" t="s">
        <v>2231</v>
      </c>
      <c r="O1028" s="81" t="s">
        <v>2187</v>
      </c>
      <c r="P1028" s="81" t="s">
        <v>2187</v>
      </c>
      <c r="Q1028" s="81" t="s">
        <v>43</v>
      </c>
      <c r="R1028" s="81" t="s">
        <v>46</v>
      </c>
      <c r="S1028" s="81" t="s">
        <v>46</v>
      </c>
      <c r="T1028" s="81" t="s">
        <v>48</v>
      </c>
      <c r="U1028" s="81" t="s">
        <v>48</v>
      </c>
      <c r="V1028" s="81" t="s">
        <v>48</v>
      </c>
      <c r="W1028" s="81" t="s">
        <v>49</v>
      </c>
      <c r="X1028" s="81" t="s">
        <v>48</v>
      </c>
      <c r="Y1028" s="81" t="s">
        <v>48</v>
      </c>
    </row>
    <row r="1029" spans="1:25" x14ac:dyDescent="0.3">
      <c r="A1029" s="16">
        <v>7502216801196</v>
      </c>
      <c r="B1029" s="81" t="s">
        <v>43</v>
      </c>
      <c r="C1029" s="81" t="s">
        <v>970</v>
      </c>
      <c r="D1029" s="81" t="s">
        <v>45</v>
      </c>
      <c r="E1029" s="81" t="s">
        <v>3490</v>
      </c>
      <c r="F1029" s="81" t="s">
        <v>3547</v>
      </c>
      <c r="G1029" s="81" t="s">
        <v>3665</v>
      </c>
      <c r="H1029" s="81" t="s">
        <v>2270</v>
      </c>
      <c r="I1029" s="81" t="s">
        <v>6320</v>
      </c>
      <c r="J1029" s="81" t="s">
        <v>2186</v>
      </c>
      <c r="K1029" s="81" t="s">
        <v>6320</v>
      </c>
      <c r="L1029" s="81" t="s">
        <v>2392</v>
      </c>
      <c r="M1029" s="81" t="s">
        <v>6320</v>
      </c>
      <c r="N1029" s="81" t="s">
        <v>2231</v>
      </c>
      <c r="O1029" s="81" t="s">
        <v>2187</v>
      </c>
      <c r="P1029" s="81" t="s">
        <v>2187</v>
      </c>
      <c r="Q1029" s="81" t="s">
        <v>43</v>
      </c>
      <c r="R1029" s="81" t="s">
        <v>46</v>
      </c>
      <c r="S1029" s="81" t="s">
        <v>47</v>
      </c>
      <c r="T1029" s="81" t="s">
        <v>48</v>
      </c>
      <c r="U1029" s="81" t="s">
        <v>48</v>
      </c>
      <c r="V1029" s="81" t="s">
        <v>48</v>
      </c>
      <c r="W1029" s="81" t="s">
        <v>49</v>
      </c>
      <c r="X1029" s="81" t="s">
        <v>48</v>
      </c>
      <c r="Y1029" s="81" t="s">
        <v>48</v>
      </c>
    </row>
    <row r="1030" spans="1:25" x14ac:dyDescent="0.3">
      <c r="A1030" s="16">
        <v>7501349022881</v>
      </c>
      <c r="B1030" s="81" t="s">
        <v>43</v>
      </c>
      <c r="C1030" s="81" t="s">
        <v>971</v>
      </c>
      <c r="D1030" s="81" t="s">
        <v>45</v>
      </c>
      <c r="E1030" s="81" t="s">
        <v>2262</v>
      </c>
      <c r="F1030" s="81" t="s">
        <v>2521</v>
      </c>
      <c r="G1030" s="81" t="s">
        <v>6321</v>
      </c>
      <c r="H1030" s="81" t="s">
        <v>2290</v>
      </c>
      <c r="I1030" s="81" t="s">
        <v>6322</v>
      </c>
      <c r="J1030" s="81" t="s">
        <v>2186</v>
      </c>
      <c r="K1030" s="81" t="s">
        <v>6322</v>
      </c>
      <c r="L1030" s="81" t="s">
        <v>2392</v>
      </c>
      <c r="M1030" s="81" t="s">
        <v>6322</v>
      </c>
      <c r="N1030" s="81" t="s">
        <v>2231</v>
      </c>
      <c r="O1030" s="81" t="s">
        <v>2187</v>
      </c>
      <c r="P1030" s="81" t="s">
        <v>2187</v>
      </c>
      <c r="Q1030" s="81" t="s">
        <v>43</v>
      </c>
      <c r="R1030" s="81" t="s">
        <v>51</v>
      </c>
      <c r="S1030" s="81" t="s">
        <v>47</v>
      </c>
      <c r="T1030" s="81" t="s">
        <v>49</v>
      </c>
      <c r="U1030" s="81" t="s">
        <v>48</v>
      </c>
      <c r="V1030" s="81" t="s">
        <v>48</v>
      </c>
      <c r="W1030" s="81" t="s">
        <v>49</v>
      </c>
      <c r="X1030" s="81" t="s">
        <v>48</v>
      </c>
      <c r="Y1030" s="81" t="s">
        <v>48</v>
      </c>
    </row>
    <row r="1031" spans="1:25" x14ac:dyDescent="0.3">
      <c r="A1031" s="16">
        <v>7501537102272</v>
      </c>
      <c r="B1031" s="81" t="s">
        <v>43</v>
      </c>
      <c r="C1031" s="81" t="s">
        <v>972</v>
      </c>
      <c r="D1031" s="81" t="s">
        <v>45</v>
      </c>
      <c r="E1031" s="81" t="s">
        <v>2303</v>
      </c>
      <c r="F1031" s="81" t="s">
        <v>2233</v>
      </c>
      <c r="G1031" s="81" t="s">
        <v>3548</v>
      </c>
      <c r="H1031" s="81" t="s">
        <v>2243</v>
      </c>
      <c r="I1031" s="81" t="s">
        <v>6323</v>
      </c>
      <c r="J1031" s="81" t="s">
        <v>2186</v>
      </c>
      <c r="K1031" s="81" t="s">
        <v>6323</v>
      </c>
      <c r="L1031" s="81" t="s">
        <v>2392</v>
      </c>
      <c r="M1031" s="81" t="s">
        <v>6323</v>
      </c>
      <c r="N1031" s="81" t="s">
        <v>2231</v>
      </c>
      <c r="O1031" s="81" t="s">
        <v>2187</v>
      </c>
      <c r="P1031" s="81" t="s">
        <v>2187</v>
      </c>
      <c r="Q1031" s="81" t="s">
        <v>43</v>
      </c>
      <c r="R1031" s="81" t="s">
        <v>46</v>
      </c>
      <c r="S1031" s="81" t="s">
        <v>73</v>
      </c>
      <c r="T1031" s="81" t="s">
        <v>48</v>
      </c>
      <c r="U1031" s="81" t="s">
        <v>48</v>
      </c>
      <c r="V1031" s="81" t="s">
        <v>48</v>
      </c>
      <c r="W1031" s="81" t="s">
        <v>49</v>
      </c>
      <c r="X1031" s="81" t="s">
        <v>48</v>
      </c>
      <c r="Y1031" s="81" t="s">
        <v>48</v>
      </c>
    </row>
    <row r="1032" spans="1:25" x14ac:dyDescent="0.3">
      <c r="A1032" s="16">
        <v>7501299307298</v>
      </c>
      <c r="B1032" s="81" t="s">
        <v>43</v>
      </c>
      <c r="C1032" s="81" t="s">
        <v>973</v>
      </c>
      <c r="D1032" s="81" t="s">
        <v>45</v>
      </c>
      <c r="E1032" s="81" t="s">
        <v>2180</v>
      </c>
      <c r="F1032" s="81" t="s">
        <v>2298</v>
      </c>
      <c r="G1032" s="81" t="s">
        <v>4864</v>
      </c>
      <c r="H1032" s="81" t="s">
        <v>3549</v>
      </c>
      <c r="I1032" s="81" t="s">
        <v>6324</v>
      </c>
      <c r="J1032" s="81" t="s">
        <v>2186</v>
      </c>
      <c r="K1032" s="81" t="s">
        <v>6324</v>
      </c>
      <c r="L1032" s="81" t="s">
        <v>2392</v>
      </c>
      <c r="M1032" s="81" t="s">
        <v>6324</v>
      </c>
      <c r="N1032" s="81" t="s">
        <v>2231</v>
      </c>
      <c r="O1032" s="81" t="s">
        <v>2187</v>
      </c>
      <c r="P1032" s="81" t="s">
        <v>2187</v>
      </c>
      <c r="Q1032" s="81" t="s">
        <v>43</v>
      </c>
      <c r="R1032" s="81" t="s">
        <v>46</v>
      </c>
      <c r="S1032" s="81" t="s">
        <v>46</v>
      </c>
      <c r="T1032" s="81" t="s">
        <v>48</v>
      </c>
      <c r="U1032" s="81" t="s">
        <v>48</v>
      </c>
      <c r="V1032" s="81" t="s">
        <v>48</v>
      </c>
      <c r="W1032" s="81" t="s">
        <v>49</v>
      </c>
      <c r="X1032" s="81" t="s">
        <v>48</v>
      </c>
      <c r="Y1032" s="81" t="s">
        <v>48</v>
      </c>
    </row>
    <row r="1033" spans="1:25" x14ac:dyDescent="0.3">
      <c r="A1033" s="16">
        <v>7501065095718</v>
      </c>
      <c r="B1033" s="81" t="s">
        <v>43</v>
      </c>
      <c r="C1033" s="81" t="s">
        <v>974</v>
      </c>
      <c r="D1033" s="81" t="s">
        <v>45</v>
      </c>
      <c r="E1033" s="81" t="s">
        <v>2369</v>
      </c>
      <c r="F1033" s="81" t="s">
        <v>2357</v>
      </c>
      <c r="G1033" s="81" t="s">
        <v>4672</v>
      </c>
      <c r="H1033" s="81" t="s">
        <v>3550</v>
      </c>
      <c r="I1033" s="81" t="s">
        <v>3551</v>
      </c>
      <c r="J1033" s="81" t="s">
        <v>2186</v>
      </c>
      <c r="K1033" s="81" t="s">
        <v>3552</v>
      </c>
      <c r="L1033" s="81" t="s">
        <v>2392</v>
      </c>
      <c r="M1033" s="81" t="s">
        <v>3089</v>
      </c>
      <c r="N1033" s="81" t="s">
        <v>2231</v>
      </c>
      <c r="O1033" s="81" t="s">
        <v>2187</v>
      </c>
      <c r="P1033" s="81" t="s">
        <v>2187</v>
      </c>
      <c r="Q1033" s="81" t="s">
        <v>43</v>
      </c>
      <c r="R1033" s="81" t="s">
        <v>203</v>
      </c>
      <c r="S1033" s="81" t="s">
        <v>47</v>
      </c>
      <c r="T1033" s="81" t="s">
        <v>48</v>
      </c>
      <c r="U1033" s="81" t="s">
        <v>48</v>
      </c>
      <c r="V1033" s="81" t="s">
        <v>48</v>
      </c>
      <c r="W1033" s="81" t="s">
        <v>49</v>
      </c>
      <c r="X1033" s="81" t="s">
        <v>48</v>
      </c>
      <c r="Y1033" s="81" t="s">
        <v>48</v>
      </c>
    </row>
    <row r="1034" spans="1:25" x14ac:dyDescent="0.3">
      <c r="A1034" s="16">
        <v>7502227875506</v>
      </c>
      <c r="B1034" s="81" t="s">
        <v>43</v>
      </c>
      <c r="C1034" s="81" t="s">
        <v>975</v>
      </c>
      <c r="D1034" s="81" t="s">
        <v>45</v>
      </c>
      <c r="E1034" s="81" t="s">
        <v>2368</v>
      </c>
      <c r="F1034" s="81" t="s">
        <v>2308</v>
      </c>
      <c r="G1034" s="81" t="s">
        <v>2561</v>
      </c>
      <c r="H1034" s="81" t="s">
        <v>6325</v>
      </c>
      <c r="I1034" s="81" t="s">
        <v>6326</v>
      </c>
      <c r="J1034" s="81" t="s">
        <v>2186</v>
      </c>
      <c r="K1034" s="81" t="s">
        <v>6326</v>
      </c>
      <c r="L1034" s="81" t="s">
        <v>2392</v>
      </c>
      <c r="M1034" s="81" t="s">
        <v>6326</v>
      </c>
      <c r="N1034" s="81" t="s">
        <v>2231</v>
      </c>
      <c r="O1034" s="81" t="s">
        <v>2187</v>
      </c>
      <c r="P1034" s="81" t="s">
        <v>2187</v>
      </c>
      <c r="Q1034" s="81" t="s">
        <v>43</v>
      </c>
      <c r="R1034" s="81" t="s">
        <v>46</v>
      </c>
      <c r="S1034" s="81" t="s">
        <v>46</v>
      </c>
      <c r="T1034" s="81" t="s">
        <v>48</v>
      </c>
      <c r="U1034" s="81" t="s">
        <v>48</v>
      </c>
      <c r="V1034" s="81" t="s">
        <v>48</v>
      </c>
      <c r="W1034" s="81" t="s">
        <v>49</v>
      </c>
      <c r="X1034" s="81" t="s">
        <v>48</v>
      </c>
      <c r="Y1034" s="81" t="s">
        <v>48</v>
      </c>
    </row>
    <row r="1035" spans="1:25" x14ac:dyDescent="0.3">
      <c r="A1035" s="16">
        <v>714908107920</v>
      </c>
      <c r="B1035" s="81" t="s">
        <v>43</v>
      </c>
      <c r="C1035" s="81" t="s">
        <v>976</v>
      </c>
      <c r="D1035" s="81" t="s">
        <v>45</v>
      </c>
      <c r="E1035" s="81" t="s">
        <v>2313</v>
      </c>
      <c r="F1035" s="81" t="s">
        <v>2801</v>
      </c>
      <c r="G1035" s="81" t="s">
        <v>7114</v>
      </c>
      <c r="H1035" s="81" t="s">
        <v>2315</v>
      </c>
      <c r="I1035" s="81" t="s">
        <v>6327</v>
      </c>
      <c r="J1035" s="81" t="s">
        <v>2186</v>
      </c>
      <c r="K1035" s="81" t="s">
        <v>6327</v>
      </c>
      <c r="L1035" s="81" t="s">
        <v>2392</v>
      </c>
      <c r="M1035" s="81" t="s">
        <v>6327</v>
      </c>
      <c r="N1035" s="81" t="s">
        <v>2231</v>
      </c>
      <c r="O1035" s="81" t="s">
        <v>2187</v>
      </c>
      <c r="P1035" s="81" t="s">
        <v>2187</v>
      </c>
      <c r="Q1035" s="81" t="s">
        <v>43</v>
      </c>
      <c r="R1035" s="81" t="s">
        <v>46</v>
      </c>
      <c r="S1035" s="81" t="s">
        <v>47</v>
      </c>
      <c r="T1035" s="81" t="s">
        <v>48</v>
      </c>
      <c r="U1035" s="81" t="s">
        <v>48</v>
      </c>
      <c r="V1035" s="81" t="s">
        <v>48</v>
      </c>
      <c r="W1035" s="81" t="s">
        <v>49</v>
      </c>
      <c r="X1035" s="81" t="s">
        <v>48</v>
      </c>
      <c r="Y1035" s="81" t="s">
        <v>48</v>
      </c>
    </row>
    <row r="1036" spans="1:25" x14ac:dyDescent="0.3">
      <c r="A1036" s="16">
        <v>75050764</v>
      </c>
      <c r="B1036" s="81" t="s">
        <v>43</v>
      </c>
      <c r="C1036" s="81" t="s">
        <v>1995</v>
      </c>
      <c r="D1036" s="81" t="s">
        <v>45</v>
      </c>
      <c r="E1036" s="81" t="s">
        <v>2606</v>
      </c>
      <c r="F1036" s="81" t="s">
        <v>2607</v>
      </c>
      <c r="G1036" s="81" t="s">
        <v>5503</v>
      </c>
      <c r="H1036" s="81" t="s">
        <v>2535</v>
      </c>
      <c r="I1036" s="81" t="s">
        <v>6328</v>
      </c>
      <c r="J1036" s="81" t="s">
        <v>2186</v>
      </c>
      <c r="K1036" s="81" t="s">
        <v>6328</v>
      </c>
      <c r="L1036" s="81" t="s">
        <v>2392</v>
      </c>
      <c r="M1036" s="81" t="s">
        <v>6328</v>
      </c>
      <c r="N1036" s="81" t="s">
        <v>2231</v>
      </c>
      <c r="O1036" s="81" t="s">
        <v>2187</v>
      </c>
      <c r="P1036" s="81" t="s">
        <v>2187</v>
      </c>
      <c r="Q1036" s="81" t="s">
        <v>43</v>
      </c>
      <c r="R1036" s="81" t="s">
        <v>46</v>
      </c>
      <c r="S1036" s="81" t="s">
        <v>46</v>
      </c>
      <c r="T1036" s="81" t="s">
        <v>48</v>
      </c>
      <c r="U1036" s="81" t="s">
        <v>48</v>
      </c>
      <c r="V1036" s="81" t="s">
        <v>48</v>
      </c>
      <c r="W1036" s="81" t="s">
        <v>49</v>
      </c>
      <c r="X1036" s="81" t="s">
        <v>48</v>
      </c>
      <c r="Y1036" s="81" t="s">
        <v>48</v>
      </c>
    </row>
    <row r="1037" spans="1:25" x14ac:dyDescent="0.3">
      <c r="A1037" s="16">
        <v>7502006922629</v>
      </c>
      <c r="B1037" s="81" t="s">
        <v>43</v>
      </c>
      <c r="C1037" s="81" t="s">
        <v>977</v>
      </c>
      <c r="D1037" s="81" t="s">
        <v>45</v>
      </c>
      <c r="E1037" s="81" t="s">
        <v>2443</v>
      </c>
      <c r="F1037" s="81" t="s">
        <v>2483</v>
      </c>
      <c r="G1037" s="81" t="s">
        <v>4753</v>
      </c>
      <c r="H1037" s="81" t="s">
        <v>2190</v>
      </c>
      <c r="I1037" s="81" t="s">
        <v>2209</v>
      </c>
      <c r="J1037" s="81" t="s">
        <v>2186</v>
      </c>
      <c r="K1037" s="81" t="s">
        <v>2213</v>
      </c>
      <c r="L1037" s="81" t="s">
        <v>2392</v>
      </c>
      <c r="M1037" s="81" t="s">
        <v>2214</v>
      </c>
      <c r="N1037" s="81" t="s">
        <v>2231</v>
      </c>
      <c r="O1037" s="81" t="s">
        <v>2187</v>
      </c>
      <c r="P1037" s="81" t="s">
        <v>2187</v>
      </c>
      <c r="Q1037" s="81" t="s">
        <v>43</v>
      </c>
      <c r="R1037" s="81" t="s">
        <v>46</v>
      </c>
      <c r="S1037" s="81" t="s">
        <v>46</v>
      </c>
      <c r="T1037" s="81" t="s">
        <v>48</v>
      </c>
      <c r="U1037" s="81" t="s">
        <v>48</v>
      </c>
      <c r="V1037" s="81" t="s">
        <v>48</v>
      </c>
      <c r="W1037" s="81" t="s">
        <v>49</v>
      </c>
      <c r="X1037" s="81" t="s">
        <v>48</v>
      </c>
      <c r="Y1037" s="81" t="s">
        <v>48</v>
      </c>
    </row>
    <row r="1038" spans="1:25" x14ac:dyDescent="0.3">
      <c r="A1038" s="16">
        <v>7502009745034</v>
      </c>
      <c r="B1038" s="81" t="s">
        <v>43</v>
      </c>
      <c r="C1038" s="81" t="s">
        <v>978</v>
      </c>
      <c r="D1038" s="81" t="s">
        <v>45</v>
      </c>
      <c r="E1038" s="81" t="s">
        <v>2370</v>
      </c>
      <c r="F1038" s="81" t="s">
        <v>2814</v>
      </c>
      <c r="G1038" s="81" t="s">
        <v>5504</v>
      </c>
      <c r="H1038" s="81" t="s">
        <v>2264</v>
      </c>
      <c r="I1038" s="81" t="s">
        <v>2202</v>
      </c>
      <c r="J1038" s="81" t="s">
        <v>2186</v>
      </c>
      <c r="K1038" s="81" t="s">
        <v>2202</v>
      </c>
      <c r="L1038" s="81" t="s">
        <v>2392</v>
      </c>
      <c r="M1038" s="81" t="s">
        <v>2202</v>
      </c>
      <c r="N1038" s="81" t="s">
        <v>2231</v>
      </c>
      <c r="O1038" s="81" t="s">
        <v>2187</v>
      </c>
      <c r="P1038" s="81" t="s">
        <v>2187</v>
      </c>
      <c r="Q1038" s="81" t="s">
        <v>43</v>
      </c>
      <c r="R1038" s="81" t="s">
        <v>46</v>
      </c>
      <c r="S1038" s="81" t="s">
        <v>47</v>
      </c>
      <c r="T1038" s="81" t="s">
        <v>48</v>
      </c>
      <c r="U1038" s="81" t="s">
        <v>48</v>
      </c>
      <c r="V1038" s="81" t="s">
        <v>48</v>
      </c>
      <c r="W1038" s="81" t="s">
        <v>49</v>
      </c>
      <c r="X1038" s="81" t="s">
        <v>48</v>
      </c>
      <c r="Y1038" s="81" t="s">
        <v>48</v>
      </c>
    </row>
    <row r="1039" spans="1:25" x14ac:dyDescent="0.3">
      <c r="A1039" s="16">
        <v>7501165011717</v>
      </c>
      <c r="B1039" s="81" t="s">
        <v>43</v>
      </c>
      <c r="C1039" s="81" t="s">
        <v>979</v>
      </c>
      <c r="D1039" s="81" t="s">
        <v>45</v>
      </c>
      <c r="E1039" s="81" t="s">
        <v>2620</v>
      </c>
      <c r="F1039" s="81" t="s">
        <v>2362</v>
      </c>
      <c r="G1039" s="81" t="s">
        <v>3553</v>
      </c>
      <c r="H1039" s="81" t="s">
        <v>2850</v>
      </c>
      <c r="I1039" s="81" t="s">
        <v>6329</v>
      </c>
      <c r="J1039" s="81" t="s">
        <v>2186</v>
      </c>
      <c r="K1039" s="81" t="s">
        <v>6329</v>
      </c>
      <c r="L1039" s="81" t="s">
        <v>2392</v>
      </c>
      <c r="M1039" s="81" t="s">
        <v>6329</v>
      </c>
      <c r="N1039" s="81" t="s">
        <v>2231</v>
      </c>
      <c r="O1039" s="81" t="s">
        <v>2187</v>
      </c>
      <c r="P1039" s="81" t="s">
        <v>2187</v>
      </c>
      <c r="Q1039" s="81" t="s">
        <v>43</v>
      </c>
      <c r="R1039" s="81" t="s">
        <v>203</v>
      </c>
      <c r="S1039" s="81" t="s">
        <v>164</v>
      </c>
      <c r="T1039" s="81" t="s">
        <v>48</v>
      </c>
      <c r="U1039" s="81" t="s">
        <v>48</v>
      </c>
      <c r="V1039" s="81" t="s">
        <v>48</v>
      </c>
      <c r="W1039" s="81" t="s">
        <v>49</v>
      </c>
      <c r="X1039" s="81" t="s">
        <v>48</v>
      </c>
      <c r="Y1039" s="81" t="s">
        <v>48</v>
      </c>
    </row>
    <row r="1040" spans="1:25" x14ac:dyDescent="0.3">
      <c r="A1040" s="16">
        <v>7502209810273</v>
      </c>
      <c r="B1040" s="81" t="s">
        <v>43</v>
      </c>
      <c r="C1040" s="81" t="s">
        <v>980</v>
      </c>
      <c r="D1040" s="81" t="s">
        <v>45</v>
      </c>
      <c r="E1040" s="81" t="s">
        <v>2496</v>
      </c>
      <c r="F1040" s="81" t="s">
        <v>3554</v>
      </c>
      <c r="G1040" s="81" t="s">
        <v>3555</v>
      </c>
      <c r="H1040" s="81" t="s">
        <v>3409</v>
      </c>
      <c r="I1040" s="81" t="s">
        <v>6295</v>
      </c>
      <c r="J1040" s="81" t="s">
        <v>2186</v>
      </c>
      <c r="K1040" s="81" t="s">
        <v>6295</v>
      </c>
      <c r="L1040" s="81" t="s">
        <v>2392</v>
      </c>
      <c r="M1040" s="81" t="s">
        <v>6295</v>
      </c>
      <c r="N1040" s="81" t="s">
        <v>2231</v>
      </c>
      <c r="O1040" s="81" t="s">
        <v>2187</v>
      </c>
      <c r="P1040" s="81" t="s">
        <v>2187</v>
      </c>
      <c r="Q1040" s="81" t="s">
        <v>43</v>
      </c>
      <c r="R1040" s="81" t="s">
        <v>46</v>
      </c>
      <c r="S1040" s="81" t="s">
        <v>46</v>
      </c>
      <c r="T1040" s="81" t="s">
        <v>48</v>
      </c>
      <c r="U1040" s="81" t="s">
        <v>48</v>
      </c>
      <c r="V1040" s="81" t="s">
        <v>48</v>
      </c>
      <c r="W1040" s="81" t="s">
        <v>49</v>
      </c>
      <c r="X1040" s="81" t="s">
        <v>48</v>
      </c>
      <c r="Y1040" s="81" t="s">
        <v>48</v>
      </c>
    </row>
    <row r="1041" spans="1:25" x14ac:dyDescent="0.3">
      <c r="A1041" s="16">
        <v>7501349021532</v>
      </c>
      <c r="B1041" s="81" t="s">
        <v>43</v>
      </c>
      <c r="C1041" s="81" t="s">
        <v>981</v>
      </c>
      <c r="D1041" s="81" t="s">
        <v>45</v>
      </c>
      <c r="E1041" s="81" t="s">
        <v>2195</v>
      </c>
      <c r="F1041" s="81" t="s">
        <v>2877</v>
      </c>
      <c r="G1041" s="81" t="s">
        <v>2835</v>
      </c>
      <c r="H1041" s="81" t="s">
        <v>2290</v>
      </c>
      <c r="I1041" s="81" t="s">
        <v>2880</v>
      </c>
      <c r="J1041" s="81" t="s">
        <v>2186</v>
      </c>
      <c r="K1041" s="81" t="s">
        <v>2880</v>
      </c>
      <c r="L1041" s="81" t="s">
        <v>2392</v>
      </c>
      <c r="M1041" s="81" t="s">
        <v>2880</v>
      </c>
      <c r="N1041" s="81" t="s">
        <v>2231</v>
      </c>
      <c r="O1041" s="81" t="s">
        <v>2187</v>
      </c>
      <c r="P1041" s="81" t="s">
        <v>2187</v>
      </c>
      <c r="Q1041" s="81" t="s">
        <v>43</v>
      </c>
      <c r="R1041" s="81" t="s">
        <v>51</v>
      </c>
      <c r="S1041" s="81" t="s">
        <v>47</v>
      </c>
      <c r="T1041" s="81" t="s">
        <v>49</v>
      </c>
      <c r="U1041" s="81" t="s">
        <v>48</v>
      </c>
      <c r="V1041" s="81" t="s">
        <v>48</v>
      </c>
      <c r="W1041" s="81" t="s">
        <v>49</v>
      </c>
      <c r="X1041" s="81" t="s">
        <v>48</v>
      </c>
      <c r="Y1041" s="81" t="s">
        <v>48</v>
      </c>
    </row>
    <row r="1042" spans="1:25" x14ac:dyDescent="0.3">
      <c r="A1042" s="16">
        <v>7502009742132</v>
      </c>
      <c r="B1042" s="81" t="s">
        <v>43</v>
      </c>
      <c r="C1042" s="81" t="s">
        <v>1996</v>
      </c>
      <c r="D1042" s="81" t="s">
        <v>45</v>
      </c>
      <c r="E1042" s="81" t="s">
        <v>2263</v>
      </c>
      <c r="F1042" s="81" t="s">
        <v>2475</v>
      </c>
      <c r="G1042" s="81" t="s">
        <v>4067</v>
      </c>
      <c r="H1042" s="81" t="s">
        <v>2393</v>
      </c>
      <c r="I1042" s="81" t="s">
        <v>5580</v>
      </c>
      <c r="J1042" s="81" t="s">
        <v>2186</v>
      </c>
      <c r="K1042" s="81" t="s">
        <v>5580</v>
      </c>
      <c r="L1042" s="81" t="s">
        <v>2392</v>
      </c>
      <c r="M1042" s="81" t="s">
        <v>5580</v>
      </c>
      <c r="N1042" s="81" t="s">
        <v>2231</v>
      </c>
      <c r="O1042" s="81" t="s">
        <v>2187</v>
      </c>
      <c r="P1042" s="81" t="s">
        <v>2187</v>
      </c>
      <c r="Q1042" s="81" t="s">
        <v>43</v>
      </c>
      <c r="R1042" s="81" t="s">
        <v>46</v>
      </c>
      <c r="S1042" s="81" t="s">
        <v>46</v>
      </c>
      <c r="T1042" s="81" t="s">
        <v>48</v>
      </c>
      <c r="U1042" s="81" t="s">
        <v>48</v>
      </c>
      <c r="V1042" s="81" t="s">
        <v>48</v>
      </c>
      <c r="W1042" s="81" t="s">
        <v>49</v>
      </c>
      <c r="X1042" s="81" t="s">
        <v>48</v>
      </c>
      <c r="Y1042" s="81" t="s">
        <v>48</v>
      </c>
    </row>
    <row r="1043" spans="1:25" x14ac:dyDescent="0.3">
      <c r="A1043" s="16">
        <v>7501300450517</v>
      </c>
      <c r="B1043" s="81" t="s">
        <v>43</v>
      </c>
      <c r="C1043" s="81" t="s">
        <v>982</v>
      </c>
      <c r="D1043" s="81" t="s">
        <v>45</v>
      </c>
      <c r="E1043" s="81" t="s">
        <v>2304</v>
      </c>
      <c r="F1043" s="81" t="s">
        <v>2409</v>
      </c>
      <c r="G1043" s="81" t="s">
        <v>3556</v>
      </c>
      <c r="H1043" s="81" t="s">
        <v>2743</v>
      </c>
      <c r="I1043" s="81" t="s">
        <v>5723</v>
      </c>
      <c r="J1043" s="81" t="s">
        <v>2186</v>
      </c>
      <c r="K1043" s="81" t="s">
        <v>5723</v>
      </c>
      <c r="L1043" s="81" t="s">
        <v>2392</v>
      </c>
      <c r="M1043" s="81" t="s">
        <v>5723</v>
      </c>
      <c r="N1043" s="81" t="s">
        <v>2231</v>
      </c>
      <c r="O1043" s="81" t="s">
        <v>2187</v>
      </c>
      <c r="P1043" s="81" t="s">
        <v>2187</v>
      </c>
      <c r="Q1043" s="81" t="s">
        <v>43</v>
      </c>
      <c r="R1043" s="81" t="s">
        <v>374</v>
      </c>
      <c r="S1043" s="81" t="s">
        <v>164</v>
      </c>
      <c r="T1043" s="81" t="s">
        <v>48</v>
      </c>
      <c r="U1043" s="81" t="s">
        <v>48</v>
      </c>
      <c r="V1043" s="81" t="s">
        <v>48</v>
      </c>
      <c r="W1043" s="81" t="s">
        <v>49</v>
      </c>
      <c r="X1043" s="81" t="s">
        <v>48</v>
      </c>
      <c r="Y1043" s="81" t="s">
        <v>48</v>
      </c>
    </row>
    <row r="1044" spans="1:25" x14ac:dyDescent="0.3">
      <c r="A1044" s="16">
        <v>7501300450500</v>
      </c>
      <c r="B1044" s="81" t="s">
        <v>43</v>
      </c>
      <c r="C1044" s="81" t="s">
        <v>983</v>
      </c>
      <c r="D1044" s="81" t="s">
        <v>45</v>
      </c>
      <c r="E1044" s="81" t="s">
        <v>2210</v>
      </c>
      <c r="F1044" s="81" t="s">
        <v>2211</v>
      </c>
      <c r="G1044" s="81" t="s">
        <v>3557</v>
      </c>
      <c r="H1044" s="81" t="s">
        <v>3096</v>
      </c>
      <c r="I1044" s="81" t="s">
        <v>6330</v>
      </c>
      <c r="J1044" s="81" t="s">
        <v>2186</v>
      </c>
      <c r="K1044" s="81" t="s">
        <v>6330</v>
      </c>
      <c r="L1044" s="81" t="s">
        <v>2392</v>
      </c>
      <c r="M1044" s="81" t="s">
        <v>6330</v>
      </c>
      <c r="N1044" s="81" t="s">
        <v>2231</v>
      </c>
      <c r="O1044" s="81" t="s">
        <v>2187</v>
      </c>
      <c r="P1044" s="81" t="s">
        <v>2187</v>
      </c>
      <c r="Q1044" s="81" t="s">
        <v>43</v>
      </c>
      <c r="R1044" s="81" t="s">
        <v>374</v>
      </c>
      <c r="S1044" s="81" t="s">
        <v>164</v>
      </c>
      <c r="T1044" s="81" t="s">
        <v>48</v>
      </c>
      <c r="U1044" s="81" t="s">
        <v>48</v>
      </c>
      <c r="V1044" s="81" t="s">
        <v>48</v>
      </c>
      <c r="W1044" s="81" t="s">
        <v>49</v>
      </c>
      <c r="X1044" s="81" t="s">
        <v>48</v>
      </c>
      <c r="Y1044" s="81" t="s">
        <v>48</v>
      </c>
    </row>
    <row r="1045" spans="1:25" x14ac:dyDescent="0.3">
      <c r="A1045" s="16">
        <v>37836041259</v>
      </c>
      <c r="B1045" s="81" t="s">
        <v>43</v>
      </c>
      <c r="C1045" s="81" t="s">
        <v>984</v>
      </c>
      <c r="D1045" s="81" t="s">
        <v>45</v>
      </c>
      <c r="E1045" s="81" t="s">
        <v>2227</v>
      </c>
      <c r="F1045" s="81" t="s">
        <v>2227</v>
      </c>
      <c r="G1045" s="81" t="s">
        <v>5440</v>
      </c>
      <c r="H1045" s="81" t="s">
        <v>2867</v>
      </c>
      <c r="I1045" s="81" t="s">
        <v>5425</v>
      </c>
      <c r="J1045" s="81" t="s">
        <v>2186</v>
      </c>
      <c r="K1045" s="81" t="s">
        <v>5425</v>
      </c>
      <c r="L1045" s="81" t="s">
        <v>2392</v>
      </c>
      <c r="M1045" s="81" t="s">
        <v>5425</v>
      </c>
      <c r="N1045" s="81" t="s">
        <v>2231</v>
      </c>
      <c r="O1045" s="81" t="s">
        <v>2187</v>
      </c>
      <c r="P1045" s="81" t="s">
        <v>2187</v>
      </c>
      <c r="Q1045" s="81" t="s">
        <v>43</v>
      </c>
      <c r="R1045" s="81" t="s">
        <v>524</v>
      </c>
      <c r="S1045" s="81" t="s">
        <v>525</v>
      </c>
      <c r="T1045" s="81" t="s">
        <v>48</v>
      </c>
      <c r="U1045" s="81" t="s">
        <v>48</v>
      </c>
      <c r="V1045" s="81" t="s">
        <v>49</v>
      </c>
      <c r="W1045" s="81" t="s">
        <v>48</v>
      </c>
      <c r="X1045" s="81" t="s">
        <v>48</v>
      </c>
      <c r="Y1045" s="81" t="s">
        <v>48</v>
      </c>
    </row>
    <row r="1046" spans="1:25" x14ac:dyDescent="0.3">
      <c r="A1046" s="16">
        <v>7502240451022</v>
      </c>
      <c r="B1046" s="81" t="s">
        <v>43</v>
      </c>
      <c r="C1046" s="81" t="s">
        <v>985</v>
      </c>
      <c r="D1046" s="81" t="s">
        <v>45</v>
      </c>
      <c r="E1046" s="81" t="s">
        <v>3558</v>
      </c>
      <c r="F1046" s="81" t="s">
        <v>2825</v>
      </c>
      <c r="G1046" s="81" t="s">
        <v>4865</v>
      </c>
      <c r="H1046" s="81" t="s">
        <v>2381</v>
      </c>
      <c r="I1046" s="81" t="s">
        <v>2382</v>
      </c>
      <c r="J1046" s="81" t="s">
        <v>2186</v>
      </c>
      <c r="K1046" s="81" t="s">
        <v>4866</v>
      </c>
      <c r="L1046" s="81" t="s">
        <v>2392</v>
      </c>
      <c r="M1046" s="81" t="s">
        <v>4866</v>
      </c>
      <c r="N1046" s="81" t="s">
        <v>2231</v>
      </c>
      <c r="O1046" s="81" t="s">
        <v>2187</v>
      </c>
      <c r="P1046" s="81" t="s">
        <v>2187</v>
      </c>
      <c r="Q1046" s="81" t="s">
        <v>43</v>
      </c>
      <c r="R1046" s="81" t="s">
        <v>46</v>
      </c>
      <c r="S1046" s="81" t="s">
        <v>47</v>
      </c>
      <c r="T1046" s="81" t="s">
        <v>48</v>
      </c>
      <c r="U1046" s="81" t="s">
        <v>48</v>
      </c>
      <c r="V1046" s="81" t="s">
        <v>48</v>
      </c>
      <c r="W1046" s="81" t="s">
        <v>49</v>
      </c>
      <c r="X1046" s="81" t="s">
        <v>48</v>
      </c>
      <c r="Y1046" s="81" t="s">
        <v>48</v>
      </c>
    </row>
    <row r="1047" spans="1:25" x14ac:dyDescent="0.3">
      <c r="A1047" s="16" t="s">
        <v>986</v>
      </c>
      <c r="B1047" s="81" t="s">
        <v>43</v>
      </c>
      <c r="C1047" s="81" t="s">
        <v>987</v>
      </c>
      <c r="D1047" s="81" t="s">
        <v>45</v>
      </c>
      <c r="E1047" s="81" t="s">
        <v>2312</v>
      </c>
      <c r="F1047" s="81" t="s">
        <v>2313</v>
      </c>
      <c r="G1047" s="81" t="s">
        <v>3559</v>
      </c>
      <c r="H1047" s="81" t="s">
        <v>6331</v>
      </c>
      <c r="I1047" s="81" t="s">
        <v>6332</v>
      </c>
      <c r="J1047" s="81" t="s">
        <v>2186</v>
      </c>
      <c r="K1047" s="81" t="s">
        <v>6332</v>
      </c>
      <c r="L1047" s="81" t="s">
        <v>2392</v>
      </c>
      <c r="M1047" s="81" t="s">
        <v>6332</v>
      </c>
      <c r="N1047" s="81" t="s">
        <v>2231</v>
      </c>
      <c r="O1047" s="81" t="s">
        <v>2187</v>
      </c>
      <c r="P1047" s="81" t="s">
        <v>2187</v>
      </c>
      <c r="Q1047" s="81" t="s">
        <v>43</v>
      </c>
      <c r="R1047" s="81" t="s">
        <v>46</v>
      </c>
      <c r="S1047" s="81" t="s">
        <v>164</v>
      </c>
      <c r="T1047" s="81" t="s">
        <v>48</v>
      </c>
      <c r="U1047" s="81" t="s">
        <v>48</v>
      </c>
      <c r="V1047" s="81" t="s">
        <v>48</v>
      </c>
      <c r="W1047" s="81" t="s">
        <v>49</v>
      </c>
      <c r="X1047" s="81" t="s">
        <v>48</v>
      </c>
      <c r="Y1047" s="81" t="s">
        <v>48</v>
      </c>
    </row>
    <row r="1048" spans="1:25" x14ac:dyDescent="0.3">
      <c r="A1048" s="16">
        <v>67238891190</v>
      </c>
      <c r="B1048" s="81" t="s">
        <v>43</v>
      </c>
      <c r="C1048" s="81" t="s">
        <v>988</v>
      </c>
      <c r="D1048" s="81" t="s">
        <v>45</v>
      </c>
      <c r="E1048" s="81" t="s">
        <v>2227</v>
      </c>
      <c r="F1048" s="81" t="s">
        <v>2227</v>
      </c>
      <c r="G1048" s="81" t="s">
        <v>5349</v>
      </c>
      <c r="H1048" s="81" t="s">
        <v>5359</v>
      </c>
      <c r="I1048" s="81" t="s">
        <v>6333</v>
      </c>
      <c r="J1048" s="81" t="s">
        <v>2186</v>
      </c>
      <c r="K1048" s="81" t="s">
        <v>6333</v>
      </c>
      <c r="L1048" s="81" t="s">
        <v>2392</v>
      </c>
      <c r="M1048" s="81" t="s">
        <v>6333</v>
      </c>
      <c r="N1048" s="81" t="s">
        <v>2231</v>
      </c>
      <c r="O1048" s="81" t="s">
        <v>2187</v>
      </c>
      <c r="P1048" s="81" t="s">
        <v>2187</v>
      </c>
      <c r="Q1048" s="81" t="s">
        <v>43</v>
      </c>
      <c r="R1048" s="81" t="s">
        <v>524</v>
      </c>
      <c r="S1048" s="81" t="s">
        <v>525</v>
      </c>
      <c r="T1048" s="81" t="s">
        <v>48</v>
      </c>
      <c r="U1048" s="81" t="s">
        <v>48</v>
      </c>
      <c r="V1048" s="81" t="s">
        <v>49</v>
      </c>
      <c r="W1048" s="81" t="s">
        <v>48</v>
      </c>
      <c r="X1048" s="81" t="s">
        <v>48</v>
      </c>
      <c r="Y1048" s="81" t="s">
        <v>48</v>
      </c>
    </row>
    <row r="1049" spans="1:25" x14ac:dyDescent="0.3">
      <c r="A1049" s="16">
        <v>7501056349288</v>
      </c>
      <c r="B1049" s="81" t="s">
        <v>43</v>
      </c>
      <c r="C1049" s="81" t="s">
        <v>1997</v>
      </c>
      <c r="D1049" s="81" t="s">
        <v>45</v>
      </c>
      <c r="E1049" s="81" t="s">
        <v>2412</v>
      </c>
      <c r="F1049" s="81" t="s">
        <v>2412</v>
      </c>
      <c r="G1049" s="81" t="s">
        <v>5349</v>
      </c>
      <c r="H1049" s="81" t="s">
        <v>5359</v>
      </c>
      <c r="I1049" s="81" t="s">
        <v>6333</v>
      </c>
      <c r="J1049" s="81" t="s">
        <v>2186</v>
      </c>
      <c r="K1049" s="81" t="s">
        <v>6333</v>
      </c>
      <c r="L1049" s="81" t="s">
        <v>2392</v>
      </c>
      <c r="M1049" s="81" t="s">
        <v>6333</v>
      </c>
      <c r="N1049" s="81" t="s">
        <v>2231</v>
      </c>
      <c r="O1049" s="81" t="s">
        <v>2187</v>
      </c>
      <c r="P1049" s="81" t="s">
        <v>2187</v>
      </c>
      <c r="Q1049" s="81" t="s">
        <v>43</v>
      </c>
      <c r="R1049" s="81" t="s">
        <v>524</v>
      </c>
      <c r="S1049" s="81" t="s">
        <v>525</v>
      </c>
      <c r="T1049" s="81" t="s">
        <v>48</v>
      </c>
      <c r="U1049" s="81" t="s">
        <v>48</v>
      </c>
      <c r="V1049" s="81" t="s">
        <v>49</v>
      </c>
      <c r="W1049" s="81" t="s">
        <v>48</v>
      </c>
      <c r="X1049" s="81" t="s">
        <v>48</v>
      </c>
      <c r="Y1049" s="81" t="s">
        <v>48</v>
      </c>
    </row>
    <row r="1050" spans="1:25" x14ac:dyDescent="0.3">
      <c r="A1050" s="16">
        <v>7791293022567</v>
      </c>
      <c r="B1050" s="81" t="s">
        <v>43</v>
      </c>
      <c r="C1050" s="81" t="s">
        <v>989</v>
      </c>
      <c r="D1050" s="81" t="s">
        <v>45</v>
      </c>
      <c r="E1050" s="81" t="s">
        <v>2368</v>
      </c>
      <c r="F1050" s="81" t="s">
        <v>2704</v>
      </c>
      <c r="G1050" s="81" t="s">
        <v>3560</v>
      </c>
      <c r="H1050" s="81" t="s">
        <v>6334</v>
      </c>
      <c r="I1050" s="81" t="s">
        <v>6335</v>
      </c>
      <c r="J1050" s="81" t="s">
        <v>2186</v>
      </c>
      <c r="K1050" s="81" t="s">
        <v>6335</v>
      </c>
      <c r="L1050" s="81" t="s">
        <v>2392</v>
      </c>
      <c r="M1050" s="81" t="s">
        <v>6335</v>
      </c>
      <c r="N1050" s="81" t="s">
        <v>2231</v>
      </c>
      <c r="O1050" s="81" t="s">
        <v>2187</v>
      </c>
      <c r="P1050" s="81" t="s">
        <v>2187</v>
      </c>
      <c r="Q1050" s="81" t="s">
        <v>43</v>
      </c>
      <c r="R1050" s="81" t="s">
        <v>524</v>
      </c>
      <c r="S1050" s="81" t="s">
        <v>525</v>
      </c>
      <c r="T1050" s="81" t="s">
        <v>48</v>
      </c>
      <c r="U1050" s="81" t="s">
        <v>48</v>
      </c>
      <c r="V1050" s="81" t="s">
        <v>49</v>
      </c>
      <c r="W1050" s="81" t="s">
        <v>48</v>
      </c>
      <c r="X1050" s="81" t="s">
        <v>48</v>
      </c>
      <c r="Y1050" s="81" t="s">
        <v>48</v>
      </c>
    </row>
    <row r="1051" spans="1:25" x14ac:dyDescent="0.3">
      <c r="A1051" s="16">
        <v>7502226292182</v>
      </c>
      <c r="B1051" s="81" t="s">
        <v>43</v>
      </c>
      <c r="C1051" s="81" t="s">
        <v>990</v>
      </c>
      <c r="D1051" s="81" t="s">
        <v>45</v>
      </c>
      <c r="E1051" s="81" t="s">
        <v>2545</v>
      </c>
      <c r="F1051" s="81" t="s">
        <v>2248</v>
      </c>
      <c r="G1051" s="81" t="s">
        <v>3561</v>
      </c>
      <c r="H1051" s="81" t="s">
        <v>2408</v>
      </c>
      <c r="I1051" s="81" t="s">
        <v>6336</v>
      </c>
      <c r="J1051" s="81" t="s">
        <v>2186</v>
      </c>
      <c r="K1051" s="81" t="s">
        <v>6336</v>
      </c>
      <c r="L1051" s="81" t="s">
        <v>2392</v>
      </c>
      <c r="M1051" s="81" t="s">
        <v>6336</v>
      </c>
      <c r="N1051" s="81" t="s">
        <v>2231</v>
      </c>
      <c r="O1051" s="81" t="s">
        <v>2187</v>
      </c>
      <c r="P1051" s="81" t="s">
        <v>2187</v>
      </c>
      <c r="Q1051" s="81" t="s">
        <v>43</v>
      </c>
      <c r="R1051" s="81" t="s">
        <v>51</v>
      </c>
      <c r="S1051" s="81" t="s">
        <v>81</v>
      </c>
      <c r="T1051" s="81" t="s">
        <v>49</v>
      </c>
      <c r="U1051" s="81" t="s">
        <v>48</v>
      </c>
      <c r="V1051" s="81" t="s">
        <v>48</v>
      </c>
      <c r="W1051" s="81" t="s">
        <v>49</v>
      </c>
      <c r="X1051" s="81" t="s">
        <v>48</v>
      </c>
      <c r="Y1051" s="81" t="s">
        <v>48</v>
      </c>
    </row>
    <row r="1052" spans="1:25" x14ac:dyDescent="0.3">
      <c r="A1052" s="16">
        <v>7506335700019</v>
      </c>
      <c r="B1052" s="81" t="s">
        <v>43</v>
      </c>
      <c r="C1052" s="81" t="s">
        <v>991</v>
      </c>
      <c r="D1052" s="81" t="s">
        <v>45</v>
      </c>
      <c r="E1052" s="81" t="s">
        <v>2458</v>
      </c>
      <c r="F1052" s="81" t="s">
        <v>2447</v>
      </c>
      <c r="G1052" s="81" t="s">
        <v>4821</v>
      </c>
      <c r="H1052" s="81" t="s">
        <v>2190</v>
      </c>
      <c r="I1052" s="81" t="s">
        <v>3085</v>
      </c>
      <c r="J1052" s="81" t="s">
        <v>2186</v>
      </c>
      <c r="K1052" s="81" t="s">
        <v>3085</v>
      </c>
      <c r="L1052" s="81" t="s">
        <v>2392</v>
      </c>
      <c r="M1052" s="81" t="s">
        <v>3085</v>
      </c>
      <c r="N1052" s="81" t="s">
        <v>2231</v>
      </c>
      <c r="O1052" s="81" t="s">
        <v>2187</v>
      </c>
      <c r="P1052" s="81" t="s">
        <v>2187</v>
      </c>
      <c r="Q1052" s="81" t="s">
        <v>43</v>
      </c>
      <c r="R1052" s="81" t="s">
        <v>46</v>
      </c>
      <c r="S1052" s="81" t="s">
        <v>47</v>
      </c>
      <c r="T1052" s="81" t="s">
        <v>48</v>
      </c>
      <c r="U1052" s="81" t="s">
        <v>48</v>
      </c>
      <c r="V1052" s="81" t="s">
        <v>48</v>
      </c>
      <c r="W1052" s="81" t="s">
        <v>49</v>
      </c>
      <c r="X1052" s="81" t="s">
        <v>48</v>
      </c>
      <c r="Y1052" s="81" t="s">
        <v>48</v>
      </c>
    </row>
    <row r="1053" spans="1:25" x14ac:dyDescent="0.3">
      <c r="A1053" s="16">
        <v>7501537102388</v>
      </c>
      <c r="B1053" s="81" t="s">
        <v>43</v>
      </c>
      <c r="C1053" s="81" t="s">
        <v>992</v>
      </c>
      <c r="D1053" s="81" t="s">
        <v>45</v>
      </c>
      <c r="E1053" s="81" t="s">
        <v>2294</v>
      </c>
      <c r="F1053" s="81" t="s">
        <v>2295</v>
      </c>
      <c r="G1053" s="81" t="s">
        <v>5410</v>
      </c>
      <c r="H1053" s="81" t="s">
        <v>2236</v>
      </c>
      <c r="I1053" s="81" t="s">
        <v>6337</v>
      </c>
      <c r="J1053" s="81" t="s">
        <v>2186</v>
      </c>
      <c r="K1053" s="81" t="s">
        <v>6337</v>
      </c>
      <c r="L1053" s="81" t="s">
        <v>2392</v>
      </c>
      <c r="M1053" s="81" t="s">
        <v>6337</v>
      </c>
      <c r="N1053" s="81" t="s">
        <v>2231</v>
      </c>
      <c r="O1053" s="81" t="s">
        <v>2187</v>
      </c>
      <c r="P1053" s="81" t="s">
        <v>2187</v>
      </c>
      <c r="Q1053" s="81" t="s">
        <v>43</v>
      </c>
      <c r="R1053" s="81" t="s">
        <v>46</v>
      </c>
      <c r="S1053" s="81" t="s">
        <v>47</v>
      </c>
      <c r="T1053" s="81" t="s">
        <v>48</v>
      </c>
      <c r="U1053" s="81" t="s">
        <v>48</v>
      </c>
      <c r="V1053" s="81" t="s">
        <v>48</v>
      </c>
      <c r="W1053" s="81" t="s">
        <v>49</v>
      </c>
      <c r="X1053" s="81" t="s">
        <v>48</v>
      </c>
      <c r="Y1053" s="81" t="s">
        <v>48</v>
      </c>
    </row>
    <row r="1054" spans="1:25" x14ac:dyDescent="0.3">
      <c r="A1054" s="16">
        <v>7501123014101</v>
      </c>
      <c r="B1054" s="81" t="s">
        <v>43</v>
      </c>
      <c r="C1054" s="81" t="s">
        <v>1736</v>
      </c>
      <c r="D1054" s="81" t="s">
        <v>45</v>
      </c>
      <c r="E1054" s="81" t="s">
        <v>2442</v>
      </c>
      <c r="F1054" s="81" t="s">
        <v>2443</v>
      </c>
      <c r="G1054" s="81" t="s">
        <v>3562</v>
      </c>
      <c r="H1054" s="81" t="s">
        <v>2960</v>
      </c>
      <c r="I1054" s="81" t="s">
        <v>6338</v>
      </c>
      <c r="J1054" s="81" t="s">
        <v>2186</v>
      </c>
      <c r="K1054" s="81" t="s">
        <v>6338</v>
      </c>
      <c r="L1054" s="81" t="s">
        <v>2392</v>
      </c>
      <c r="M1054" s="81" t="s">
        <v>6338</v>
      </c>
      <c r="N1054" s="81" t="s">
        <v>2231</v>
      </c>
      <c r="O1054" s="81" t="s">
        <v>2187</v>
      </c>
      <c r="P1054" s="81" t="s">
        <v>2187</v>
      </c>
      <c r="Q1054" s="81" t="s">
        <v>43</v>
      </c>
      <c r="R1054" s="81" t="s">
        <v>374</v>
      </c>
      <c r="S1054" s="81" t="s">
        <v>47</v>
      </c>
      <c r="T1054" s="81" t="s">
        <v>48</v>
      </c>
      <c r="U1054" s="81" t="s">
        <v>48</v>
      </c>
      <c r="V1054" s="81" t="s">
        <v>48</v>
      </c>
      <c r="W1054" s="81" t="s">
        <v>49</v>
      </c>
      <c r="X1054" s="81" t="s">
        <v>48</v>
      </c>
      <c r="Y1054" s="81" t="s">
        <v>48</v>
      </c>
    </row>
    <row r="1055" spans="1:25" x14ac:dyDescent="0.3">
      <c r="A1055" s="16">
        <v>3511000001128</v>
      </c>
      <c r="B1055" s="81" t="s">
        <v>43</v>
      </c>
      <c r="C1055" s="81" t="s">
        <v>993</v>
      </c>
      <c r="D1055" s="81" t="s">
        <v>45</v>
      </c>
      <c r="E1055" s="81" t="s">
        <v>2227</v>
      </c>
      <c r="F1055" s="81" t="s">
        <v>2227</v>
      </c>
      <c r="G1055" s="81" t="s">
        <v>2301</v>
      </c>
      <c r="H1055" s="81" t="s">
        <v>3738</v>
      </c>
      <c r="I1055" s="81" t="s">
        <v>4599</v>
      </c>
      <c r="J1055" s="81" t="s">
        <v>2186</v>
      </c>
      <c r="K1055" s="81" t="s">
        <v>4600</v>
      </c>
      <c r="L1055" s="81" t="s">
        <v>2392</v>
      </c>
      <c r="M1055" s="81" t="s">
        <v>4601</v>
      </c>
      <c r="N1055" s="81" t="s">
        <v>2231</v>
      </c>
      <c r="O1055" s="81" t="s">
        <v>2187</v>
      </c>
      <c r="P1055" s="81" t="s">
        <v>2187</v>
      </c>
      <c r="Q1055" s="81" t="s">
        <v>43</v>
      </c>
      <c r="R1055" s="81" t="s">
        <v>994</v>
      </c>
      <c r="S1055" s="81" t="s">
        <v>994</v>
      </c>
      <c r="T1055" s="81" t="s">
        <v>48</v>
      </c>
      <c r="U1055" s="81" t="s">
        <v>48</v>
      </c>
      <c r="V1055" s="81" t="s">
        <v>49</v>
      </c>
      <c r="W1055" s="81" t="s">
        <v>48</v>
      </c>
      <c r="X1055" s="81" t="s">
        <v>48</v>
      </c>
      <c r="Y1055" s="81" t="s">
        <v>48</v>
      </c>
    </row>
    <row r="1056" spans="1:25" x14ac:dyDescent="0.3">
      <c r="A1056" s="16">
        <v>7502211789901</v>
      </c>
      <c r="B1056" s="81" t="s">
        <v>43</v>
      </c>
      <c r="C1056" s="81" t="s">
        <v>995</v>
      </c>
      <c r="D1056" s="81" t="s">
        <v>45</v>
      </c>
      <c r="E1056" s="81" t="s">
        <v>2180</v>
      </c>
      <c r="F1056" s="81" t="s">
        <v>2363</v>
      </c>
      <c r="G1056" s="81" t="s">
        <v>2449</v>
      </c>
      <c r="H1056" s="81" t="s">
        <v>6339</v>
      </c>
      <c r="I1056" s="81" t="s">
        <v>6340</v>
      </c>
      <c r="J1056" s="81" t="s">
        <v>2186</v>
      </c>
      <c r="K1056" s="81" t="s">
        <v>6340</v>
      </c>
      <c r="L1056" s="81" t="s">
        <v>2392</v>
      </c>
      <c r="M1056" s="81" t="s">
        <v>6340</v>
      </c>
      <c r="N1056" s="81" t="s">
        <v>2231</v>
      </c>
      <c r="O1056" s="81" t="s">
        <v>2187</v>
      </c>
      <c r="P1056" s="81" t="s">
        <v>2187</v>
      </c>
      <c r="Q1056" s="81" t="s">
        <v>43</v>
      </c>
      <c r="R1056" s="81" t="s">
        <v>46</v>
      </c>
      <c r="S1056" s="81" t="s">
        <v>47</v>
      </c>
      <c r="T1056" s="81" t="s">
        <v>48</v>
      </c>
      <c r="U1056" s="81" t="s">
        <v>48</v>
      </c>
      <c r="V1056" s="81" t="s">
        <v>48</v>
      </c>
      <c r="W1056" s="81" t="s">
        <v>49</v>
      </c>
      <c r="X1056" s="81" t="s">
        <v>48</v>
      </c>
      <c r="Y1056" s="81" t="s">
        <v>48</v>
      </c>
    </row>
    <row r="1057" spans="1:25" x14ac:dyDescent="0.3">
      <c r="A1057" s="16">
        <v>7502224228060</v>
      </c>
      <c r="B1057" s="81" t="s">
        <v>43</v>
      </c>
      <c r="C1057" s="81" t="s">
        <v>996</v>
      </c>
      <c r="D1057" s="81" t="s">
        <v>45</v>
      </c>
      <c r="E1057" s="81" t="s">
        <v>2363</v>
      </c>
      <c r="F1057" s="81" t="s">
        <v>2364</v>
      </c>
      <c r="G1057" s="81" t="s">
        <v>3563</v>
      </c>
      <c r="H1057" s="81" t="s">
        <v>2702</v>
      </c>
      <c r="I1057" s="81" t="s">
        <v>3564</v>
      </c>
      <c r="J1057" s="81" t="s">
        <v>2186</v>
      </c>
      <c r="K1057" s="81" t="s">
        <v>3565</v>
      </c>
      <c r="L1057" s="81" t="s">
        <v>2392</v>
      </c>
      <c r="M1057" s="81" t="s">
        <v>3566</v>
      </c>
      <c r="N1057" s="81" t="s">
        <v>2231</v>
      </c>
      <c r="O1057" s="81" t="s">
        <v>2187</v>
      </c>
      <c r="P1057" s="81" t="s">
        <v>2187</v>
      </c>
      <c r="Q1057" s="81" t="s">
        <v>43</v>
      </c>
      <c r="R1057" s="81" t="s">
        <v>374</v>
      </c>
      <c r="S1057" s="81" t="s">
        <v>374</v>
      </c>
      <c r="T1057" s="81" t="s">
        <v>48</v>
      </c>
      <c r="U1057" s="81" t="s">
        <v>48</v>
      </c>
      <c r="V1057" s="81" t="s">
        <v>49</v>
      </c>
      <c r="W1057" s="81" t="s">
        <v>48</v>
      </c>
      <c r="X1057" s="81" t="s">
        <v>48</v>
      </c>
      <c r="Y1057" s="81" t="s">
        <v>48</v>
      </c>
    </row>
    <row r="1058" spans="1:25" x14ac:dyDescent="0.3">
      <c r="A1058" s="16">
        <v>7502008986995</v>
      </c>
      <c r="B1058" s="81" t="s">
        <v>43</v>
      </c>
      <c r="C1058" s="81" t="s">
        <v>997</v>
      </c>
      <c r="D1058" s="81" t="s">
        <v>45</v>
      </c>
      <c r="E1058" s="81" t="s">
        <v>2412</v>
      </c>
      <c r="F1058" s="81" t="s">
        <v>2412</v>
      </c>
      <c r="G1058" s="81" t="s">
        <v>3567</v>
      </c>
      <c r="H1058" s="81" t="s">
        <v>3052</v>
      </c>
      <c r="I1058" s="81" t="s">
        <v>6341</v>
      </c>
      <c r="J1058" s="81" t="s">
        <v>2186</v>
      </c>
      <c r="K1058" s="81" t="s">
        <v>6341</v>
      </c>
      <c r="L1058" s="81" t="s">
        <v>2392</v>
      </c>
      <c r="M1058" s="81" t="s">
        <v>6341</v>
      </c>
      <c r="N1058" s="81" t="s">
        <v>2231</v>
      </c>
      <c r="O1058" s="81" t="s">
        <v>2187</v>
      </c>
      <c r="P1058" s="81" t="s">
        <v>2187</v>
      </c>
      <c r="Q1058" s="81" t="s">
        <v>43</v>
      </c>
      <c r="R1058" s="81" t="s">
        <v>524</v>
      </c>
      <c r="S1058" s="81" t="s">
        <v>525</v>
      </c>
      <c r="T1058" s="81" t="s">
        <v>48</v>
      </c>
      <c r="U1058" s="81" t="s">
        <v>48</v>
      </c>
      <c r="V1058" s="81" t="s">
        <v>49</v>
      </c>
      <c r="W1058" s="81" t="s">
        <v>48</v>
      </c>
      <c r="X1058" s="81" t="s">
        <v>48</v>
      </c>
      <c r="Y1058" s="81" t="s">
        <v>48</v>
      </c>
    </row>
    <row r="1059" spans="1:25" x14ac:dyDescent="0.3">
      <c r="A1059" s="16">
        <v>650240066139</v>
      </c>
      <c r="B1059" s="81" t="s">
        <v>43</v>
      </c>
      <c r="C1059" s="81" t="s">
        <v>998</v>
      </c>
      <c r="D1059" s="81" t="s">
        <v>45</v>
      </c>
      <c r="E1059" s="81" t="s">
        <v>2547</v>
      </c>
      <c r="F1059" s="81" t="s">
        <v>3568</v>
      </c>
      <c r="G1059" s="81" t="s">
        <v>2186</v>
      </c>
      <c r="H1059" s="81" t="s">
        <v>2843</v>
      </c>
      <c r="I1059" s="81" t="s">
        <v>2844</v>
      </c>
      <c r="J1059" s="81" t="s">
        <v>2186</v>
      </c>
      <c r="K1059" s="81" t="s">
        <v>2845</v>
      </c>
      <c r="L1059" s="81" t="s">
        <v>2392</v>
      </c>
      <c r="M1059" s="81" t="s">
        <v>2846</v>
      </c>
      <c r="N1059" s="81" t="s">
        <v>2231</v>
      </c>
      <c r="O1059" s="81" t="s">
        <v>2187</v>
      </c>
      <c r="P1059" s="81" t="s">
        <v>2187</v>
      </c>
      <c r="Q1059" s="81" t="s">
        <v>43</v>
      </c>
      <c r="R1059" s="81" t="s">
        <v>462</v>
      </c>
      <c r="S1059" s="81" t="s">
        <v>462</v>
      </c>
      <c r="T1059" s="81" t="s">
        <v>48</v>
      </c>
      <c r="U1059" s="81" t="s">
        <v>48</v>
      </c>
      <c r="V1059" s="81" t="s">
        <v>49</v>
      </c>
      <c r="W1059" s="81" t="s">
        <v>48</v>
      </c>
      <c r="X1059" s="81" t="s">
        <v>48</v>
      </c>
      <c r="Y1059" s="81" t="s">
        <v>48</v>
      </c>
    </row>
    <row r="1060" spans="1:25" x14ac:dyDescent="0.3">
      <c r="A1060" s="16">
        <v>7501130713363</v>
      </c>
      <c r="B1060" s="81" t="s">
        <v>43</v>
      </c>
      <c r="C1060" s="81" t="s">
        <v>5055</v>
      </c>
      <c r="D1060" s="81" t="s">
        <v>45</v>
      </c>
      <c r="E1060" s="81" t="s">
        <v>2227</v>
      </c>
      <c r="F1060" s="81" t="s">
        <v>2227</v>
      </c>
      <c r="G1060" s="81" t="s">
        <v>5056</v>
      </c>
      <c r="H1060" s="81" t="s">
        <v>2279</v>
      </c>
      <c r="I1060" s="81" t="s">
        <v>2693</v>
      </c>
      <c r="J1060" s="81" t="s">
        <v>2186</v>
      </c>
      <c r="K1060" s="81" t="s">
        <v>2693</v>
      </c>
      <c r="L1060" s="81" t="s">
        <v>2392</v>
      </c>
      <c r="M1060" s="81" t="s">
        <v>2693</v>
      </c>
      <c r="N1060" s="81" t="s">
        <v>2231</v>
      </c>
      <c r="O1060" s="81" t="s">
        <v>2187</v>
      </c>
      <c r="P1060" s="81" t="s">
        <v>2187</v>
      </c>
      <c r="Q1060" s="81" t="s">
        <v>43</v>
      </c>
      <c r="R1060" s="81" t="s">
        <v>46</v>
      </c>
      <c r="S1060" s="81" t="s">
        <v>46</v>
      </c>
      <c r="T1060" s="81" t="s">
        <v>48</v>
      </c>
      <c r="U1060" s="81" t="s">
        <v>48</v>
      </c>
      <c r="V1060" s="81" t="s">
        <v>48</v>
      </c>
      <c r="W1060" s="81" t="s">
        <v>49</v>
      </c>
      <c r="X1060" s="81" t="s">
        <v>48</v>
      </c>
      <c r="Y1060" s="81" t="s">
        <v>48</v>
      </c>
    </row>
    <row r="1061" spans="1:25" x14ac:dyDescent="0.3">
      <c r="A1061" s="16">
        <v>780083141226</v>
      </c>
      <c r="B1061" s="81" t="s">
        <v>43</v>
      </c>
      <c r="C1061" s="81" t="s">
        <v>3569</v>
      </c>
      <c r="D1061" s="81" t="s">
        <v>45</v>
      </c>
      <c r="E1061" s="81" t="s">
        <v>2192</v>
      </c>
      <c r="F1061" s="81" t="s">
        <v>2294</v>
      </c>
      <c r="G1061" s="81" t="s">
        <v>5441</v>
      </c>
      <c r="H1061" s="81" t="s">
        <v>2190</v>
      </c>
      <c r="I1061" s="81" t="s">
        <v>6299</v>
      </c>
      <c r="J1061" s="81" t="s">
        <v>2186</v>
      </c>
      <c r="K1061" s="81" t="s">
        <v>6299</v>
      </c>
      <c r="L1061" s="81" t="s">
        <v>2392</v>
      </c>
      <c r="M1061" s="81" t="s">
        <v>6299</v>
      </c>
      <c r="N1061" s="81" t="s">
        <v>2231</v>
      </c>
      <c r="O1061" s="81" t="s">
        <v>2187</v>
      </c>
      <c r="P1061" s="81" t="s">
        <v>2187</v>
      </c>
      <c r="Q1061" s="81" t="s">
        <v>43</v>
      </c>
      <c r="R1061" s="81" t="s">
        <v>46</v>
      </c>
      <c r="S1061" s="81" t="s">
        <v>73</v>
      </c>
      <c r="T1061" s="81" t="s">
        <v>48</v>
      </c>
      <c r="U1061" s="81" t="s">
        <v>48</v>
      </c>
      <c r="V1061" s="81" t="s">
        <v>48</v>
      </c>
      <c r="W1061" s="81" t="s">
        <v>49</v>
      </c>
      <c r="X1061" s="81" t="s">
        <v>48</v>
      </c>
      <c r="Y1061" s="81" t="s">
        <v>48</v>
      </c>
    </row>
    <row r="1062" spans="1:25" x14ac:dyDescent="0.3">
      <c r="A1062" s="16">
        <v>7502008986933</v>
      </c>
      <c r="B1062" s="81" t="s">
        <v>43</v>
      </c>
      <c r="C1062" s="81" t="s">
        <v>999</v>
      </c>
      <c r="D1062" s="81" t="s">
        <v>45</v>
      </c>
      <c r="E1062" s="81" t="s">
        <v>2368</v>
      </c>
      <c r="F1062" s="81" t="s">
        <v>2369</v>
      </c>
      <c r="G1062" s="81" t="s">
        <v>3567</v>
      </c>
      <c r="H1062" s="81" t="s">
        <v>3052</v>
      </c>
      <c r="I1062" s="81" t="s">
        <v>6341</v>
      </c>
      <c r="J1062" s="81" t="s">
        <v>2186</v>
      </c>
      <c r="K1062" s="81" t="s">
        <v>6341</v>
      </c>
      <c r="L1062" s="81" t="s">
        <v>2392</v>
      </c>
      <c r="M1062" s="81" t="s">
        <v>6341</v>
      </c>
      <c r="N1062" s="81" t="s">
        <v>2231</v>
      </c>
      <c r="O1062" s="81" t="s">
        <v>2187</v>
      </c>
      <c r="P1062" s="81" t="s">
        <v>2187</v>
      </c>
      <c r="Q1062" s="81" t="s">
        <v>43</v>
      </c>
      <c r="R1062" s="81" t="s">
        <v>524</v>
      </c>
      <c r="S1062" s="81" t="s">
        <v>525</v>
      </c>
      <c r="T1062" s="81" t="s">
        <v>48</v>
      </c>
      <c r="U1062" s="81" t="s">
        <v>48</v>
      </c>
      <c r="V1062" s="81" t="s">
        <v>49</v>
      </c>
      <c r="W1062" s="81" t="s">
        <v>48</v>
      </c>
      <c r="X1062" s="81" t="s">
        <v>48</v>
      </c>
      <c r="Y1062" s="81" t="s">
        <v>48</v>
      </c>
    </row>
    <row r="1063" spans="1:25" x14ac:dyDescent="0.3">
      <c r="A1063" s="16">
        <v>7502001037120</v>
      </c>
      <c r="B1063" s="81" t="s">
        <v>43</v>
      </c>
      <c r="C1063" s="81" t="s">
        <v>1000</v>
      </c>
      <c r="D1063" s="81" t="s">
        <v>45</v>
      </c>
      <c r="E1063" s="81" t="s">
        <v>2308</v>
      </c>
      <c r="F1063" s="81" t="s">
        <v>2179</v>
      </c>
      <c r="G1063" s="81" t="s">
        <v>3407</v>
      </c>
      <c r="H1063" s="81" t="s">
        <v>2220</v>
      </c>
      <c r="I1063" s="81" t="s">
        <v>6342</v>
      </c>
      <c r="J1063" s="81" t="s">
        <v>2186</v>
      </c>
      <c r="K1063" s="81" t="s">
        <v>6342</v>
      </c>
      <c r="L1063" s="81" t="s">
        <v>2392</v>
      </c>
      <c r="M1063" s="81" t="s">
        <v>6342</v>
      </c>
      <c r="N1063" s="81" t="s">
        <v>2231</v>
      </c>
      <c r="O1063" s="81" t="s">
        <v>2187</v>
      </c>
      <c r="P1063" s="81" t="s">
        <v>2187</v>
      </c>
      <c r="Q1063" s="81" t="s">
        <v>1001</v>
      </c>
      <c r="R1063" s="81" t="s">
        <v>46</v>
      </c>
      <c r="S1063" s="81" t="s">
        <v>46</v>
      </c>
      <c r="T1063" s="81" t="s">
        <v>48</v>
      </c>
      <c r="U1063" s="81" t="s">
        <v>48</v>
      </c>
      <c r="V1063" s="81" t="s">
        <v>48</v>
      </c>
      <c r="W1063" s="81" t="s">
        <v>49</v>
      </c>
      <c r="X1063" s="81" t="s">
        <v>48</v>
      </c>
      <c r="Y1063" s="81" t="s">
        <v>48</v>
      </c>
    </row>
    <row r="1064" spans="1:25" x14ac:dyDescent="0.3">
      <c r="A1064" s="16">
        <v>7713042113487</v>
      </c>
      <c r="B1064" s="81" t="s">
        <v>43</v>
      </c>
      <c r="C1064" s="81" t="s">
        <v>1002</v>
      </c>
      <c r="D1064" s="81" t="s">
        <v>45</v>
      </c>
      <c r="E1064" s="81" t="s">
        <v>2227</v>
      </c>
      <c r="F1064" s="81" t="s">
        <v>2227</v>
      </c>
      <c r="G1064" s="81" t="s">
        <v>3095</v>
      </c>
      <c r="H1064" s="81" t="s">
        <v>3242</v>
      </c>
      <c r="I1064" s="81" t="s">
        <v>6343</v>
      </c>
      <c r="J1064" s="81" t="s">
        <v>2186</v>
      </c>
      <c r="K1064" s="81" t="s">
        <v>6343</v>
      </c>
      <c r="L1064" s="81" t="s">
        <v>2392</v>
      </c>
      <c r="M1064" s="81" t="s">
        <v>6343</v>
      </c>
      <c r="N1064" s="81" t="s">
        <v>2231</v>
      </c>
      <c r="O1064" s="81" t="s">
        <v>2187</v>
      </c>
      <c r="P1064" s="81" t="s">
        <v>2187</v>
      </c>
      <c r="Q1064" s="81" t="s">
        <v>43</v>
      </c>
      <c r="R1064" s="81" t="s">
        <v>122</v>
      </c>
      <c r="S1064" s="81" t="s">
        <v>122</v>
      </c>
      <c r="T1064" s="81" t="s">
        <v>48</v>
      </c>
      <c r="U1064" s="81" t="s">
        <v>48</v>
      </c>
      <c r="V1064" s="81" t="s">
        <v>49</v>
      </c>
      <c r="W1064" s="81" t="s">
        <v>48</v>
      </c>
      <c r="X1064" s="81" t="s">
        <v>48</v>
      </c>
      <c r="Y1064" s="81" t="s">
        <v>48</v>
      </c>
    </row>
    <row r="1065" spans="1:25" x14ac:dyDescent="0.3">
      <c r="A1065" s="16">
        <v>7501125112881</v>
      </c>
      <c r="B1065" s="81" t="s">
        <v>43</v>
      </c>
      <c r="C1065" s="81" t="s">
        <v>1003</v>
      </c>
      <c r="D1065" s="81" t="s">
        <v>45</v>
      </c>
      <c r="E1065" s="81" t="s">
        <v>2557</v>
      </c>
      <c r="F1065" s="81" t="s">
        <v>2370</v>
      </c>
      <c r="G1065" s="81" t="s">
        <v>4935</v>
      </c>
      <c r="H1065" s="81" t="s">
        <v>2417</v>
      </c>
      <c r="I1065" s="81" t="s">
        <v>5902</v>
      </c>
      <c r="J1065" s="81" t="s">
        <v>2186</v>
      </c>
      <c r="K1065" s="81" t="s">
        <v>5902</v>
      </c>
      <c r="L1065" s="81" t="s">
        <v>2392</v>
      </c>
      <c r="M1065" s="81" t="s">
        <v>5902</v>
      </c>
      <c r="N1065" s="81" t="s">
        <v>2231</v>
      </c>
      <c r="O1065" s="81" t="s">
        <v>2187</v>
      </c>
      <c r="P1065" s="81" t="s">
        <v>2187</v>
      </c>
      <c r="Q1065" s="81" t="s">
        <v>43</v>
      </c>
      <c r="R1065" s="81" t="s">
        <v>374</v>
      </c>
      <c r="S1065" s="81" t="s">
        <v>374</v>
      </c>
      <c r="T1065" s="81" t="s">
        <v>48</v>
      </c>
      <c r="U1065" s="81" t="s">
        <v>48</v>
      </c>
      <c r="V1065" s="81" t="s">
        <v>48</v>
      </c>
      <c r="W1065" s="81" t="s">
        <v>49</v>
      </c>
      <c r="X1065" s="81" t="s">
        <v>48</v>
      </c>
      <c r="Y1065" s="81" t="s">
        <v>48</v>
      </c>
    </row>
    <row r="1066" spans="1:25" x14ac:dyDescent="0.3">
      <c r="A1066" s="16">
        <v>785120754483</v>
      </c>
      <c r="B1066" s="81" t="s">
        <v>43</v>
      </c>
      <c r="C1066" s="81" t="s">
        <v>1004</v>
      </c>
      <c r="D1066" s="81" t="s">
        <v>45</v>
      </c>
      <c r="E1066" s="81" t="s">
        <v>2616</v>
      </c>
      <c r="F1066" s="81" t="s">
        <v>2617</v>
      </c>
      <c r="G1066" s="81" t="s">
        <v>3571</v>
      </c>
      <c r="H1066" s="81" t="s">
        <v>2415</v>
      </c>
      <c r="I1066" s="81" t="s">
        <v>6120</v>
      </c>
      <c r="J1066" s="81" t="s">
        <v>2186</v>
      </c>
      <c r="K1066" s="81" t="s">
        <v>6120</v>
      </c>
      <c r="L1066" s="81" t="s">
        <v>2392</v>
      </c>
      <c r="M1066" s="81" t="s">
        <v>6120</v>
      </c>
      <c r="N1066" s="81" t="s">
        <v>2231</v>
      </c>
      <c r="O1066" s="81" t="s">
        <v>2187</v>
      </c>
      <c r="P1066" s="81" t="s">
        <v>2187</v>
      </c>
      <c r="Q1066" s="81" t="s">
        <v>43</v>
      </c>
      <c r="R1066" s="81" t="s">
        <v>46</v>
      </c>
      <c r="S1066" s="81" t="s">
        <v>46</v>
      </c>
      <c r="T1066" s="81" t="s">
        <v>48</v>
      </c>
      <c r="U1066" s="81" t="s">
        <v>48</v>
      </c>
      <c r="V1066" s="81" t="s">
        <v>48</v>
      </c>
      <c r="W1066" s="81" t="s">
        <v>49</v>
      </c>
      <c r="X1066" s="81" t="s">
        <v>48</v>
      </c>
      <c r="Y1066" s="81" t="s">
        <v>48</v>
      </c>
    </row>
    <row r="1067" spans="1:25" x14ac:dyDescent="0.3">
      <c r="A1067" s="16">
        <v>7502216790490</v>
      </c>
      <c r="B1067" s="81" t="s">
        <v>43</v>
      </c>
      <c r="C1067" s="81" t="s">
        <v>1998</v>
      </c>
      <c r="D1067" s="81" t="s">
        <v>45</v>
      </c>
      <c r="E1067" s="81" t="s">
        <v>2179</v>
      </c>
      <c r="F1067" s="81" t="s">
        <v>2704</v>
      </c>
      <c r="G1067" s="81" t="s">
        <v>5505</v>
      </c>
      <c r="H1067" s="81" t="s">
        <v>3219</v>
      </c>
      <c r="I1067" s="81" t="s">
        <v>6344</v>
      </c>
      <c r="J1067" s="81" t="s">
        <v>2186</v>
      </c>
      <c r="K1067" s="81" t="s">
        <v>6344</v>
      </c>
      <c r="L1067" s="81" t="s">
        <v>2392</v>
      </c>
      <c r="M1067" s="81" t="s">
        <v>6344</v>
      </c>
      <c r="N1067" s="81" t="s">
        <v>2231</v>
      </c>
      <c r="O1067" s="81" t="s">
        <v>2187</v>
      </c>
      <c r="P1067" s="81" t="s">
        <v>2187</v>
      </c>
      <c r="Q1067" s="81" t="s">
        <v>43</v>
      </c>
      <c r="R1067" s="81" t="s">
        <v>46</v>
      </c>
      <c r="S1067" s="81" t="s">
        <v>46</v>
      </c>
      <c r="T1067" s="81" t="s">
        <v>48</v>
      </c>
      <c r="U1067" s="81" t="s">
        <v>48</v>
      </c>
      <c r="V1067" s="81" t="s">
        <v>48</v>
      </c>
      <c r="W1067" s="81" t="s">
        <v>49</v>
      </c>
      <c r="X1067" s="81" t="s">
        <v>48</v>
      </c>
      <c r="Y1067" s="81" t="s">
        <v>48</v>
      </c>
    </row>
    <row r="1068" spans="1:25" x14ac:dyDescent="0.3">
      <c r="A1068" s="16">
        <v>7502216790483</v>
      </c>
      <c r="B1068" s="81" t="s">
        <v>43</v>
      </c>
      <c r="C1068" s="81" t="s">
        <v>1820</v>
      </c>
      <c r="D1068" s="81" t="s">
        <v>45</v>
      </c>
      <c r="E1068" s="81" t="s">
        <v>2357</v>
      </c>
      <c r="F1068" s="81" t="s">
        <v>2358</v>
      </c>
      <c r="G1068" s="81" t="s">
        <v>5506</v>
      </c>
      <c r="H1068" s="81" t="s">
        <v>3572</v>
      </c>
      <c r="I1068" s="81" t="s">
        <v>6345</v>
      </c>
      <c r="J1068" s="81" t="s">
        <v>2186</v>
      </c>
      <c r="K1068" s="81" t="s">
        <v>6345</v>
      </c>
      <c r="L1068" s="81" t="s">
        <v>2392</v>
      </c>
      <c r="M1068" s="81" t="s">
        <v>6345</v>
      </c>
      <c r="N1068" s="81" t="s">
        <v>2231</v>
      </c>
      <c r="O1068" s="81" t="s">
        <v>2187</v>
      </c>
      <c r="P1068" s="81" t="s">
        <v>2187</v>
      </c>
      <c r="Q1068" s="81" t="s">
        <v>43</v>
      </c>
      <c r="R1068" s="81" t="s">
        <v>46</v>
      </c>
      <c r="S1068" s="81" t="s">
        <v>46</v>
      </c>
      <c r="T1068" s="81" t="s">
        <v>48</v>
      </c>
      <c r="U1068" s="81" t="s">
        <v>48</v>
      </c>
      <c r="V1068" s="81" t="s">
        <v>48</v>
      </c>
      <c r="W1068" s="81" t="s">
        <v>49</v>
      </c>
      <c r="X1068" s="81" t="s">
        <v>48</v>
      </c>
      <c r="Y1068" s="81" t="s">
        <v>48</v>
      </c>
    </row>
    <row r="1069" spans="1:25" x14ac:dyDescent="0.3">
      <c r="A1069" s="16">
        <v>7502216790506</v>
      </c>
      <c r="B1069" s="81" t="s">
        <v>43</v>
      </c>
      <c r="C1069" s="81" t="s">
        <v>5411</v>
      </c>
      <c r="D1069" s="81" t="s">
        <v>45</v>
      </c>
      <c r="E1069" s="81" t="s">
        <v>2180</v>
      </c>
      <c r="F1069" s="81" t="s">
        <v>2363</v>
      </c>
      <c r="G1069" s="81" t="s">
        <v>4819</v>
      </c>
      <c r="H1069" s="81" t="s">
        <v>3395</v>
      </c>
      <c r="I1069" s="81" t="s">
        <v>6346</v>
      </c>
      <c r="J1069" s="81" t="s">
        <v>2186</v>
      </c>
      <c r="K1069" s="81" t="s">
        <v>6346</v>
      </c>
      <c r="L1069" s="81" t="s">
        <v>2392</v>
      </c>
      <c r="M1069" s="81" t="s">
        <v>6346</v>
      </c>
      <c r="N1069" s="81" t="s">
        <v>2231</v>
      </c>
      <c r="O1069" s="81" t="s">
        <v>2187</v>
      </c>
      <c r="P1069" s="81" t="s">
        <v>2187</v>
      </c>
      <c r="Q1069" s="81" t="s">
        <v>43</v>
      </c>
      <c r="R1069" s="81" t="s">
        <v>46</v>
      </c>
      <c r="S1069" s="81" t="s">
        <v>46</v>
      </c>
      <c r="T1069" s="81" t="s">
        <v>48</v>
      </c>
      <c r="U1069" s="81" t="s">
        <v>48</v>
      </c>
      <c r="V1069" s="81" t="s">
        <v>48</v>
      </c>
      <c r="W1069" s="81" t="s">
        <v>49</v>
      </c>
      <c r="X1069" s="81" t="s">
        <v>48</v>
      </c>
      <c r="Y1069" s="81" t="s">
        <v>48</v>
      </c>
    </row>
    <row r="1070" spans="1:25" x14ac:dyDescent="0.3">
      <c r="A1070" s="16">
        <v>7502216808461</v>
      </c>
      <c r="B1070" s="81" t="s">
        <v>43</v>
      </c>
      <c r="C1070" s="81" t="s">
        <v>1005</v>
      </c>
      <c r="D1070" s="81" t="s">
        <v>45</v>
      </c>
      <c r="E1070" s="81" t="s">
        <v>2312</v>
      </c>
      <c r="F1070" s="81" t="s">
        <v>2313</v>
      </c>
      <c r="G1070" s="81" t="s">
        <v>3574</v>
      </c>
      <c r="H1070" s="81" t="s">
        <v>2743</v>
      </c>
      <c r="I1070" s="81" t="s">
        <v>6347</v>
      </c>
      <c r="J1070" s="81" t="s">
        <v>2186</v>
      </c>
      <c r="K1070" s="81" t="s">
        <v>6347</v>
      </c>
      <c r="L1070" s="81" t="s">
        <v>2392</v>
      </c>
      <c r="M1070" s="81" t="s">
        <v>6347</v>
      </c>
      <c r="N1070" s="81" t="s">
        <v>2231</v>
      </c>
      <c r="O1070" s="81" t="s">
        <v>2187</v>
      </c>
      <c r="P1070" s="81" t="s">
        <v>2187</v>
      </c>
      <c r="Q1070" s="81" t="s">
        <v>43</v>
      </c>
      <c r="R1070" s="81" t="s">
        <v>46</v>
      </c>
      <c r="S1070" s="81" t="s">
        <v>47</v>
      </c>
      <c r="T1070" s="81" t="s">
        <v>48</v>
      </c>
      <c r="U1070" s="81" t="s">
        <v>48</v>
      </c>
      <c r="V1070" s="81" t="s">
        <v>48</v>
      </c>
      <c r="W1070" s="81" t="s">
        <v>49</v>
      </c>
      <c r="X1070" s="81" t="s">
        <v>48</v>
      </c>
      <c r="Y1070" s="81" t="s">
        <v>48</v>
      </c>
    </row>
    <row r="1071" spans="1:25" x14ac:dyDescent="0.3">
      <c r="A1071" s="16">
        <v>7502234760352</v>
      </c>
      <c r="B1071" s="81" t="s">
        <v>43</v>
      </c>
      <c r="C1071" s="81" t="s">
        <v>2155</v>
      </c>
      <c r="D1071" s="81" t="s">
        <v>45</v>
      </c>
      <c r="E1071" s="81" t="s">
        <v>2448</v>
      </c>
      <c r="F1071" s="81" t="s">
        <v>2540</v>
      </c>
      <c r="G1071" s="81" t="s">
        <v>3575</v>
      </c>
      <c r="H1071" s="81" t="s">
        <v>2337</v>
      </c>
      <c r="I1071" s="81" t="s">
        <v>5735</v>
      </c>
      <c r="J1071" s="81" t="s">
        <v>2186</v>
      </c>
      <c r="K1071" s="81" t="s">
        <v>5735</v>
      </c>
      <c r="L1071" s="81" t="s">
        <v>2392</v>
      </c>
      <c r="M1071" s="81" t="s">
        <v>5735</v>
      </c>
      <c r="N1071" s="81" t="s">
        <v>2231</v>
      </c>
      <c r="O1071" s="81" t="s">
        <v>2187</v>
      </c>
      <c r="P1071" s="81" t="s">
        <v>2187</v>
      </c>
      <c r="Q1071" s="81" t="s">
        <v>43</v>
      </c>
      <c r="R1071" s="81" t="s">
        <v>46</v>
      </c>
      <c r="S1071" s="81" t="s">
        <v>46</v>
      </c>
      <c r="T1071" s="81" t="s">
        <v>48</v>
      </c>
      <c r="U1071" s="81" t="s">
        <v>48</v>
      </c>
      <c r="V1071" s="81" t="s">
        <v>48</v>
      </c>
      <c r="W1071" s="81" t="s">
        <v>49</v>
      </c>
      <c r="X1071" s="81" t="s">
        <v>48</v>
      </c>
      <c r="Y1071" s="81" t="s">
        <v>48</v>
      </c>
    </row>
    <row r="1072" spans="1:25" x14ac:dyDescent="0.3">
      <c r="A1072" s="16">
        <v>7506442701039</v>
      </c>
      <c r="B1072" s="81" t="s">
        <v>43</v>
      </c>
      <c r="C1072" s="81" t="s">
        <v>3576</v>
      </c>
      <c r="D1072" s="81" t="s">
        <v>45</v>
      </c>
      <c r="E1072" s="81" t="s">
        <v>2368</v>
      </c>
      <c r="F1072" s="81" t="s">
        <v>2368</v>
      </c>
      <c r="G1072" s="81" t="s">
        <v>3577</v>
      </c>
      <c r="H1072" s="81" t="s">
        <v>3578</v>
      </c>
      <c r="I1072" s="81" t="s">
        <v>6348</v>
      </c>
      <c r="J1072" s="81" t="s">
        <v>2186</v>
      </c>
      <c r="K1072" s="81" t="s">
        <v>6348</v>
      </c>
      <c r="L1072" s="81" t="s">
        <v>2392</v>
      </c>
      <c r="M1072" s="81" t="s">
        <v>6348</v>
      </c>
      <c r="N1072" s="81" t="s">
        <v>2231</v>
      </c>
      <c r="O1072" s="81" t="s">
        <v>2187</v>
      </c>
      <c r="P1072" s="81" t="s">
        <v>2187</v>
      </c>
      <c r="Q1072" s="81" t="s">
        <v>43</v>
      </c>
      <c r="R1072" s="81" t="s">
        <v>374</v>
      </c>
      <c r="S1072" s="81" t="s">
        <v>374</v>
      </c>
      <c r="T1072" s="81" t="s">
        <v>48</v>
      </c>
      <c r="U1072" s="81" t="s">
        <v>48</v>
      </c>
      <c r="V1072" s="81" t="s">
        <v>48</v>
      </c>
      <c r="W1072" s="81" t="s">
        <v>49</v>
      </c>
      <c r="X1072" s="81" t="s">
        <v>48</v>
      </c>
      <c r="Y1072" s="81" t="s">
        <v>48</v>
      </c>
    </row>
    <row r="1073" spans="1:25" x14ac:dyDescent="0.3">
      <c r="A1073" s="16">
        <v>7501573906476</v>
      </c>
      <c r="B1073" s="81" t="s">
        <v>43</v>
      </c>
      <c r="C1073" s="81" t="s">
        <v>1006</v>
      </c>
      <c r="D1073" s="81" t="s">
        <v>45</v>
      </c>
      <c r="E1073" s="81" t="s">
        <v>2303</v>
      </c>
      <c r="F1073" s="81" t="s">
        <v>2304</v>
      </c>
      <c r="G1073" s="81" t="s">
        <v>5222</v>
      </c>
      <c r="H1073" s="81" t="s">
        <v>2290</v>
      </c>
      <c r="I1073" s="81" t="s">
        <v>2306</v>
      </c>
      <c r="J1073" s="81" t="s">
        <v>2186</v>
      </c>
      <c r="K1073" s="81" t="s">
        <v>2307</v>
      </c>
      <c r="L1073" s="81" t="s">
        <v>2392</v>
      </c>
      <c r="M1073" s="81" t="s">
        <v>2252</v>
      </c>
      <c r="N1073" s="81" t="s">
        <v>2231</v>
      </c>
      <c r="O1073" s="81" t="s">
        <v>2187</v>
      </c>
      <c r="P1073" s="81" t="s">
        <v>2187</v>
      </c>
      <c r="Q1073" s="81" t="s">
        <v>43</v>
      </c>
      <c r="R1073" s="81" t="s">
        <v>46</v>
      </c>
      <c r="S1073" s="81" t="s">
        <v>46</v>
      </c>
      <c r="T1073" s="81" t="s">
        <v>48</v>
      </c>
      <c r="U1073" s="81" t="s">
        <v>48</v>
      </c>
      <c r="V1073" s="81" t="s">
        <v>48</v>
      </c>
      <c r="W1073" s="81" t="s">
        <v>49</v>
      </c>
      <c r="X1073" s="81" t="s">
        <v>48</v>
      </c>
      <c r="Y1073" s="81" t="s">
        <v>48</v>
      </c>
    </row>
    <row r="1074" spans="1:25" x14ac:dyDescent="0.3">
      <c r="A1074" s="16">
        <v>7501573904786</v>
      </c>
      <c r="B1074" s="81" t="s">
        <v>43</v>
      </c>
      <c r="C1074" s="81" t="s">
        <v>1007</v>
      </c>
      <c r="D1074" s="81" t="s">
        <v>45</v>
      </c>
      <c r="E1074" s="81" t="s">
        <v>2355</v>
      </c>
      <c r="F1074" s="81" t="s">
        <v>2507</v>
      </c>
      <c r="G1074" s="81" t="s">
        <v>5223</v>
      </c>
      <c r="H1074" s="81" t="s">
        <v>2268</v>
      </c>
      <c r="I1074" s="81" t="s">
        <v>5165</v>
      </c>
      <c r="J1074" s="81" t="s">
        <v>2186</v>
      </c>
      <c r="K1074" s="81" t="s">
        <v>5165</v>
      </c>
      <c r="L1074" s="81" t="s">
        <v>2392</v>
      </c>
      <c r="M1074" s="81" t="s">
        <v>5165</v>
      </c>
      <c r="N1074" s="81" t="s">
        <v>2231</v>
      </c>
      <c r="O1074" s="81" t="s">
        <v>2187</v>
      </c>
      <c r="P1074" s="81" t="s">
        <v>2187</v>
      </c>
      <c r="Q1074" s="81" t="s">
        <v>43</v>
      </c>
      <c r="R1074" s="81" t="s">
        <v>46</v>
      </c>
      <c r="S1074" s="81" t="s">
        <v>47</v>
      </c>
      <c r="T1074" s="81" t="s">
        <v>48</v>
      </c>
      <c r="U1074" s="81" t="s">
        <v>48</v>
      </c>
      <c r="V1074" s="81" t="s">
        <v>48</v>
      </c>
      <c r="W1074" s="81" t="s">
        <v>49</v>
      </c>
      <c r="X1074" s="81" t="s">
        <v>48</v>
      </c>
      <c r="Y1074" s="81" t="s">
        <v>48</v>
      </c>
    </row>
    <row r="1075" spans="1:25" x14ac:dyDescent="0.3">
      <c r="A1075" s="16">
        <v>7501075721751</v>
      </c>
      <c r="B1075" s="81" t="s">
        <v>43</v>
      </c>
      <c r="C1075" s="81" t="s">
        <v>1008</v>
      </c>
      <c r="D1075" s="81" t="s">
        <v>45</v>
      </c>
      <c r="E1075" s="81" t="s">
        <v>2363</v>
      </c>
      <c r="F1075" s="81" t="s">
        <v>2364</v>
      </c>
      <c r="G1075" s="81" t="s">
        <v>4367</v>
      </c>
      <c r="H1075" s="81" t="s">
        <v>2743</v>
      </c>
      <c r="I1075" s="81" t="s">
        <v>6349</v>
      </c>
      <c r="J1075" s="81" t="s">
        <v>2186</v>
      </c>
      <c r="K1075" s="81" t="s">
        <v>6349</v>
      </c>
      <c r="L1075" s="81" t="s">
        <v>2392</v>
      </c>
      <c r="M1075" s="81" t="s">
        <v>6349</v>
      </c>
      <c r="N1075" s="81" t="s">
        <v>2231</v>
      </c>
      <c r="O1075" s="81" t="s">
        <v>2187</v>
      </c>
      <c r="P1075" s="81" t="s">
        <v>2187</v>
      </c>
      <c r="Q1075" s="81" t="s">
        <v>43</v>
      </c>
      <c r="R1075" s="81" t="s">
        <v>46</v>
      </c>
      <c r="S1075" s="81" t="s">
        <v>47</v>
      </c>
      <c r="T1075" s="81" t="s">
        <v>48</v>
      </c>
      <c r="U1075" s="81" t="s">
        <v>48</v>
      </c>
      <c r="V1075" s="81" t="s">
        <v>48</v>
      </c>
      <c r="W1075" s="81" t="s">
        <v>49</v>
      </c>
      <c r="X1075" s="81" t="s">
        <v>48</v>
      </c>
      <c r="Y1075" s="81" t="s">
        <v>48</v>
      </c>
    </row>
    <row r="1076" spans="1:25" x14ac:dyDescent="0.3">
      <c r="A1076" s="16">
        <v>7502216803640</v>
      </c>
      <c r="B1076" s="81" t="s">
        <v>43</v>
      </c>
      <c r="C1076" s="81" t="s">
        <v>1999</v>
      </c>
      <c r="D1076" s="81" t="s">
        <v>45</v>
      </c>
      <c r="E1076" s="81" t="s">
        <v>2357</v>
      </c>
      <c r="F1076" s="81" t="s">
        <v>2457</v>
      </c>
      <c r="G1076" s="81" t="s">
        <v>5014</v>
      </c>
      <c r="H1076" s="81" t="s">
        <v>2193</v>
      </c>
      <c r="I1076" s="81" t="s">
        <v>6197</v>
      </c>
      <c r="J1076" s="81" t="s">
        <v>2186</v>
      </c>
      <c r="K1076" s="81" t="s">
        <v>6197</v>
      </c>
      <c r="L1076" s="81" t="s">
        <v>2392</v>
      </c>
      <c r="M1076" s="81" t="s">
        <v>6197</v>
      </c>
      <c r="N1076" s="81" t="s">
        <v>2231</v>
      </c>
      <c r="O1076" s="81" t="s">
        <v>2187</v>
      </c>
      <c r="P1076" s="81" t="s">
        <v>2187</v>
      </c>
      <c r="Q1076" s="81" t="s">
        <v>43</v>
      </c>
      <c r="R1076" s="81" t="s">
        <v>46</v>
      </c>
      <c r="S1076" s="81" t="s">
        <v>47</v>
      </c>
      <c r="T1076" s="81" t="s">
        <v>48</v>
      </c>
      <c r="U1076" s="81" t="s">
        <v>48</v>
      </c>
      <c r="V1076" s="81" t="s">
        <v>48</v>
      </c>
      <c r="W1076" s="81" t="s">
        <v>49</v>
      </c>
      <c r="X1076" s="81" t="s">
        <v>48</v>
      </c>
      <c r="Y1076" s="81" t="s">
        <v>48</v>
      </c>
    </row>
    <row r="1077" spans="1:25" x14ac:dyDescent="0.3">
      <c r="A1077" s="16">
        <v>7502211784005</v>
      </c>
      <c r="B1077" s="81" t="s">
        <v>43</v>
      </c>
      <c r="C1077" s="81" t="s">
        <v>1009</v>
      </c>
      <c r="D1077" s="81" t="s">
        <v>45</v>
      </c>
      <c r="E1077" s="81" t="s">
        <v>2191</v>
      </c>
      <c r="F1077" s="81" t="s">
        <v>2192</v>
      </c>
      <c r="G1077" s="81" t="s">
        <v>4673</v>
      </c>
      <c r="H1077" s="81" t="s">
        <v>2264</v>
      </c>
      <c r="I1077" s="81" t="s">
        <v>6350</v>
      </c>
      <c r="J1077" s="81" t="s">
        <v>2186</v>
      </c>
      <c r="K1077" s="81" t="s">
        <v>6350</v>
      </c>
      <c r="L1077" s="81" t="s">
        <v>2392</v>
      </c>
      <c r="M1077" s="81" t="s">
        <v>6350</v>
      </c>
      <c r="N1077" s="81" t="s">
        <v>2231</v>
      </c>
      <c r="O1077" s="81" t="s">
        <v>2187</v>
      </c>
      <c r="P1077" s="81" t="s">
        <v>2187</v>
      </c>
      <c r="Q1077" s="81" t="s">
        <v>43</v>
      </c>
      <c r="R1077" s="81" t="s">
        <v>46</v>
      </c>
      <c r="S1077" s="81" t="s">
        <v>47</v>
      </c>
      <c r="T1077" s="81" t="s">
        <v>48</v>
      </c>
      <c r="U1077" s="81" t="s">
        <v>48</v>
      </c>
      <c r="V1077" s="81" t="s">
        <v>48</v>
      </c>
      <c r="W1077" s="81" t="s">
        <v>49</v>
      </c>
      <c r="X1077" s="81" t="s">
        <v>48</v>
      </c>
      <c r="Y1077" s="81" t="s">
        <v>48</v>
      </c>
    </row>
    <row r="1078" spans="1:25" x14ac:dyDescent="0.3">
      <c r="A1078" s="16">
        <v>7502211788423</v>
      </c>
      <c r="B1078" s="81" t="s">
        <v>43</v>
      </c>
      <c r="C1078" s="81" t="s">
        <v>1010</v>
      </c>
      <c r="D1078" s="81" t="s">
        <v>45</v>
      </c>
      <c r="E1078" s="81" t="s">
        <v>2298</v>
      </c>
      <c r="F1078" s="81" t="s">
        <v>2262</v>
      </c>
      <c r="G1078" s="81" t="s">
        <v>3582</v>
      </c>
      <c r="H1078" s="81" t="s">
        <v>2416</v>
      </c>
      <c r="I1078" s="81" t="s">
        <v>6351</v>
      </c>
      <c r="J1078" s="81" t="s">
        <v>2186</v>
      </c>
      <c r="K1078" s="81" t="s">
        <v>6351</v>
      </c>
      <c r="L1078" s="81" t="s">
        <v>2392</v>
      </c>
      <c r="M1078" s="81" t="s">
        <v>6351</v>
      </c>
      <c r="N1078" s="81" t="s">
        <v>2231</v>
      </c>
      <c r="O1078" s="81" t="s">
        <v>2187</v>
      </c>
      <c r="P1078" s="81" t="s">
        <v>2187</v>
      </c>
      <c r="Q1078" s="81" t="s">
        <v>43</v>
      </c>
      <c r="R1078" s="81" t="s">
        <v>46</v>
      </c>
      <c r="S1078" s="81" t="s">
        <v>46</v>
      </c>
      <c r="T1078" s="81" t="s">
        <v>48</v>
      </c>
      <c r="U1078" s="81" t="s">
        <v>48</v>
      </c>
      <c r="V1078" s="81" t="s">
        <v>48</v>
      </c>
      <c r="W1078" s="81" t="s">
        <v>49</v>
      </c>
      <c r="X1078" s="81" t="s">
        <v>48</v>
      </c>
      <c r="Y1078" s="81" t="s">
        <v>48</v>
      </c>
    </row>
    <row r="1079" spans="1:25" x14ac:dyDescent="0.3">
      <c r="A1079" s="16">
        <v>7502009746543</v>
      </c>
      <c r="B1079" s="81" t="s">
        <v>43</v>
      </c>
      <c r="C1079" s="81" t="s">
        <v>1011</v>
      </c>
      <c r="D1079" s="81" t="s">
        <v>45</v>
      </c>
      <c r="E1079" s="81" t="s">
        <v>2233</v>
      </c>
      <c r="F1079" s="81" t="s">
        <v>2477</v>
      </c>
      <c r="G1079" s="81" t="s">
        <v>5166</v>
      </c>
      <c r="H1079" s="81" t="s">
        <v>2243</v>
      </c>
      <c r="I1079" s="81" t="s">
        <v>5554</v>
      </c>
      <c r="J1079" s="81" t="s">
        <v>2186</v>
      </c>
      <c r="K1079" s="81" t="s">
        <v>5554</v>
      </c>
      <c r="L1079" s="81" t="s">
        <v>2392</v>
      </c>
      <c r="M1079" s="81" t="s">
        <v>5554</v>
      </c>
      <c r="N1079" s="81" t="s">
        <v>2231</v>
      </c>
      <c r="O1079" s="81" t="s">
        <v>2187</v>
      </c>
      <c r="P1079" s="81" t="s">
        <v>2187</v>
      </c>
      <c r="Q1079" s="81" t="s">
        <v>43</v>
      </c>
      <c r="R1079" s="81" t="s">
        <v>46</v>
      </c>
      <c r="S1079" s="81" t="s">
        <v>47</v>
      </c>
      <c r="T1079" s="81" t="s">
        <v>48</v>
      </c>
      <c r="U1079" s="81" t="s">
        <v>48</v>
      </c>
      <c r="V1079" s="81" t="s">
        <v>48</v>
      </c>
      <c r="W1079" s="81" t="s">
        <v>49</v>
      </c>
      <c r="X1079" s="81" t="s">
        <v>48</v>
      </c>
      <c r="Y1079" s="81" t="s">
        <v>48</v>
      </c>
    </row>
    <row r="1080" spans="1:25" x14ac:dyDescent="0.3">
      <c r="A1080" s="16">
        <v>7501417010253</v>
      </c>
      <c r="B1080" s="81" t="s">
        <v>43</v>
      </c>
      <c r="C1080" s="81" t="s">
        <v>1012</v>
      </c>
      <c r="D1080" s="81" t="s">
        <v>45</v>
      </c>
      <c r="E1080" s="81" t="s">
        <v>2563</v>
      </c>
      <c r="F1080" s="81" t="s">
        <v>3583</v>
      </c>
      <c r="G1080" s="81" t="s">
        <v>3418</v>
      </c>
      <c r="H1080" s="81" t="s">
        <v>6352</v>
      </c>
      <c r="I1080" s="81" t="s">
        <v>6353</v>
      </c>
      <c r="J1080" s="81" t="s">
        <v>2186</v>
      </c>
      <c r="K1080" s="81" t="s">
        <v>6353</v>
      </c>
      <c r="L1080" s="81" t="s">
        <v>2392</v>
      </c>
      <c r="M1080" s="81" t="s">
        <v>6353</v>
      </c>
      <c r="N1080" s="81" t="s">
        <v>2231</v>
      </c>
      <c r="O1080" s="81" t="s">
        <v>2187</v>
      </c>
      <c r="P1080" s="81" t="s">
        <v>2187</v>
      </c>
      <c r="Q1080" s="81" t="s">
        <v>43</v>
      </c>
      <c r="R1080" s="81" t="s">
        <v>203</v>
      </c>
      <c r="S1080" s="81" t="s">
        <v>203</v>
      </c>
      <c r="T1080" s="81" t="s">
        <v>48</v>
      </c>
      <c r="U1080" s="81" t="s">
        <v>48</v>
      </c>
      <c r="V1080" s="81" t="s">
        <v>49</v>
      </c>
      <c r="W1080" s="81" t="s">
        <v>48</v>
      </c>
      <c r="X1080" s="81" t="s">
        <v>48</v>
      </c>
      <c r="Y1080" s="81" t="s">
        <v>48</v>
      </c>
    </row>
    <row r="1081" spans="1:25" x14ac:dyDescent="0.3">
      <c r="A1081" s="16">
        <v>7502259892298</v>
      </c>
      <c r="B1081" s="81" t="s">
        <v>43</v>
      </c>
      <c r="C1081" s="81" t="s">
        <v>1013</v>
      </c>
      <c r="D1081" s="81" t="s">
        <v>45</v>
      </c>
      <c r="E1081" s="81" t="s">
        <v>2465</v>
      </c>
      <c r="F1081" s="81" t="s">
        <v>2210</v>
      </c>
      <c r="G1081" s="81" t="s">
        <v>5507</v>
      </c>
      <c r="H1081" s="81" t="s">
        <v>3287</v>
      </c>
      <c r="I1081" s="81" t="s">
        <v>6354</v>
      </c>
      <c r="J1081" s="81" t="s">
        <v>2186</v>
      </c>
      <c r="K1081" s="81" t="s">
        <v>6354</v>
      </c>
      <c r="L1081" s="81" t="s">
        <v>2392</v>
      </c>
      <c r="M1081" s="81" t="s">
        <v>6354</v>
      </c>
      <c r="N1081" s="81" t="s">
        <v>2231</v>
      </c>
      <c r="O1081" s="81" t="s">
        <v>2187</v>
      </c>
      <c r="P1081" s="81" t="s">
        <v>2187</v>
      </c>
      <c r="Q1081" s="81" t="s">
        <v>43</v>
      </c>
      <c r="R1081" s="81" t="s">
        <v>46</v>
      </c>
      <c r="S1081" s="81" t="s">
        <v>46</v>
      </c>
      <c r="T1081" s="81" t="s">
        <v>48</v>
      </c>
      <c r="U1081" s="81" t="s">
        <v>48</v>
      </c>
      <c r="V1081" s="81" t="s">
        <v>49</v>
      </c>
      <c r="W1081" s="81" t="s">
        <v>48</v>
      </c>
      <c r="X1081" s="81" t="s">
        <v>48</v>
      </c>
      <c r="Y1081" s="81" t="s">
        <v>48</v>
      </c>
    </row>
    <row r="1082" spans="1:25" x14ac:dyDescent="0.3">
      <c r="A1082" s="16">
        <v>7503004908707</v>
      </c>
      <c r="B1082" s="81" t="s">
        <v>43</v>
      </c>
      <c r="C1082" s="81" t="s">
        <v>1014</v>
      </c>
      <c r="D1082" s="81" t="s">
        <v>45</v>
      </c>
      <c r="E1082" s="81" t="s">
        <v>2620</v>
      </c>
      <c r="F1082" s="81" t="s">
        <v>2780</v>
      </c>
      <c r="G1082" s="81" t="s">
        <v>5088</v>
      </c>
      <c r="H1082" s="81" t="s">
        <v>2243</v>
      </c>
      <c r="I1082" s="81" t="s">
        <v>5297</v>
      </c>
      <c r="J1082" s="81" t="s">
        <v>2186</v>
      </c>
      <c r="K1082" s="81" t="s">
        <v>5297</v>
      </c>
      <c r="L1082" s="81" t="s">
        <v>2392</v>
      </c>
      <c r="M1082" s="81" t="s">
        <v>5297</v>
      </c>
      <c r="N1082" s="81" t="s">
        <v>2231</v>
      </c>
      <c r="O1082" s="81" t="s">
        <v>2187</v>
      </c>
      <c r="P1082" s="81" t="s">
        <v>2187</v>
      </c>
      <c r="Q1082" s="81" t="s">
        <v>43</v>
      </c>
      <c r="R1082" s="81" t="s">
        <v>46</v>
      </c>
      <c r="S1082" s="81" t="s">
        <v>46</v>
      </c>
      <c r="T1082" s="81" t="s">
        <v>48</v>
      </c>
      <c r="U1082" s="81" t="s">
        <v>48</v>
      </c>
      <c r="V1082" s="81" t="s">
        <v>48</v>
      </c>
      <c r="W1082" s="81" t="s">
        <v>49</v>
      </c>
      <c r="X1082" s="81" t="s">
        <v>48</v>
      </c>
      <c r="Y1082" s="81" t="s">
        <v>48</v>
      </c>
    </row>
    <row r="1083" spans="1:25" x14ac:dyDescent="0.3">
      <c r="A1083" s="16">
        <v>821998000700</v>
      </c>
      <c r="B1083" s="81" t="s">
        <v>43</v>
      </c>
      <c r="C1083" s="81" t="s">
        <v>1015</v>
      </c>
      <c r="D1083" s="81" t="s">
        <v>45</v>
      </c>
      <c r="E1083" s="81" t="s">
        <v>2645</v>
      </c>
      <c r="F1083" s="81" t="s">
        <v>2195</v>
      </c>
      <c r="G1083" s="81" t="s">
        <v>4297</v>
      </c>
      <c r="H1083" s="81" t="s">
        <v>2237</v>
      </c>
      <c r="I1083" s="81" t="s">
        <v>6355</v>
      </c>
      <c r="J1083" s="81" t="s">
        <v>2186</v>
      </c>
      <c r="K1083" s="81" t="s">
        <v>6355</v>
      </c>
      <c r="L1083" s="81" t="s">
        <v>2392</v>
      </c>
      <c r="M1083" s="81" t="s">
        <v>6355</v>
      </c>
      <c r="N1083" s="81" t="s">
        <v>2231</v>
      </c>
      <c r="O1083" s="81" t="s">
        <v>2187</v>
      </c>
      <c r="P1083" s="81" t="s">
        <v>2187</v>
      </c>
      <c r="Q1083" s="81" t="s">
        <v>43</v>
      </c>
      <c r="R1083" s="81" t="s">
        <v>46</v>
      </c>
      <c r="S1083" s="81" t="s">
        <v>47</v>
      </c>
      <c r="T1083" s="81" t="s">
        <v>48</v>
      </c>
      <c r="U1083" s="81" t="s">
        <v>48</v>
      </c>
      <c r="V1083" s="81" t="s">
        <v>48</v>
      </c>
      <c r="W1083" s="81" t="s">
        <v>49</v>
      </c>
      <c r="X1083" s="81" t="s">
        <v>48</v>
      </c>
      <c r="Y1083" s="81" t="s">
        <v>48</v>
      </c>
    </row>
    <row r="1084" spans="1:25" x14ac:dyDescent="0.3">
      <c r="A1084" s="16">
        <v>7506022330628</v>
      </c>
      <c r="B1084" s="81" t="s">
        <v>43</v>
      </c>
      <c r="C1084" s="81" t="s">
        <v>5196</v>
      </c>
      <c r="D1084" s="81" t="s">
        <v>45</v>
      </c>
      <c r="E1084" s="81" t="s">
        <v>2358</v>
      </c>
      <c r="F1084" s="81" t="s">
        <v>2557</v>
      </c>
      <c r="G1084" s="81" t="s">
        <v>4882</v>
      </c>
      <c r="H1084" s="81" t="s">
        <v>6356</v>
      </c>
      <c r="I1084" s="81" t="s">
        <v>6357</v>
      </c>
      <c r="J1084" s="81" t="s">
        <v>2186</v>
      </c>
      <c r="K1084" s="81" t="s">
        <v>6357</v>
      </c>
      <c r="L1084" s="81" t="s">
        <v>2392</v>
      </c>
      <c r="M1084" s="81" t="s">
        <v>6357</v>
      </c>
      <c r="N1084" s="81" t="s">
        <v>2231</v>
      </c>
      <c r="O1084" s="81" t="s">
        <v>2187</v>
      </c>
      <c r="P1084" s="81" t="s">
        <v>2187</v>
      </c>
      <c r="Q1084" s="81" t="s">
        <v>43</v>
      </c>
      <c r="R1084" s="81" t="s">
        <v>46</v>
      </c>
      <c r="S1084" s="81" t="s">
        <v>46</v>
      </c>
      <c r="T1084" s="81" t="s">
        <v>48</v>
      </c>
      <c r="U1084" s="81" t="s">
        <v>48</v>
      </c>
      <c r="V1084" s="81" t="s">
        <v>49</v>
      </c>
      <c r="W1084" s="81" t="s">
        <v>48</v>
      </c>
      <c r="X1084" s="81" t="s">
        <v>48</v>
      </c>
      <c r="Y1084" s="81" t="s">
        <v>48</v>
      </c>
    </row>
    <row r="1085" spans="1:25" x14ac:dyDescent="0.3">
      <c r="A1085" s="16">
        <v>75000950</v>
      </c>
      <c r="B1085" s="81" t="s">
        <v>43</v>
      </c>
      <c r="C1085" s="81" t="s">
        <v>1016</v>
      </c>
      <c r="D1085" s="81" t="s">
        <v>45</v>
      </c>
      <c r="E1085" s="81" t="s">
        <v>2227</v>
      </c>
      <c r="F1085" s="81" t="s">
        <v>2227</v>
      </c>
      <c r="G1085" s="81" t="s">
        <v>3585</v>
      </c>
      <c r="H1085" s="81" t="s">
        <v>2867</v>
      </c>
      <c r="I1085" s="81" t="s">
        <v>6358</v>
      </c>
      <c r="J1085" s="81" t="s">
        <v>2186</v>
      </c>
      <c r="K1085" s="81" t="s">
        <v>6358</v>
      </c>
      <c r="L1085" s="81" t="s">
        <v>2392</v>
      </c>
      <c r="M1085" s="81" t="s">
        <v>6358</v>
      </c>
      <c r="N1085" s="81" t="s">
        <v>2231</v>
      </c>
      <c r="O1085" s="81" t="s">
        <v>2187</v>
      </c>
      <c r="P1085" s="81" t="s">
        <v>2187</v>
      </c>
      <c r="Q1085" s="81" t="s">
        <v>43</v>
      </c>
      <c r="R1085" s="81" t="s">
        <v>524</v>
      </c>
      <c r="S1085" s="81" t="s">
        <v>525</v>
      </c>
      <c r="T1085" s="81" t="s">
        <v>48</v>
      </c>
      <c r="U1085" s="81" t="s">
        <v>48</v>
      </c>
      <c r="V1085" s="81" t="s">
        <v>49</v>
      </c>
      <c r="W1085" s="81" t="s">
        <v>48</v>
      </c>
      <c r="X1085" s="81" t="s">
        <v>48</v>
      </c>
      <c r="Y1085" s="81" t="s">
        <v>48</v>
      </c>
    </row>
    <row r="1086" spans="1:25" x14ac:dyDescent="0.3">
      <c r="A1086" s="16">
        <v>7501943480001</v>
      </c>
      <c r="B1086" s="81" t="s">
        <v>43</v>
      </c>
      <c r="C1086" s="81" t="s">
        <v>1821</v>
      </c>
      <c r="D1086" s="81" t="s">
        <v>45</v>
      </c>
      <c r="E1086" s="81" t="s">
        <v>2227</v>
      </c>
      <c r="F1086" s="81" t="s">
        <v>2227</v>
      </c>
      <c r="G1086" s="81" t="s">
        <v>3586</v>
      </c>
      <c r="H1086" s="81" t="s">
        <v>2943</v>
      </c>
      <c r="I1086" s="81" t="s">
        <v>6359</v>
      </c>
      <c r="J1086" s="81" t="s">
        <v>2186</v>
      </c>
      <c r="K1086" s="81" t="s">
        <v>6359</v>
      </c>
      <c r="L1086" s="81" t="s">
        <v>2392</v>
      </c>
      <c r="M1086" s="81" t="s">
        <v>6359</v>
      </c>
      <c r="N1086" s="81" t="s">
        <v>2231</v>
      </c>
      <c r="O1086" s="81" t="s">
        <v>2187</v>
      </c>
      <c r="P1086" s="81" t="s">
        <v>2187</v>
      </c>
      <c r="Q1086" s="81" t="s">
        <v>43</v>
      </c>
      <c r="R1086" s="81" t="s">
        <v>524</v>
      </c>
      <c r="S1086" s="81" t="s">
        <v>525</v>
      </c>
      <c r="T1086" s="81" t="s">
        <v>48</v>
      </c>
      <c r="U1086" s="81" t="s">
        <v>48</v>
      </c>
      <c r="V1086" s="81" t="s">
        <v>49</v>
      </c>
      <c r="W1086" s="81" t="s">
        <v>48</v>
      </c>
      <c r="X1086" s="81" t="s">
        <v>48</v>
      </c>
      <c r="Y1086" s="81" t="s">
        <v>48</v>
      </c>
    </row>
    <row r="1087" spans="1:25" x14ac:dyDescent="0.3">
      <c r="A1087" s="16">
        <v>7509546063843</v>
      </c>
      <c r="B1087" s="81" t="s">
        <v>43</v>
      </c>
      <c r="C1087" s="81" t="s">
        <v>1017</v>
      </c>
      <c r="D1087" s="81" t="s">
        <v>45</v>
      </c>
      <c r="E1087" s="81" t="s">
        <v>2368</v>
      </c>
      <c r="F1087" s="81" t="s">
        <v>2369</v>
      </c>
      <c r="G1087" s="81" t="s">
        <v>3588</v>
      </c>
      <c r="H1087" s="81" t="s">
        <v>6360</v>
      </c>
      <c r="I1087" s="81" t="s">
        <v>6361</v>
      </c>
      <c r="J1087" s="81" t="s">
        <v>2186</v>
      </c>
      <c r="K1087" s="81" t="s">
        <v>6361</v>
      </c>
      <c r="L1087" s="81" t="s">
        <v>2392</v>
      </c>
      <c r="M1087" s="81" t="s">
        <v>6361</v>
      </c>
      <c r="N1087" s="81" t="s">
        <v>2231</v>
      </c>
      <c r="O1087" s="81" t="s">
        <v>2187</v>
      </c>
      <c r="P1087" s="81" t="s">
        <v>2187</v>
      </c>
      <c r="Q1087" s="81" t="s">
        <v>43</v>
      </c>
      <c r="R1087" s="81" t="s">
        <v>524</v>
      </c>
      <c r="S1087" s="81" t="s">
        <v>525</v>
      </c>
      <c r="T1087" s="81" t="s">
        <v>48</v>
      </c>
      <c r="U1087" s="81" t="s">
        <v>48</v>
      </c>
      <c r="V1087" s="81" t="s">
        <v>49</v>
      </c>
      <c r="W1087" s="81" t="s">
        <v>48</v>
      </c>
      <c r="X1087" s="81" t="s">
        <v>48</v>
      </c>
      <c r="Y1087" s="81" t="s">
        <v>48</v>
      </c>
    </row>
    <row r="1088" spans="1:25" x14ac:dyDescent="0.3">
      <c r="A1088" s="16">
        <v>7501065008473</v>
      </c>
      <c r="B1088" s="81" t="s">
        <v>43</v>
      </c>
      <c r="C1088" s="81" t="s">
        <v>1822</v>
      </c>
      <c r="D1088" s="81" t="s">
        <v>45</v>
      </c>
      <c r="E1088" s="81" t="s">
        <v>3589</v>
      </c>
      <c r="F1088" s="81" t="s">
        <v>3590</v>
      </c>
      <c r="G1088" s="81" t="s">
        <v>5118</v>
      </c>
      <c r="H1088" s="81" t="s">
        <v>3357</v>
      </c>
      <c r="I1088" s="81" t="s">
        <v>6362</v>
      </c>
      <c r="J1088" s="81" t="s">
        <v>2186</v>
      </c>
      <c r="K1088" s="81" t="s">
        <v>6362</v>
      </c>
      <c r="L1088" s="81" t="s">
        <v>2392</v>
      </c>
      <c r="M1088" s="81" t="s">
        <v>6362</v>
      </c>
      <c r="N1088" s="81" t="s">
        <v>2231</v>
      </c>
      <c r="O1088" s="81" t="s">
        <v>2187</v>
      </c>
      <c r="P1088" s="81" t="s">
        <v>2187</v>
      </c>
      <c r="Q1088" s="81" t="s">
        <v>43</v>
      </c>
      <c r="R1088" s="81" t="s">
        <v>203</v>
      </c>
      <c r="S1088" s="81" t="s">
        <v>203</v>
      </c>
      <c r="T1088" s="81" t="s">
        <v>48</v>
      </c>
      <c r="U1088" s="81" t="s">
        <v>48</v>
      </c>
      <c r="V1088" s="81" t="s">
        <v>48</v>
      </c>
      <c r="W1088" s="81" t="s">
        <v>49</v>
      </c>
      <c r="X1088" s="81" t="s">
        <v>48</v>
      </c>
      <c r="Y1088" s="81" t="s">
        <v>48</v>
      </c>
    </row>
    <row r="1089" spans="1:25" x14ac:dyDescent="0.3">
      <c r="A1089" s="16">
        <v>7501478310552</v>
      </c>
      <c r="B1089" s="81" t="s">
        <v>43</v>
      </c>
      <c r="C1089" s="81" t="s">
        <v>1018</v>
      </c>
      <c r="D1089" s="81" t="s">
        <v>45</v>
      </c>
      <c r="E1089" s="81" t="s">
        <v>2358</v>
      </c>
      <c r="F1089" s="81" t="s">
        <v>2354</v>
      </c>
      <c r="G1089" s="81" t="s">
        <v>5224</v>
      </c>
      <c r="H1089" s="81" t="s">
        <v>3241</v>
      </c>
      <c r="I1089" s="81" t="s">
        <v>6363</v>
      </c>
      <c r="J1089" s="81" t="s">
        <v>2186</v>
      </c>
      <c r="K1089" s="81" t="s">
        <v>6363</v>
      </c>
      <c r="L1089" s="81" t="s">
        <v>2392</v>
      </c>
      <c r="M1089" s="81" t="s">
        <v>6363</v>
      </c>
      <c r="N1089" s="81" t="s">
        <v>2231</v>
      </c>
      <c r="O1089" s="81" t="s">
        <v>2187</v>
      </c>
      <c r="P1089" s="81" t="s">
        <v>2187</v>
      </c>
      <c r="Q1089" s="81" t="s">
        <v>43</v>
      </c>
      <c r="R1089" s="81" t="s">
        <v>46</v>
      </c>
      <c r="S1089" s="81" t="s">
        <v>46</v>
      </c>
      <c r="T1089" s="81" t="s">
        <v>48</v>
      </c>
      <c r="U1089" s="81" t="s">
        <v>48</v>
      </c>
      <c r="V1089" s="81" t="s">
        <v>49</v>
      </c>
      <c r="W1089" s="81" t="s">
        <v>48</v>
      </c>
      <c r="X1089" s="81" t="s">
        <v>48</v>
      </c>
      <c r="Y1089" s="81" t="s">
        <v>48</v>
      </c>
    </row>
    <row r="1090" spans="1:25" x14ac:dyDescent="0.3">
      <c r="A1090" s="16">
        <v>7501165005594</v>
      </c>
      <c r="B1090" s="81" t="s">
        <v>43</v>
      </c>
      <c r="C1090" s="81" t="s">
        <v>1019</v>
      </c>
      <c r="D1090" s="81" t="s">
        <v>45</v>
      </c>
      <c r="E1090" s="81" t="s">
        <v>2368</v>
      </c>
      <c r="F1090" s="81" t="s">
        <v>2369</v>
      </c>
      <c r="G1090" s="81" t="s">
        <v>3591</v>
      </c>
      <c r="H1090" s="81" t="s">
        <v>2559</v>
      </c>
      <c r="I1090" s="81" t="s">
        <v>6364</v>
      </c>
      <c r="J1090" s="81" t="s">
        <v>2186</v>
      </c>
      <c r="K1090" s="81" t="s">
        <v>6364</v>
      </c>
      <c r="L1090" s="81" t="s">
        <v>2392</v>
      </c>
      <c r="M1090" s="81" t="s">
        <v>6364</v>
      </c>
      <c r="N1090" s="81" t="s">
        <v>2231</v>
      </c>
      <c r="O1090" s="81" t="s">
        <v>2187</v>
      </c>
      <c r="P1090" s="81" t="s">
        <v>2187</v>
      </c>
      <c r="Q1090" s="81" t="s">
        <v>43</v>
      </c>
      <c r="R1090" s="81" t="s">
        <v>203</v>
      </c>
      <c r="S1090" s="81" t="s">
        <v>203</v>
      </c>
      <c r="T1090" s="81" t="s">
        <v>48</v>
      </c>
      <c r="U1090" s="81" t="s">
        <v>48</v>
      </c>
      <c r="V1090" s="81" t="s">
        <v>48</v>
      </c>
      <c r="W1090" s="81" t="s">
        <v>49</v>
      </c>
      <c r="X1090" s="81" t="s">
        <v>48</v>
      </c>
      <c r="Y1090" s="81" t="s">
        <v>48</v>
      </c>
    </row>
    <row r="1091" spans="1:25" x14ac:dyDescent="0.3">
      <c r="A1091" s="16">
        <v>7501165002906</v>
      </c>
      <c r="B1091" s="81" t="s">
        <v>43</v>
      </c>
      <c r="C1091" s="81" t="s">
        <v>1020</v>
      </c>
      <c r="D1091" s="81" t="s">
        <v>45</v>
      </c>
      <c r="E1091" s="81" t="s">
        <v>2179</v>
      </c>
      <c r="F1091" s="81" t="s">
        <v>2704</v>
      </c>
      <c r="G1091" s="81" t="s">
        <v>3592</v>
      </c>
      <c r="H1091" s="81" t="s">
        <v>2464</v>
      </c>
      <c r="I1091" s="81" t="s">
        <v>6365</v>
      </c>
      <c r="J1091" s="81" t="s">
        <v>2186</v>
      </c>
      <c r="K1091" s="81" t="s">
        <v>6365</v>
      </c>
      <c r="L1091" s="81" t="s">
        <v>2392</v>
      </c>
      <c r="M1091" s="81" t="s">
        <v>6365</v>
      </c>
      <c r="N1091" s="81" t="s">
        <v>2231</v>
      </c>
      <c r="O1091" s="81" t="s">
        <v>2187</v>
      </c>
      <c r="P1091" s="81" t="s">
        <v>2187</v>
      </c>
      <c r="Q1091" s="81" t="s">
        <v>43</v>
      </c>
      <c r="R1091" s="81" t="s">
        <v>203</v>
      </c>
      <c r="S1091" s="81" t="s">
        <v>47</v>
      </c>
      <c r="T1091" s="81" t="s">
        <v>48</v>
      </c>
      <c r="U1091" s="81" t="s">
        <v>48</v>
      </c>
      <c r="V1091" s="81" t="s">
        <v>48</v>
      </c>
      <c r="W1091" s="81" t="s">
        <v>49</v>
      </c>
      <c r="X1091" s="81" t="s">
        <v>48</v>
      </c>
      <c r="Y1091" s="81" t="s">
        <v>48</v>
      </c>
    </row>
    <row r="1092" spans="1:25" x14ac:dyDescent="0.3">
      <c r="A1092" s="16">
        <v>7501165002920</v>
      </c>
      <c r="B1092" s="81" t="s">
        <v>43</v>
      </c>
      <c r="C1092" s="81" t="s">
        <v>1731</v>
      </c>
      <c r="D1092" s="81" t="s">
        <v>45</v>
      </c>
      <c r="E1092" s="81" t="s">
        <v>2179</v>
      </c>
      <c r="F1092" s="81" t="s">
        <v>2704</v>
      </c>
      <c r="G1092" s="81" t="s">
        <v>3593</v>
      </c>
      <c r="H1092" s="81" t="s">
        <v>2459</v>
      </c>
      <c r="I1092" s="81" t="s">
        <v>6366</v>
      </c>
      <c r="J1092" s="81" t="s">
        <v>2186</v>
      </c>
      <c r="K1092" s="81" t="s">
        <v>6366</v>
      </c>
      <c r="L1092" s="81" t="s">
        <v>2392</v>
      </c>
      <c r="M1092" s="81" t="s">
        <v>6366</v>
      </c>
      <c r="N1092" s="81" t="s">
        <v>2231</v>
      </c>
      <c r="O1092" s="81" t="s">
        <v>2187</v>
      </c>
      <c r="P1092" s="81" t="s">
        <v>2187</v>
      </c>
      <c r="Q1092" s="81" t="s">
        <v>43</v>
      </c>
      <c r="R1092" s="81" t="s">
        <v>203</v>
      </c>
      <c r="S1092" s="81" t="s">
        <v>47</v>
      </c>
      <c r="T1092" s="81" t="s">
        <v>48</v>
      </c>
      <c r="U1092" s="81" t="s">
        <v>48</v>
      </c>
      <c r="V1092" s="81" t="s">
        <v>48</v>
      </c>
      <c r="W1092" s="81" t="s">
        <v>49</v>
      </c>
      <c r="X1092" s="81" t="s">
        <v>48</v>
      </c>
      <c r="Y1092" s="81" t="s">
        <v>48</v>
      </c>
    </row>
    <row r="1093" spans="1:25" x14ac:dyDescent="0.3">
      <c r="A1093" s="16" t="s">
        <v>1021</v>
      </c>
      <c r="B1093" s="81" t="s">
        <v>43</v>
      </c>
      <c r="C1093" s="81" t="s">
        <v>1022</v>
      </c>
      <c r="D1093" s="81" t="s">
        <v>45</v>
      </c>
      <c r="E1093" s="81" t="s">
        <v>2180</v>
      </c>
      <c r="F1093" s="81" t="s">
        <v>2298</v>
      </c>
      <c r="G1093" s="81" t="s">
        <v>2951</v>
      </c>
      <c r="H1093" s="81" t="s">
        <v>6367</v>
      </c>
      <c r="I1093" s="81" t="s">
        <v>6368</v>
      </c>
      <c r="J1093" s="81" t="s">
        <v>2186</v>
      </c>
      <c r="K1093" s="81" t="s">
        <v>6368</v>
      </c>
      <c r="L1093" s="81" t="s">
        <v>2392</v>
      </c>
      <c r="M1093" s="81" t="s">
        <v>6368</v>
      </c>
      <c r="N1093" s="81" t="s">
        <v>2231</v>
      </c>
      <c r="O1093" s="81" t="s">
        <v>2187</v>
      </c>
      <c r="P1093" s="81" t="s">
        <v>2187</v>
      </c>
      <c r="Q1093" s="81" t="s">
        <v>43</v>
      </c>
      <c r="R1093" s="81" t="s">
        <v>46</v>
      </c>
      <c r="S1093" s="81" t="s">
        <v>46</v>
      </c>
      <c r="T1093" s="81" t="s">
        <v>48</v>
      </c>
      <c r="U1093" s="81" t="s">
        <v>48</v>
      </c>
      <c r="V1093" s="81" t="s">
        <v>49</v>
      </c>
      <c r="W1093" s="81" t="s">
        <v>48</v>
      </c>
      <c r="X1093" s="81" t="s">
        <v>48</v>
      </c>
      <c r="Y1093" s="81" t="s">
        <v>48</v>
      </c>
    </row>
    <row r="1094" spans="1:25" x14ac:dyDescent="0.3">
      <c r="A1094" s="16">
        <v>7506022328335</v>
      </c>
      <c r="B1094" s="81" t="s">
        <v>43</v>
      </c>
      <c r="C1094" s="81" t="s">
        <v>1023</v>
      </c>
      <c r="D1094" s="81" t="s">
        <v>45</v>
      </c>
      <c r="E1094" s="81" t="s">
        <v>2364</v>
      </c>
      <c r="F1094" s="81" t="s">
        <v>2215</v>
      </c>
      <c r="G1094" s="81" t="s">
        <v>3595</v>
      </c>
      <c r="H1094" s="81" t="s">
        <v>2416</v>
      </c>
      <c r="I1094" s="81" t="s">
        <v>5617</v>
      </c>
      <c r="J1094" s="81" t="s">
        <v>2186</v>
      </c>
      <c r="K1094" s="81" t="s">
        <v>5617</v>
      </c>
      <c r="L1094" s="81" t="s">
        <v>2392</v>
      </c>
      <c r="M1094" s="81" t="s">
        <v>5617</v>
      </c>
      <c r="N1094" s="81" t="s">
        <v>2231</v>
      </c>
      <c r="O1094" s="81" t="s">
        <v>2187</v>
      </c>
      <c r="P1094" s="81" t="s">
        <v>2187</v>
      </c>
      <c r="Q1094" s="81" t="s">
        <v>43</v>
      </c>
      <c r="R1094" s="81" t="s">
        <v>46</v>
      </c>
      <c r="S1094" s="81" t="s">
        <v>73</v>
      </c>
      <c r="T1094" s="81" t="s">
        <v>48</v>
      </c>
      <c r="U1094" s="81" t="s">
        <v>48</v>
      </c>
      <c r="V1094" s="81" t="s">
        <v>48</v>
      </c>
      <c r="W1094" s="81" t="s">
        <v>49</v>
      </c>
      <c r="X1094" s="81" t="s">
        <v>48</v>
      </c>
      <c r="Y1094" s="81" t="s">
        <v>48</v>
      </c>
    </row>
    <row r="1095" spans="1:25" x14ac:dyDescent="0.3">
      <c r="A1095" s="16">
        <v>7502227427392</v>
      </c>
      <c r="B1095" s="81" t="s">
        <v>43</v>
      </c>
      <c r="C1095" s="81" t="s">
        <v>2156</v>
      </c>
      <c r="D1095" s="81" t="s">
        <v>45</v>
      </c>
      <c r="E1095" s="81" t="s">
        <v>3596</v>
      </c>
      <c r="F1095" s="81" t="s">
        <v>3597</v>
      </c>
      <c r="G1095" s="81" t="s">
        <v>5350</v>
      </c>
      <c r="H1095" s="81" t="s">
        <v>2243</v>
      </c>
      <c r="I1095" s="81" t="s">
        <v>6369</v>
      </c>
      <c r="J1095" s="81" t="s">
        <v>2186</v>
      </c>
      <c r="K1095" s="81" t="s">
        <v>6369</v>
      </c>
      <c r="L1095" s="81" t="s">
        <v>2392</v>
      </c>
      <c r="M1095" s="81" t="s">
        <v>6369</v>
      </c>
      <c r="N1095" s="81" t="s">
        <v>2231</v>
      </c>
      <c r="O1095" s="81" t="s">
        <v>2187</v>
      </c>
      <c r="P1095" s="81" t="s">
        <v>2187</v>
      </c>
      <c r="Q1095" s="81" t="s">
        <v>43</v>
      </c>
      <c r="R1095" s="81" t="s">
        <v>46</v>
      </c>
      <c r="S1095" s="81" t="s">
        <v>46</v>
      </c>
      <c r="T1095" s="81" t="s">
        <v>48</v>
      </c>
      <c r="U1095" s="81" t="s">
        <v>48</v>
      </c>
      <c r="V1095" s="81" t="s">
        <v>48</v>
      </c>
      <c r="W1095" s="81" t="s">
        <v>49</v>
      </c>
      <c r="X1095" s="81" t="s">
        <v>48</v>
      </c>
      <c r="Y1095" s="81" t="s">
        <v>48</v>
      </c>
    </row>
    <row r="1096" spans="1:25" x14ac:dyDescent="0.3">
      <c r="A1096" s="16">
        <v>7502227420928</v>
      </c>
      <c r="B1096" s="81" t="s">
        <v>43</v>
      </c>
      <c r="C1096" s="81" t="s">
        <v>1024</v>
      </c>
      <c r="D1096" s="81" t="s">
        <v>45</v>
      </c>
      <c r="E1096" s="81" t="s">
        <v>2191</v>
      </c>
      <c r="F1096" s="81" t="s">
        <v>2192</v>
      </c>
      <c r="G1096" s="81" t="s">
        <v>5225</v>
      </c>
      <c r="H1096" s="81" t="s">
        <v>2770</v>
      </c>
      <c r="I1096" s="81" t="s">
        <v>6370</v>
      </c>
      <c r="J1096" s="81" t="s">
        <v>2186</v>
      </c>
      <c r="K1096" s="81" t="s">
        <v>6370</v>
      </c>
      <c r="L1096" s="81" t="s">
        <v>2392</v>
      </c>
      <c r="M1096" s="81" t="s">
        <v>6370</v>
      </c>
      <c r="N1096" s="81" t="s">
        <v>2231</v>
      </c>
      <c r="O1096" s="81" t="s">
        <v>2187</v>
      </c>
      <c r="P1096" s="81" t="s">
        <v>2187</v>
      </c>
      <c r="Q1096" s="81" t="s">
        <v>43</v>
      </c>
      <c r="R1096" s="81" t="s">
        <v>46</v>
      </c>
      <c r="S1096" s="81" t="s">
        <v>46</v>
      </c>
      <c r="T1096" s="81" t="s">
        <v>48</v>
      </c>
      <c r="U1096" s="81" t="s">
        <v>48</v>
      </c>
      <c r="V1096" s="81" t="s">
        <v>49</v>
      </c>
      <c r="W1096" s="81" t="s">
        <v>48</v>
      </c>
      <c r="X1096" s="81" t="s">
        <v>48</v>
      </c>
      <c r="Y1096" s="81" t="s">
        <v>48</v>
      </c>
    </row>
    <row r="1097" spans="1:25" x14ac:dyDescent="0.3">
      <c r="A1097" s="16">
        <v>7501022105191</v>
      </c>
      <c r="B1097" s="81" t="s">
        <v>43</v>
      </c>
      <c r="C1097" s="81" t="s">
        <v>1025</v>
      </c>
      <c r="D1097" s="81" t="s">
        <v>45</v>
      </c>
      <c r="E1097" s="81" t="s">
        <v>2471</v>
      </c>
      <c r="F1097" s="81" t="s">
        <v>2472</v>
      </c>
      <c r="G1097" s="81" t="s">
        <v>5508</v>
      </c>
      <c r="H1097" s="81" t="s">
        <v>3228</v>
      </c>
      <c r="I1097" s="81" t="s">
        <v>3171</v>
      </c>
      <c r="J1097" s="81" t="s">
        <v>2186</v>
      </c>
      <c r="K1097" s="81" t="s">
        <v>3232</v>
      </c>
      <c r="L1097" s="81" t="s">
        <v>2392</v>
      </c>
      <c r="M1097" s="81" t="s">
        <v>3231</v>
      </c>
      <c r="N1097" s="81" t="s">
        <v>2231</v>
      </c>
      <c r="O1097" s="81" t="s">
        <v>2187</v>
      </c>
      <c r="P1097" s="81" t="s">
        <v>2187</v>
      </c>
      <c r="Q1097" s="81" t="s">
        <v>43</v>
      </c>
      <c r="R1097" s="81" t="s">
        <v>46</v>
      </c>
      <c r="S1097" s="81" t="s">
        <v>46</v>
      </c>
      <c r="T1097" s="81" t="s">
        <v>48</v>
      </c>
      <c r="U1097" s="81" t="s">
        <v>48</v>
      </c>
      <c r="V1097" s="81" t="s">
        <v>49</v>
      </c>
      <c r="W1097" s="81" t="s">
        <v>48</v>
      </c>
      <c r="X1097" s="81" t="s">
        <v>48</v>
      </c>
      <c r="Y1097" s="81" t="s">
        <v>48</v>
      </c>
    </row>
    <row r="1098" spans="1:25" x14ac:dyDescent="0.3">
      <c r="A1098" s="16">
        <v>7502209858077</v>
      </c>
      <c r="B1098" s="81" t="s">
        <v>43</v>
      </c>
      <c r="C1098" s="81" t="s">
        <v>1026</v>
      </c>
      <c r="D1098" s="81" t="s">
        <v>45</v>
      </c>
      <c r="E1098" s="81" t="s">
        <v>2457</v>
      </c>
      <c r="F1098" s="81" t="s">
        <v>2645</v>
      </c>
      <c r="G1098" s="81" t="s">
        <v>3598</v>
      </c>
      <c r="H1098" s="81" t="s">
        <v>6371</v>
      </c>
      <c r="I1098" s="81" t="s">
        <v>6372</v>
      </c>
      <c r="J1098" s="81" t="s">
        <v>2186</v>
      </c>
      <c r="K1098" s="81" t="s">
        <v>6372</v>
      </c>
      <c r="L1098" s="81" t="s">
        <v>2392</v>
      </c>
      <c r="M1098" s="81" t="s">
        <v>6372</v>
      </c>
      <c r="N1098" s="81" t="s">
        <v>2231</v>
      </c>
      <c r="O1098" s="81" t="s">
        <v>2187</v>
      </c>
      <c r="P1098" s="81" t="s">
        <v>2187</v>
      </c>
      <c r="Q1098" s="81" t="s">
        <v>43</v>
      </c>
      <c r="R1098" s="81" t="s">
        <v>46</v>
      </c>
      <c r="S1098" s="81" t="s">
        <v>47</v>
      </c>
      <c r="T1098" s="81" t="s">
        <v>48</v>
      </c>
      <c r="U1098" s="81" t="s">
        <v>48</v>
      </c>
      <c r="V1098" s="81" t="s">
        <v>48</v>
      </c>
      <c r="W1098" s="81" t="s">
        <v>49</v>
      </c>
      <c r="X1098" s="81" t="s">
        <v>48</v>
      </c>
      <c r="Y1098" s="81" t="s">
        <v>48</v>
      </c>
    </row>
    <row r="1099" spans="1:25" x14ac:dyDescent="0.3">
      <c r="A1099" s="16">
        <v>714706903342</v>
      </c>
      <c r="B1099" s="81" t="s">
        <v>43</v>
      </c>
      <c r="C1099" s="81" t="s">
        <v>1027</v>
      </c>
      <c r="D1099" s="81" t="s">
        <v>45</v>
      </c>
      <c r="E1099" s="81" t="s">
        <v>2574</v>
      </c>
      <c r="F1099" s="81" t="s">
        <v>3008</v>
      </c>
      <c r="G1099" s="81" t="s">
        <v>3599</v>
      </c>
      <c r="H1099" s="81" t="s">
        <v>2237</v>
      </c>
      <c r="I1099" s="81" t="s">
        <v>4602</v>
      </c>
      <c r="J1099" s="81" t="s">
        <v>2186</v>
      </c>
      <c r="K1099" s="81" t="s">
        <v>4603</v>
      </c>
      <c r="L1099" s="81" t="s">
        <v>2392</v>
      </c>
      <c r="M1099" s="81" t="s">
        <v>3600</v>
      </c>
      <c r="N1099" s="81" t="s">
        <v>2231</v>
      </c>
      <c r="O1099" s="81" t="s">
        <v>2187</v>
      </c>
      <c r="P1099" s="81" t="s">
        <v>2187</v>
      </c>
      <c r="Q1099" s="81" t="s">
        <v>43</v>
      </c>
      <c r="R1099" s="81" t="s">
        <v>203</v>
      </c>
      <c r="S1099" s="81" t="s">
        <v>203</v>
      </c>
      <c r="T1099" s="81" t="s">
        <v>48</v>
      </c>
      <c r="U1099" s="81" t="s">
        <v>48</v>
      </c>
      <c r="V1099" s="81" t="s">
        <v>48</v>
      </c>
      <c r="W1099" s="81" t="s">
        <v>49</v>
      </c>
      <c r="X1099" s="81" t="s">
        <v>48</v>
      </c>
      <c r="Y1099" s="81" t="s">
        <v>48</v>
      </c>
    </row>
    <row r="1100" spans="1:25" x14ac:dyDescent="0.3">
      <c r="A1100" s="16">
        <v>7501064560163</v>
      </c>
      <c r="B1100" s="81" t="s">
        <v>43</v>
      </c>
      <c r="C1100" s="81" t="s">
        <v>1028</v>
      </c>
      <c r="D1100" s="81" t="s">
        <v>45</v>
      </c>
      <c r="E1100" s="81" t="s">
        <v>2704</v>
      </c>
      <c r="F1100" s="81" t="s">
        <v>2312</v>
      </c>
      <c r="G1100" s="81" t="s">
        <v>4707</v>
      </c>
      <c r="H1100" s="81" t="s">
        <v>2415</v>
      </c>
      <c r="I1100" s="81" t="s">
        <v>6120</v>
      </c>
      <c r="J1100" s="81" t="s">
        <v>2186</v>
      </c>
      <c r="K1100" s="81" t="s">
        <v>6120</v>
      </c>
      <c r="L1100" s="81" t="s">
        <v>2392</v>
      </c>
      <c r="M1100" s="81" t="s">
        <v>6120</v>
      </c>
      <c r="N1100" s="81" t="s">
        <v>2231</v>
      </c>
      <c r="O1100" s="81" t="s">
        <v>2187</v>
      </c>
      <c r="P1100" s="81" t="s">
        <v>2187</v>
      </c>
      <c r="Q1100" s="81" t="s">
        <v>43</v>
      </c>
      <c r="R1100" s="81" t="s">
        <v>203</v>
      </c>
      <c r="S1100" s="81" t="s">
        <v>203</v>
      </c>
      <c r="T1100" s="81" t="s">
        <v>48</v>
      </c>
      <c r="U1100" s="81" t="s">
        <v>48</v>
      </c>
      <c r="V1100" s="81" t="s">
        <v>48</v>
      </c>
      <c r="W1100" s="81" t="s">
        <v>49</v>
      </c>
      <c r="X1100" s="81" t="s">
        <v>48</v>
      </c>
      <c r="Y1100" s="81" t="s">
        <v>48</v>
      </c>
    </row>
    <row r="1101" spans="1:25" x14ac:dyDescent="0.3">
      <c r="A1101" s="16">
        <v>7501277032860</v>
      </c>
      <c r="B1101" s="81" t="s">
        <v>43</v>
      </c>
      <c r="C1101" s="81" t="s">
        <v>2000</v>
      </c>
      <c r="D1101" s="81" t="s">
        <v>45</v>
      </c>
      <c r="E1101" s="81" t="s">
        <v>2412</v>
      </c>
      <c r="F1101" s="81" t="s">
        <v>2368</v>
      </c>
      <c r="G1101" s="81" t="s">
        <v>3601</v>
      </c>
      <c r="H1101" s="81" t="s">
        <v>6373</v>
      </c>
      <c r="I1101" s="81" t="s">
        <v>6374</v>
      </c>
      <c r="J1101" s="81" t="s">
        <v>2186</v>
      </c>
      <c r="K1101" s="81" t="s">
        <v>6374</v>
      </c>
      <c r="L1101" s="81" t="s">
        <v>2392</v>
      </c>
      <c r="M1101" s="81" t="s">
        <v>6374</v>
      </c>
      <c r="N1101" s="81" t="s">
        <v>2231</v>
      </c>
      <c r="O1101" s="81" t="s">
        <v>2187</v>
      </c>
      <c r="P1101" s="81" t="s">
        <v>2187</v>
      </c>
      <c r="Q1101" s="81" t="s">
        <v>43</v>
      </c>
      <c r="R1101" s="81" t="s">
        <v>46</v>
      </c>
      <c r="S1101" s="81" t="s">
        <v>47</v>
      </c>
      <c r="T1101" s="81" t="s">
        <v>48</v>
      </c>
      <c r="U1101" s="81" t="s">
        <v>48</v>
      </c>
      <c r="V1101" s="81" t="s">
        <v>48</v>
      </c>
      <c r="W1101" s="81" t="s">
        <v>49</v>
      </c>
      <c r="X1101" s="81" t="s">
        <v>48</v>
      </c>
      <c r="Y1101" s="81" t="s">
        <v>48</v>
      </c>
    </row>
    <row r="1102" spans="1:25" x14ac:dyDescent="0.3">
      <c r="A1102" s="16">
        <v>7501258215824</v>
      </c>
      <c r="B1102" s="81" t="s">
        <v>43</v>
      </c>
      <c r="C1102" s="81" t="s">
        <v>1029</v>
      </c>
      <c r="D1102" s="81" t="s">
        <v>45</v>
      </c>
      <c r="E1102" s="81" t="s">
        <v>2262</v>
      </c>
      <c r="F1102" s="81" t="s">
        <v>2521</v>
      </c>
      <c r="G1102" s="81" t="s">
        <v>4954</v>
      </c>
      <c r="H1102" s="81" t="s">
        <v>2407</v>
      </c>
      <c r="I1102" s="81" t="s">
        <v>6299</v>
      </c>
      <c r="J1102" s="81" t="s">
        <v>2186</v>
      </c>
      <c r="K1102" s="81" t="s">
        <v>6299</v>
      </c>
      <c r="L1102" s="81" t="s">
        <v>2392</v>
      </c>
      <c r="M1102" s="81" t="s">
        <v>6299</v>
      </c>
      <c r="N1102" s="81" t="s">
        <v>2231</v>
      </c>
      <c r="O1102" s="81" t="s">
        <v>2187</v>
      </c>
      <c r="P1102" s="81" t="s">
        <v>2187</v>
      </c>
      <c r="Q1102" s="81" t="s">
        <v>43</v>
      </c>
      <c r="R1102" s="81" t="s">
        <v>203</v>
      </c>
      <c r="S1102" s="81" t="s">
        <v>47</v>
      </c>
      <c r="T1102" s="81" t="s">
        <v>48</v>
      </c>
      <c r="U1102" s="81" t="s">
        <v>48</v>
      </c>
      <c r="V1102" s="81" t="s">
        <v>48</v>
      </c>
      <c r="W1102" s="81" t="s">
        <v>49</v>
      </c>
      <c r="X1102" s="81" t="s">
        <v>48</v>
      </c>
      <c r="Y1102" s="81" t="s">
        <v>48</v>
      </c>
    </row>
    <row r="1103" spans="1:25" x14ac:dyDescent="0.3">
      <c r="A1103" s="16">
        <v>7502227879597</v>
      </c>
      <c r="B1103" s="81" t="s">
        <v>43</v>
      </c>
      <c r="C1103" s="81" t="s">
        <v>1030</v>
      </c>
      <c r="D1103" s="81" t="s">
        <v>45</v>
      </c>
      <c r="E1103" s="81" t="s">
        <v>2442</v>
      </c>
      <c r="F1103" s="81" t="s">
        <v>2443</v>
      </c>
      <c r="G1103" s="81" t="s">
        <v>5089</v>
      </c>
      <c r="H1103" s="81" t="s">
        <v>2416</v>
      </c>
      <c r="I1103" s="81" t="s">
        <v>6375</v>
      </c>
      <c r="J1103" s="81" t="s">
        <v>2186</v>
      </c>
      <c r="K1103" s="81" t="s">
        <v>6375</v>
      </c>
      <c r="L1103" s="81" t="s">
        <v>2392</v>
      </c>
      <c r="M1103" s="81" t="s">
        <v>6375</v>
      </c>
      <c r="N1103" s="81" t="s">
        <v>2231</v>
      </c>
      <c r="O1103" s="81" t="s">
        <v>2187</v>
      </c>
      <c r="P1103" s="81" t="s">
        <v>2187</v>
      </c>
      <c r="Q1103" s="81" t="s">
        <v>43</v>
      </c>
      <c r="R1103" s="81" t="s">
        <v>51</v>
      </c>
      <c r="S1103" s="81" t="s">
        <v>81</v>
      </c>
      <c r="T1103" s="81" t="s">
        <v>49</v>
      </c>
      <c r="U1103" s="81" t="s">
        <v>48</v>
      </c>
      <c r="V1103" s="81" t="s">
        <v>48</v>
      </c>
      <c r="W1103" s="81" t="s">
        <v>49</v>
      </c>
      <c r="X1103" s="81" t="s">
        <v>48</v>
      </c>
      <c r="Y1103" s="81" t="s">
        <v>48</v>
      </c>
    </row>
    <row r="1104" spans="1:25" x14ac:dyDescent="0.3">
      <c r="A1104" s="16">
        <v>7501573901082</v>
      </c>
      <c r="B1104" s="81" t="s">
        <v>43</v>
      </c>
      <c r="C1104" s="81" t="s">
        <v>1031</v>
      </c>
      <c r="D1104" s="81" t="s">
        <v>45</v>
      </c>
      <c r="E1104" s="81" t="s">
        <v>2465</v>
      </c>
      <c r="F1104" s="81" t="s">
        <v>2210</v>
      </c>
      <c r="G1104" s="81" t="s">
        <v>3602</v>
      </c>
      <c r="H1104" s="81" t="s">
        <v>2237</v>
      </c>
      <c r="I1104" s="81" t="s">
        <v>5567</v>
      </c>
      <c r="J1104" s="81" t="s">
        <v>2186</v>
      </c>
      <c r="K1104" s="81" t="s">
        <v>5567</v>
      </c>
      <c r="L1104" s="81" t="s">
        <v>2392</v>
      </c>
      <c r="M1104" s="81" t="s">
        <v>5567</v>
      </c>
      <c r="N1104" s="81" t="s">
        <v>2231</v>
      </c>
      <c r="O1104" s="81" t="s">
        <v>2187</v>
      </c>
      <c r="P1104" s="81" t="s">
        <v>2187</v>
      </c>
      <c r="Q1104" s="81" t="s">
        <v>43</v>
      </c>
      <c r="R1104" s="81" t="s">
        <v>46</v>
      </c>
      <c r="S1104" s="81" t="s">
        <v>47</v>
      </c>
      <c r="T1104" s="81" t="s">
        <v>48</v>
      </c>
      <c r="U1104" s="81" t="s">
        <v>48</v>
      </c>
      <c r="V1104" s="81" t="s">
        <v>48</v>
      </c>
      <c r="W1104" s="81" t="s">
        <v>49</v>
      </c>
      <c r="X1104" s="81" t="s">
        <v>48</v>
      </c>
      <c r="Y1104" s="81" t="s">
        <v>48</v>
      </c>
    </row>
    <row r="1105" spans="1:25" x14ac:dyDescent="0.3">
      <c r="A1105" s="16">
        <v>7503001009117</v>
      </c>
      <c r="B1105" s="81" t="s">
        <v>43</v>
      </c>
      <c r="C1105" s="81" t="s">
        <v>1032</v>
      </c>
      <c r="D1105" s="81" t="s">
        <v>45</v>
      </c>
      <c r="E1105" s="81" t="s">
        <v>2303</v>
      </c>
      <c r="F1105" s="81" t="s">
        <v>2304</v>
      </c>
      <c r="G1105" s="81" t="s">
        <v>3603</v>
      </c>
      <c r="H1105" s="81" t="s">
        <v>2400</v>
      </c>
      <c r="I1105" s="81" t="s">
        <v>2511</v>
      </c>
      <c r="J1105" s="81" t="s">
        <v>2186</v>
      </c>
      <c r="K1105" s="81" t="s">
        <v>2511</v>
      </c>
      <c r="L1105" s="81" t="s">
        <v>2392</v>
      </c>
      <c r="M1105" s="81" t="s">
        <v>2511</v>
      </c>
      <c r="N1105" s="81" t="s">
        <v>2231</v>
      </c>
      <c r="O1105" s="81" t="s">
        <v>2187</v>
      </c>
      <c r="P1105" s="81" t="s">
        <v>2187</v>
      </c>
      <c r="Q1105" s="81" t="s">
        <v>43</v>
      </c>
      <c r="R1105" s="81" t="s">
        <v>51</v>
      </c>
      <c r="S1105" s="81" t="s">
        <v>47</v>
      </c>
      <c r="T1105" s="81" t="s">
        <v>49</v>
      </c>
      <c r="U1105" s="81" t="s">
        <v>48</v>
      </c>
      <c r="V1105" s="81" t="s">
        <v>48</v>
      </c>
      <c r="W1105" s="81" t="s">
        <v>49</v>
      </c>
      <c r="X1105" s="81" t="s">
        <v>48</v>
      </c>
      <c r="Y1105" s="81" t="s">
        <v>48</v>
      </c>
    </row>
    <row r="1106" spans="1:25" x14ac:dyDescent="0.3">
      <c r="A1106" s="16">
        <v>7502009746086</v>
      </c>
      <c r="B1106" s="81" t="s">
        <v>43</v>
      </c>
      <c r="C1106" s="81" t="s">
        <v>1033</v>
      </c>
      <c r="D1106" s="81" t="s">
        <v>45</v>
      </c>
      <c r="E1106" s="81" t="s">
        <v>2262</v>
      </c>
      <c r="F1106" s="81" t="s">
        <v>2521</v>
      </c>
      <c r="G1106" s="81" t="s">
        <v>3834</v>
      </c>
      <c r="H1106" s="81" t="s">
        <v>2217</v>
      </c>
      <c r="I1106" s="81" t="s">
        <v>6376</v>
      </c>
      <c r="J1106" s="81" t="s">
        <v>2186</v>
      </c>
      <c r="K1106" s="81" t="s">
        <v>6376</v>
      </c>
      <c r="L1106" s="81" t="s">
        <v>2392</v>
      </c>
      <c r="M1106" s="81" t="s">
        <v>6376</v>
      </c>
      <c r="N1106" s="81" t="s">
        <v>2231</v>
      </c>
      <c r="O1106" s="81" t="s">
        <v>2187</v>
      </c>
      <c r="P1106" s="81" t="s">
        <v>2187</v>
      </c>
      <c r="Q1106" s="81" t="s">
        <v>43</v>
      </c>
      <c r="R1106" s="81" t="s">
        <v>46</v>
      </c>
      <c r="S1106" s="81" t="s">
        <v>46</v>
      </c>
      <c r="T1106" s="81" t="s">
        <v>48</v>
      </c>
      <c r="U1106" s="81" t="s">
        <v>48</v>
      </c>
      <c r="V1106" s="81" t="s">
        <v>48</v>
      </c>
      <c r="W1106" s="81" t="s">
        <v>49</v>
      </c>
      <c r="X1106" s="81" t="s">
        <v>48</v>
      </c>
      <c r="Y1106" s="81" t="s">
        <v>48</v>
      </c>
    </row>
    <row r="1107" spans="1:25" x14ac:dyDescent="0.3">
      <c r="A1107" s="16">
        <v>7501358100044</v>
      </c>
      <c r="B1107" s="81" t="s">
        <v>43</v>
      </c>
      <c r="C1107" s="81" t="s">
        <v>1034</v>
      </c>
      <c r="D1107" s="81" t="s">
        <v>45</v>
      </c>
      <c r="E1107" s="81" t="s">
        <v>2358</v>
      </c>
      <c r="F1107" s="81" t="s">
        <v>2354</v>
      </c>
      <c r="G1107" s="81" t="s">
        <v>5035</v>
      </c>
      <c r="H1107" s="81" t="s">
        <v>2359</v>
      </c>
      <c r="I1107" s="81" t="s">
        <v>5580</v>
      </c>
      <c r="J1107" s="81" t="s">
        <v>2186</v>
      </c>
      <c r="K1107" s="81" t="s">
        <v>5580</v>
      </c>
      <c r="L1107" s="81" t="s">
        <v>2392</v>
      </c>
      <c r="M1107" s="81" t="s">
        <v>5580</v>
      </c>
      <c r="N1107" s="81" t="s">
        <v>2231</v>
      </c>
      <c r="O1107" s="81" t="s">
        <v>2187</v>
      </c>
      <c r="P1107" s="81" t="s">
        <v>2187</v>
      </c>
      <c r="Q1107" s="81" t="s">
        <v>43</v>
      </c>
      <c r="R1107" s="81" t="s">
        <v>203</v>
      </c>
      <c r="S1107" s="81" t="s">
        <v>203</v>
      </c>
      <c r="T1107" s="81" t="s">
        <v>48</v>
      </c>
      <c r="U1107" s="81" t="s">
        <v>48</v>
      </c>
      <c r="V1107" s="81" t="s">
        <v>48</v>
      </c>
      <c r="W1107" s="81" t="s">
        <v>49</v>
      </c>
      <c r="X1107" s="81" t="s">
        <v>48</v>
      </c>
      <c r="Y1107" s="81" t="s">
        <v>48</v>
      </c>
    </row>
    <row r="1108" spans="1:25" x14ac:dyDescent="0.3">
      <c r="A1108" s="16">
        <v>7503002615133</v>
      </c>
      <c r="B1108" s="81" t="s">
        <v>43</v>
      </c>
      <c r="C1108" s="81" t="s">
        <v>1035</v>
      </c>
      <c r="D1108" s="81" t="s">
        <v>45</v>
      </c>
      <c r="E1108" s="81" t="s">
        <v>2308</v>
      </c>
      <c r="F1108" s="81" t="s">
        <v>2180</v>
      </c>
      <c r="G1108" s="81" t="s">
        <v>4867</v>
      </c>
      <c r="H1108" s="81" t="s">
        <v>3604</v>
      </c>
      <c r="I1108" s="81" t="s">
        <v>6377</v>
      </c>
      <c r="J1108" s="81" t="s">
        <v>2186</v>
      </c>
      <c r="K1108" s="81" t="s">
        <v>6377</v>
      </c>
      <c r="L1108" s="81" t="s">
        <v>2392</v>
      </c>
      <c r="M1108" s="81" t="s">
        <v>6377</v>
      </c>
      <c r="N1108" s="81" t="s">
        <v>2231</v>
      </c>
      <c r="O1108" s="81" t="s">
        <v>2187</v>
      </c>
      <c r="P1108" s="81" t="s">
        <v>2187</v>
      </c>
      <c r="Q1108" s="81" t="s">
        <v>43</v>
      </c>
      <c r="R1108" s="81" t="s">
        <v>374</v>
      </c>
      <c r="S1108" s="81" t="s">
        <v>47</v>
      </c>
      <c r="T1108" s="81" t="s">
        <v>48</v>
      </c>
      <c r="U1108" s="81" t="s">
        <v>48</v>
      </c>
      <c r="V1108" s="81" t="s">
        <v>48</v>
      </c>
      <c r="W1108" s="81" t="s">
        <v>49</v>
      </c>
      <c r="X1108" s="81" t="s">
        <v>48</v>
      </c>
      <c r="Y1108" s="81" t="s">
        <v>48</v>
      </c>
    </row>
    <row r="1109" spans="1:25" x14ac:dyDescent="0.3">
      <c r="A1109" s="16">
        <v>7501075717174</v>
      </c>
      <c r="B1109" s="81" t="s">
        <v>43</v>
      </c>
      <c r="C1109" s="81" t="s">
        <v>1036</v>
      </c>
      <c r="D1109" s="81" t="s">
        <v>45</v>
      </c>
      <c r="E1109" s="81" t="s">
        <v>2354</v>
      </c>
      <c r="F1109" s="81" t="s">
        <v>2355</v>
      </c>
      <c r="G1109" s="81" t="s">
        <v>4394</v>
      </c>
      <c r="H1109" s="81" t="s">
        <v>2434</v>
      </c>
      <c r="I1109" s="81" t="s">
        <v>5529</v>
      </c>
      <c r="J1109" s="81" t="s">
        <v>2186</v>
      </c>
      <c r="K1109" s="81" t="s">
        <v>5529</v>
      </c>
      <c r="L1109" s="81" t="s">
        <v>2392</v>
      </c>
      <c r="M1109" s="81" t="s">
        <v>5529</v>
      </c>
      <c r="N1109" s="81" t="s">
        <v>2231</v>
      </c>
      <c r="O1109" s="81" t="s">
        <v>2187</v>
      </c>
      <c r="P1109" s="81" t="s">
        <v>2187</v>
      </c>
      <c r="Q1109" s="81" t="s">
        <v>43</v>
      </c>
      <c r="R1109" s="81" t="s">
        <v>46</v>
      </c>
      <c r="S1109" s="81" t="s">
        <v>46</v>
      </c>
      <c r="T1109" s="81" t="s">
        <v>48</v>
      </c>
      <c r="U1109" s="81" t="s">
        <v>48</v>
      </c>
      <c r="V1109" s="81" t="s">
        <v>48</v>
      </c>
      <c r="W1109" s="81" t="s">
        <v>49</v>
      </c>
      <c r="X1109" s="81" t="s">
        <v>48</v>
      </c>
      <c r="Y1109" s="81" t="s">
        <v>48</v>
      </c>
    </row>
    <row r="1110" spans="1:25" x14ac:dyDescent="0.3">
      <c r="A1110" s="16">
        <v>7501065628121</v>
      </c>
      <c r="B1110" s="81" t="s">
        <v>43</v>
      </c>
      <c r="C1110" s="81" t="s">
        <v>1037</v>
      </c>
      <c r="D1110" s="81" t="s">
        <v>45</v>
      </c>
      <c r="E1110" s="81" t="s">
        <v>2780</v>
      </c>
      <c r="F1110" s="81" t="s">
        <v>2678</v>
      </c>
      <c r="G1110" s="81" t="s">
        <v>5442</v>
      </c>
      <c r="H1110" s="81" t="s">
        <v>3226</v>
      </c>
      <c r="I1110" s="81" t="s">
        <v>3227</v>
      </c>
      <c r="J1110" s="81" t="s">
        <v>2186</v>
      </c>
      <c r="K1110" s="81" t="s">
        <v>3227</v>
      </c>
      <c r="L1110" s="81" t="s">
        <v>2392</v>
      </c>
      <c r="M1110" s="81" t="s">
        <v>3227</v>
      </c>
      <c r="N1110" s="81" t="s">
        <v>2231</v>
      </c>
      <c r="O1110" s="81" t="s">
        <v>2187</v>
      </c>
      <c r="P1110" s="81" t="s">
        <v>2187</v>
      </c>
      <c r="Q1110" s="81" t="s">
        <v>43</v>
      </c>
      <c r="R1110" s="81" t="s">
        <v>46</v>
      </c>
      <c r="S1110" s="81" t="s">
        <v>46</v>
      </c>
      <c r="T1110" s="81" t="s">
        <v>48</v>
      </c>
      <c r="U1110" s="81" t="s">
        <v>48</v>
      </c>
      <c r="V1110" s="81" t="s">
        <v>49</v>
      </c>
      <c r="W1110" s="81" t="s">
        <v>48</v>
      </c>
      <c r="X1110" s="81" t="s">
        <v>48</v>
      </c>
      <c r="Y1110" s="81" t="s">
        <v>48</v>
      </c>
    </row>
    <row r="1111" spans="1:25" x14ac:dyDescent="0.3">
      <c r="A1111" s="16">
        <v>7502216808614</v>
      </c>
      <c r="B1111" s="81" t="s">
        <v>43</v>
      </c>
      <c r="C1111" s="81" t="s">
        <v>1038</v>
      </c>
      <c r="D1111" s="81" t="s">
        <v>45</v>
      </c>
      <c r="E1111" s="81" t="s">
        <v>2557</v>
      </c>
      <c r="F1111" s="81" t="s">
        <v>2370</v>
      </c>
      <c r="G1111" s="81" t="s">
        <v>5002</v>
      </c>
      <c r="H1111" s="81" t="s">
        <v>2269</v>
      </c>
      <c r="I1111" s="81" t="s">
        <v>5823</v>
      </c>
      <c r="J1111" s="81" t="s">
        <v>2186</v>
      </c>
      <c r="K1111" s="81" t="s">
        <v>5823</v>
      </c>
      <c r="L1111" s="81" t="s">
        <v>2392</v>
      </c>
      <c r="M1111" s="81" t="s">
        <v>5823</v>
      </c>
      <c r="N1111" s="81" t="s">
        <v>2231</v>
      </c>
      <c r="O1111" s="81" t="s">
        <v>2187</v>
      </c>
      <c r="P1111" s="81" t="s">
        <v>2187</v>
      </c>
      <c r="Q1111" s="81" t="s">
        <v>43</v>
      </c>
      <c r="R1111" s="81" t="s">
        <v>46</v>
      </c>
      <c r="S1111" s="81" t="s">
        <v>47</v>
      </c>
      <c r="T1111" s="81" t="s">
        <v>48</v>
      </c>
      <c r="U1111" s="81" t="s">
        <v>48</v>
      </c>
      <c r="V1111" s="81" t="s">
        <v>48</v>
      </c>
      <c r="W1111" s="81" t="s">
        <v>49</v>
      </c>
      <c r="X1111" s="81" t="s">
        <v>48</v>
      </c>
      <c r="Y1111" s="81" t="s">
        <v>48</v>
      </c>
    </row>
    <row r="1112" spans="1:25" x14ac:dyDescent="0.3">
      <c r="A1112" s="16">
        <v>7502259891468</v>
      </c>
      <c r="B1112" s="81" t="s">
        <v>43</v>
      </c>
      <c r="C1112" s="81" t="s">
        <v>1039</v>
      </c>
      <c r="D1112" s="81" t="s">
        <v>45</v>
      </c>
      <c r="E1112" s="81" t="s">
        <v>2368</v>
      </c>
      <c r="F1112" s="81" t="s">
        <v>2368</v>
      </c>
      <c r="G1112" s="81" t="s">
        <v>3605</v>
      </c>
      <c r="H1112" s="81" t="s">
        <v>3159</v>
      </c>
      <c r="I1112" s="81" t="s">
        <v>6378</v>
      </c>
      <c r="J1112" s="81" t="s">
        <v>2186</v>
      </c>
      <c r="K1112" s="81" t="s">
        <v>6378</v>
      </c>
      <c r="L1112" s="81" t="s">
        <v>2392</v>
      </c>
      <c r="M1112" s="81" t="s">
        <v>6378</v>
      </c>
      <c r="N1112" s="81" t="s">
        <v>2231</v>
      </c>
      <c r="O1112" s="81" t="s">
        <v>2187</v>
      </c>
      <c r="P1112" s="81" t="s">
        <v>2187</v>
      </c>
      <c r="Q1112" s="81" t="s">
        <v>43</v>
      </c>
      <c r="R1112" s="81" t="s">
        <v>46</v>
      </c>
      <c r="S1112" s="81" t="s">
        <v>46</v>
      </c>
      <c r="T1112" s="81" t="s">
        <v>48</v>
      </c>
      <c r="U1112" s="81" t="s">
        <v>48</v>
      </c>
      <c r="V1112" s="81" t="s">
        <v>49</v>
      </c>
      <c r="W1112" s="81" t="s">
        <v>48</v>
      </c>
      <c r="X1112" s="81" t="s">
        <v>48</v>
      </c>
      <c r="Y1112" s="81" t="s">
        <v>48</v>
      </c>
    </row>
    <row r="1113" spans="1:25" x14ac:dyDescent="0.3">
      <c r="A1113" s="16">
        <v>7501300450005</v>
      </c>
      <c r="B1113" s="81" t="s">
        <v>43</v>
      </c>
      <c r="C1113" s="81" t="s">
        <v>4802</v>
      </c>
      <c r="D1113" s="81" t="s">
        <v>45</v>
      </c>
      <c r="E1113" s="81" t="s">
        <v>2368</v>
      </c>
      <c r="F1113" s="81" t="s">
        <v>2308</v>
      </c>
      <c r="G1113" s="81" t="s">
        <v>4803</v>
      </c>
      <c r="H1113" s="81" t="s">
        <v>2928</v>
      </c>
      <c r="I1113" s="81" t="s">
        <v>6379</v>
      </c>
      <c r="J1113" s="81" t="s">
        <v>2186</v>
      </c>
      <c r="K1113" s="81" t="s">
        <v>6379</v>
      </c>
      <c r="L1113" s="81" t="s">
        <v>2392</v>
      </c>
      <c r="M1113" s="81" t="s">
        <v>6379</v>
      </c>
      <c r="N1113" s="81" t="s">
        <v>2231</v>
      </c>
      <c r="O1113" s="81" t="s">
        <v>2187</v>
      </c>
      <c r="P1113" s="81" t="s">
        <v>2187</v>
      </c>
      <c r="Q1113" s="81" t="s">
        <v>43</v>
      </c>
      <c r="R1113" s="81" t="s">
        <v>51</v>
      </c>
      <c r="S1113" s="81" t="s">
        <v>81</v>
      </c>
      <c r="T1113" s="81" t="s">
        <v>49</v>
      </c>
      <c r="U1113" s="81" t="s">
        <v>48</v>
      </c>
      <c r="V1113" s="81" t="s">
        <v>48</v>
      </c>
      <c r="W1113" s="81" t="s">
        <v>49</v>
      </c>
      <c r="X1113" s="81" t="s">
        <v>48</v>
      </c>
      <c r="Y1113" s="81" t="s">
        <v>48</v>
      </c>
    </row>
    <row r="1114" spans="1:25" x14ac:dyDescent="0.3">
      <c r="A1114" s="16">
        <v>7501493867475</v>
      </c>
      <c r="B1114" s="81" t="s">
        <v>43</v>
      </c>
      <c r="C1114" s="81" t="s">
        <v>1040</v>
      </c>
      <c r="D1114" s="81" t="s">
        <v>45</v>
      </c>
      <c r="E1114" s="81" t="s">
        <v>2369</v>
      </c>
      <c r="F1114" s="81" t="s">
        <v>2357</v>
      </c>
      <c r="G1114" s="81" t="s">
        <v>3606</v>
      </c>
      <c r="H1114" s="81" t="s">
        <v>3160</v>
      </c>
      <c r="I1114" s="81" t="s">
        <v>6380</v>
      </c>
      <c r="J1114" s="81" t="s">
        <v>2186</v>
      </c>
      <c r="K1114" s="81" t="s">
        <v>6380</v>
      </c>
      <c r="L1114" s="81" t="s">
        <v>2392</v>
      </c>
      <c r="M1114" s="81" t="s">
        <v>6380</v>
      </c>
      <c r="N1114" s="81" t="s">
        <v>2231</v>
      </c>
      <c r="O1114" s="81" t="s">
        <v>2187</v>
      </c>
      <c r="P1114" s="81" t="s">
        <v>2187</v>
      </c>
      <c r="Q1114" s="81" t="s">
        <v>43</v>
      </c>
      <c r="R1114" s="81" t="s">
        <v>46</v>
      </c>
      <c r="S1114" s="81" t="s">
        <v>46</v>
      </c>
      <c r="T1114" s="81" t="s">
        <v>48</v>
      </c>
      <c r="U1114" s="81" t="s">
        <v>48</v>
      </c>
      <c r="V1114" s="81" t="s">
        <v>49</v>
      </c>
      <c r="W1114" s="81" t="s">
        <v>48</v>
      </c>
      <c r="X1114" s="81" t="s">
        <v>48</v>
      </c>
      <c r="Y1114" s="81" t="s">
        <v>48</v>
      </c>
    </row>
    <row r="1115" spans="1:25" x14ac:dyDescent="0.3">
      <c r="A1115" s="16">
        <v>7501065053121</v>
      </c>
      <c r="B1115" s="81" t="s">
        <v>43</v>
      </c>
      <c r="C1115" s="81" t="s">
        <v>3607</v>
      </c>
      <c r="D1115" s="81" t="s">
        <v>45</v>
      </c>
      <c r="E1115" s="81" t="s">
        <v>2704</v>
      </c>
      <c r="F1115" s="81" t="s">
        <v>2465</v>
      </c>
      <c r="G1115" s="81" t="s">
        <v>3608</v>
      </c>
      <c r="H1115" s="81" t="s">
        <v>2459</v>
      </c>
      <c r="I1115" s="81" t="s">
        <v>3609</v>
      </c>
      <c r="J1115" s="81" t="s">
        <v>2186</v>
      </c>
      <c r="K1115" s="81" t="s">
        <v>2386</v>
      </c>
      <c r="L1115" s="81" t="s">
        <v>2392</v>
      </c>
      <c r="M1115" s="81" t="s">
        <v>3610</v>
      </c>
      <c r="N1115" s="81" t="s">
        <v>2231</v>
      </c>
      <c r="O1115" s="81" t="s">
        <v>2187</v>
      </c>
      <c r="P1115" s="81" t="s">
        <v>2187</v>
      </c>
      <c r="Q1115" s="81" t="s">
        <v>43</v>
      </c>
      <c r="R1115" s="81" t="s">
        <v>203</v>
      </c>
      <c r="S1115" s="81" t="s">
        <v>203</v>
      </c>
      <c r="T1115" s="81" t="s">
        <v>48</v>
      </c>
      <c r="U1115" s="81" t="s">
        <v>48</v>
      </c>
      <c r="V1115" s="81" t="s">
        <v>48</v>
      </c>
      <c r="W1115" s="81" t="s">
        <v>49</v>
      </c>
      <c r="X1115" s="81" t="s">
        <v>48</v>
      </c>
      <c r="Y1115" s="81" t="s">
        <v>48</v>
      </c>
    </row>
    <row r="1116" spans="1:25" x14ac:dyDescent="0.3">
      <c r="A1116" s="16">
        <v>7501836003621</v>
      </c>
      <c r="B1116" s="81" t="s">
        <v>43</v>
      </c>
      <c r="C1116" s="81" t="s">
        <v>3611</v>
      </c>
      <c r="D1116" s="81" t="s">
        <v>45</v>
      </c>
      <c r="E1116" s="81" t="s">
        <v>2338</v>
      </c>
      <c r="F1116" s="81" t="s">
        <v>2526</v>
      </c>
      <c r="G1116" s="81" t="s">
        <v>5412</v>
      </c>
      <c r="H1116" s="81" t="s">
        <v>2207</v>
      </c>
      <c r="I1116" s="81" t="s">
        <v>6381</v>
      </c>
      <c r="J1116" s="81" t="s">
        <v>2186</v>
      </c>
      <c r="K1116" s="81" t="s">
        <v>6381</v>
      </c>
      <c r="L1116" s="81" t="s">
        <v>2392</v>
      </c>
      <c r="M1116" s="81" t="s">
        <v>6381</v>
      </c>
      <c r="N1116" s="81" t="s">
        <v>2231</v>
      </c>
      <c r="O1116" s="81" t="s">
        <v>2187</v>
      </c>
      <c r="P1116" s="81" t="s">
        <v>2187</v>
      </c>
      <c r="Q1116" s="81" t="s">
        <v>43</v>
      </c>
      <c r="R1116" s="81" t="s">
        <v>46</v>
      </c>
      <c r="S1116" s="81" t="s">
        <v>46</v>
      </c>
      <c r="T1116" s="81" t="s">
        <v>48</v>
      </c>
      <c r="U1116" s="81" t="s">
        <v>48</v>
      </c>
      <c r="V1116" s="81" t="s">
        <v>48</v>
      </c>
      <c r="W1116" s="81" t="s">
        <v>49</v>
      </c>
      <c r="X1116" s="81" t="s">
        <v>48</v>
      </c>
      <c r="Y1116" s="81" t="s">
        <v>48</v>
      </c>
    </row>
    <row r="1117" spans="1:25" x14ac:dyDescent="0.3">
      <c r="A1117" s="16">
        <v>7502004403502</v>
      </c>
      <c r="B1117" s="81" t="s">
        <v>43</v>
      </c>
      <c r="C1117" s="81" t="s">
        <v>1041</v>
      </c>
      <c r="D1117" s="81" t="s">
        <v>45</v>
      </c>
      <c r="E1117" s="81" t="s">
        <v>2443</v>
      </c>
      <c r="F1117" s="81" t="s">
        <v>2483</v>
      </c>
      <c r="G1117" s="81" t="s">
        <v>4966</v>
      </c>
      <c r="H1117" s="81" t="s">
        <v>2503</v>
      </c>
      <c r="I1117" s="81" t="s">
        <v>5824</v>
      </c>
      <c r="J1117" s="81" t="s">
        <v>2186</v>
      </c>
      <c r="K1117" s="81" t="s">
        <v>5824</v>
      </c>
      <c r="L1117" s="81" t="s">
        <v>2392</v>
      </c>
      <c r="M1117" s="81" t="s">
        <v>5824</v>
      </c>
      <c r="N1117" s="81" t="s">
        <v>2231</v>
      </c>
      <c r="O1117" s="81" t="s">
        <v>2187</v>
      </c>
      <c r="P1117" s="81" t="s">
        <v>2187</v>
      </c>
      <c r="Q1117" s="81" t="s">
        <v>43</v>
      </c>
      <c r="R1117" s="81" t="s">
        <v>46</v>
      </c>
      <c r="S1117" s="81" t="s">
        <v>46</v>
      </c>
      <c r="T1117" s="81" t="s">
        <v>48</v>
      </c>
      <c r="U1117" s="81" t="s">
        <v>48</v>
      </c>
      <c r="V1117" s="81" t="s">
        <v>48</v>
      </c>
      <c r="W1117" s="81" t="s">
        <v>49</v>
      </c>
      <c r="X1117" s="81" t="s">
        <v>48</v>
      </c>
      <c r="Y1117" s="81" t="s">
        <v>48</v>
      </c>
    </row>
    <row r="1118" spans="1:25" x14ac:dyDescent="0.3">
      <c r="A1118" s="16">
        <v>7502211784241</v>
      </c>
      <c r="B1118" s="81" t="s">
        <v>43</v>
      </c>
      <c r="C1118" s="81" t="s">
        <v>1042</v>
      </c>
      <c r="D1118" s="81" t="s">
        <v>45</v>
      </c>
      <c r="E1118" s="81" t="s">
        <v>2357</v>
      </c>
      <c r="F1118" s="81" t="s">
        <v>2358</v>
      </c>
      <c r="G1118" s="81" t="s">
        <v>3612</v>
      </c>
      <c r="H1118" s="81" t="s">
        <v>6382</v>
      </c>
      <c r="I1118" s="81" t="s">
        <v>6383</v>
      </c>
      <c r="J1118" s="81" t="s">
        <v>2186</v>
      </c>
      <c r="K1118" s="81" t="s">
        <v>6383</v>
      </c>
      <c r="L1118" s="81" t="s">
        <v>2392</v>
      </c>
      <c r="M1118" s="81" t="s">
        <v>6383</v>
      </c>
      <c r="N1118" s="81" t="s">
        <v>2231</v>
      </c>
      <c r="O1118" s="81" t="s">
        <v>2187</v>
      </c>
      <c r="P1118" s="81" t="s">
        <v>2187</v>
      </c>
      <c r="Q1118" s="81" t="s">
        <v>43</v>
      </c>
      <c r="R1118" s="81" t="s">
        <v>46</v>
      </c>
      <c r="S1118" s="81" t="s">
        <v>46</v>
      </c>
      <c r="T1118" s="81" t="s">
        <v>48</v>
      </c>
      <c r="U1118" s="81" t="s">
        <v>48</v>
      </c>
      <c r="V1118" s="81" t="s">
        <v>48</v>
      </c>
      <c r="W1118" s="81" t="s">
        <v>49</v>
      </c>
      <c r="X1118" s="81" t="s">
        <v>48</v>
      </c>
      <c r="Y1118" s="81" t="s">
        <v>48</v>
      </c>
    </row>
    <row r="1119" spans="1:25" x14ac:dyDescent="0.3">
      <c r="A1119" s="16">
        <v>7502211788935</v>
      </c>
      <c r="B1119" s="81" t="s">
        <v>43</v>
      </c>
      <c r="C1119" s="81" t="s">
        <v>3613</v>
      </c>
      <c r="D1119" s="81" t="s">
        <v>45</v>
      </c>
      <c r="E1119" s="81" t="s">
        <v>2298</v>
      </c>
      <c r="F1119" s="81" t="s">
        <v>2545</v>
      </c>
      <c r="G1119" s="81" t="s">
        <v>4316</v>
      </c>
      <c r="H1119" s="81" t="s">
        <v>6384</v>
      </c>
      <c r="I1119" s="81" t="s">
        <v>6385</v>
      </c>
      <c r="J1119" s="81" t="s">
        <v>2186</v>
      </c>
      <c r="K1119" s="81" t="s">
        <v>6385</v>
      </c>
      <c r="L1119" s="81" t="s">
        <v>2392</v>
      </c>
      <c r="M1119" s="81" t="s">
        <v>6385</v>
      </c>
      <c r="N1119" s="81" t="s">
        <v>2231</v>
      </c>
      <c r="O1119" s="81" t="s">
        <v>2187</v>
      </c>
      <c r="P1119" s="81" t="s">
        <v>2187</v>
      </c>
      <c r="Q1119" s="81" t="s">
        <v>43</v>
      </c>
      <c r="R1119" s="81" t="s">
        <v>46</v>
      </c>
      <c r="S1119" s="81" t="s">
        <v>46</v>
      </c>
      <c r="T1119" s="81" t="s">
        <v>48</v>
      </c>
      <c r="U1119" s="81" t="s">
        <v>48</v>
      </c>
      <c r="V1119" s="81" t="s">
        <v>48</v>
      </c>
      <c r="W1119" s="81" t="s">
        <v>49</v>
      </c>
      <c r="X1119" s="81" t="s">
        <v>48</v>
      </c>
      <c r="Y1119" s="81" t="s">
        <v>48</v>
      </c>
    </row>
    <row r="1120" spans="1:25" x14ac:dyDescent="0.3">
      <c r="A1120" s="16">
        <v>7502001166776</v>
      </c>
      <c r="B1120" s="81" t="s">
        <v>43</v>
      </c>
      <c r="C1120" s="81" t="s">
        <v>1043</v>
      </c>
      <c r="D1120" s="81" t="s">
        <v>45</v>
      </c>
      <c r="E1120" s="81" t="s">
        <v>2526</v>
      </c>
      <c r="F1120" s="81" t="s">
        <v>2641</v>
      </c>
      <c r="G1120" s="81" t="s">
        <v>3614</v>
      </c>
      <c r="H1120" s="81" t="s">
        <v>2259</v>
      </c>
      <c r="I1120" s="81" t="s">
        <v>5580</v>
      </c>
      <c r="J1120" s="81" t="s">
        <v>2186</v>
      </c>
      <c r="K1120" s="81" t="s">
        <v>5580</v>
      </c>
      <c r="L1120" s="81" t="s">
        <v>2392</v>
      </c>
      <c r="M1120" s="81" t="s">
        <v>5580</v>
      </c>
      <c r="N1120" s="81" t="s">
        <v>2231</v>
      </c>
      <c r="O1120" s="81" t="s">
        <v>2187</v>
      </c>
      <c r="P1120" s="81" t="s">
        <v>2187</v>
      </c>
      <c r="Q1120" s="81" t="s">
        <v>43</v>
      </c>
      <c r="R1120" s="81" t="s">
        <v>46</v>
      </c>
      <c r="S1120" s="81" t="s">
        <v>73</v>
      </c>
      <c r="T1120" s="81" t="s">
        <v>48</v>
      </c>
      <c r="U1120" s="81" t="s">
        <v>48</v>
      </c>
      <c r="V1120" s="81" t="s">
        <v>48</v>
      </c>
      <c r="W1120" s="81" t="s">
        <v>49</v>
      </c>
      <c r="X1120" s="81" t="s">
        <v>48</v>
      </c>
      <c r="Y1120" s="81" t="s">
        <v>48</v>
      </c>
    </row>
    <row r="1121" spans="1:25" x14ac:dyDescent="0.3">
      <c r="A1121" s="16">
        <v>7501349023987</v>
      </c>
      <c r="B1121" s="81" t="s">
        <v>43</v>
      </c>
      <c r="C1121" s="81" t="s">
        <v>1044</v>
      </c>
      <c r="D1121" s="81" t="s">
        <v>45</v>
      </c>
      <c r="E1121" s="81" t="s">
        <v>2363</v>
      </c>
      <c r="F1121" s="81" t="s">
        <v>2364</v>
      </c>
      <c r="G1121" s="81" t="s">
        <v>4522</v>
      </c>
      <c r="H1121" s="81" t="s">
        <v>2905</v>
      </c>
      <c r="I1121" s="81" t="s">
        <v>6386</v>
      </c>
      <c r="J1121" s="81" t="s">
        <v>2186</v>
      </c>
      <c r="K1121" s="81" t="s">
        <v>6386</v>
      </c>
      <c r="L1121" s="81" t="s">
        <v>2392</v>
      </c>
      <c r="M1121" s="81" t="s">
        <v>6386</v>
      </c>
      <c r="N1121" s="81" t="s">
        <v>2231</v>
      </c>
      <c r="O1121" s="81" t="s">
        <v>2187</v>
      </c>
      <c r="P1121" s="81" t="s">
        <v>2187</v>
      </c>
      <c r="Q1121" s="81" t="s">
        <v>43</v>
      </c>
      <c r="R1121" s="81" t="s">
        <v>46</v>
      </c>
      <c r="S1121" s="81" t="s">
        <v>46</v>
      </c>
      <c r="T1121" s="81" t="s">
        <v>48</v>
      </c>
      <c r="U1121" s="81" t="s">
        <v>48</v>
      </c>
      <c r="V1121" s="81" t="s">
        <v>48</v>
      </c>
      <c r="W1121" s="81" t="s">
        <v>49</v>
      </c>
      <c r="X1121" s="81" t="s">
        <v>48</v>
      </c>
      <c r="Y1121" s="81" t="s">
        <v>48</v>
      </c>
    </row>
    <row r="1122" spans="1:25" x14ac:dyDescent="0.3">
      <c r="A1122" s="16">
        <v>7501349024304</v>
      </c>
      <c r="B1122" s="81" t="s">
        <v>43</v>
      </c>
      <c r="C1122" s="81" t="s">
        <v>3615</v>
      </c>
      <c r="D1122" s="81" t="s">
        <v>45</v>
      </c>
      <c r="E1122" s="81" t="s">
        <v>2180</v>
      </c>
      <c r="F1122" s="81" t="s">
        <v>2363</v>
      </c>
      <c r="G1122" s="81" t="s">
        <v>3616</v>
      </c>
      <c r="H1122" s="81" t="s">
        <v>2680</v>
      </c>
      <c r="I1122" s="81" t="s">
        <v>4936</v>
      </c>
      <c r="J1122" s="81" t="s">
        <v>2186</v>
      </c>
      <c r="K1122" s="81" t="s">
        <v>4936</v>
      </c>
      <c r="L1122" s="81" t="s">
        <v>2392</v>
      </c>
      <c r="M1122" s="81" t="s">
        <v>4936</v>
      </c>
      <c r="N1122" s="81" t="s">
        <v>2231</v>
      </c>
      <c r="O1122" s="81" t="s">
        <v>2187</v>
      </c>
      <c r="P1122" s="81" t="s">
        <v>2187</v>
      </c>
      <c r="Q1122" s="81" t="s">
        <v>43</v>
      </c>
      <c r="R1122" s="81" t="s">
        <v>46</v>
      </c>
      <c r="S1122" s="81" t="s">
        <v>46</v>
      </c>
      <c r="T1122" s="81" t="s">
        <v>48</v>
      </c>
      <c r="U1122" s="81" t="s">
        <v>48</v>
      </c>
      <c r="V1122" s="81" t="s">
        <v>48</v>
      </c>
      <c r="W1122" s="81" t="s">
        <v>49</v>
      </c>
      <c r="X1122" s="81" t="s">
        <v>48</v>
      </c>
      <c r="Y1122" s="81" t="s">
        <v>48</v>
      </c>
    </row>
    <row r="1123" spans="1:25" x14ac:dyDescent="0.3">
      <c r="A1123" s="16">
        <v>7502209810099</v>
      </c>
      <c r="B1123" s="81" t="s">
        <v>43</v>
      </c>
      <c r="C1123" s="81" t="s">
        <v>1045</v>
      </c>
      <c r="D1123" s="81" t="s">
        <v>45</v>
      </c>
      <c r="E1123" s="81" t="s">
        <v>2412</v>
      </c>
      <c r="F1123" s="81" t="s">
        <v>2368</v>
      </c>
      <c r="G1123" s="81" t="s">
        <v>3617</v>
      </c>
      <c r="H1123" s="81" t="s">
        <v>2535</v>
      </c>
      <c r="I1123" s="81" t="s">
        <v>5234</v>
      </c>
      <c r="J1123" s="81" t="s">
        <v>2186</v>
      </c>
      <c r="K1123" s="81" t="s">
        <v>5234</v>
      </c>
      <c r="L1123" s="81" t="s">
        <v>2392</v>
      </c>
      <c r="M1123" s="81" t="s">
        <v>5234</v>
      </c>
      <c r="N1123" s="81" t="s">
        <v>2231</v>
      </c>
      <c r="O1123" s="81" t="s">
        <v>2187</v>
      </c>
      <c r="P1123" s="81" t="s">
        <v>2187</v>
      </c>
      <c r="Q1123" s="81" t="s">
        <v>43</v>
      </c>
      <c r="R1123" s="81" t="s">
        <v>46</v>
      </c>
      <c r="S1123" s="81" t="s">
        <v>46</v>
      </c>
      <c r="T1123" s="81" t="s">
        <v>48</v>
      </c>
      <c r="U1123" s="81" t="s">
        <v>48</v>
      </c>
      <c r="V1123" s="81" t="s">
        <v>48</v>
      </c>
      <c r="W1123" s="81" t="s">
        <v>49</v>
      </c>
      <c r="X1123" s="81" t="s">
        <v>48</v>
      </c>
      <c r="Y1123" s="81" t="s">
        <v>48</v>
      </c>
    </row>
    <row r="1124" spans="1:25" x14ac:dyDescent="0.3">
      <c r="A1124" s="16">
        <v>7502216792845</v>
      </c>
      <c r="B1124" s="81" t="s">
        <v>43</v>
      </c>
      <c r="C1124" s="81" t="s">
        <v>1046</v>
      </c>
      <c r="D1124" s="81" t="s">
        <v>45</v>
      </c>
      <c r="E1124" s="81" t="s">
        <v>2557</v>
      </c>
      <c r="F1124" s="81" t="s">
        <v>2613</v>
      </c>
      <c r="G1124" s="81" t="s">
        <v>5509</v>
      </c>
      <c r="H1124" s="81" t="s">
        <v>6387</v>
      </c>
      <c r="I1124" s="81" t="s">
        <v>6388</v>
      </c>
      <c r="J1124" s="81" t="s">
        <v>2186</v>
      </c>
      <c r="K1124" s="81" t="s">
        <v>6388</v>
      </c>
      <c r="L1124" s="81" t="s">
        <v>2392</v>
      </c>
      <c r="M1124" s="81" t="s">
        <v>6388</v>
      </c>
      <c r="N1124" s="81" t="s">
        <v>2231</v>
      </c>
      <c r="O1124" s="81" t="s">
        <v>2187</v>
      </c>
      <c r="P1124" s="81" t="s">
        <v>2187</v>
      </c>
      <c r="Q1124" s="81" t="s">
        <v>43</v>
      </c>
      <c r="R1124" s="81" t="s">
        <v>46</v>
      </c>
      <c r="S1124" s="81" t="s">
        <v>47</v>
      </c>
      <c r="T1124" s="81" t="s">
        <v>48</v>
      </c>
      <c r="U1124" s="81" t="s">
        <v>48</v>
      </c>
      <c r="V1124" s="81" t="s">
        <v>48</v>
      </c>
      <c r="W1124" s="81" t="s">
        <v>49</v>
      </c>
      <c r="X1124" s="81" t="s">
        <v>48</v>
      </c>
      <c r="Y1124" s="81" t="s">
        <v>48</v>
      </c>
    </row>
    <row r="1125" spans="1:25" x14ac:dyDescent="0.3">
      <c r="A1125" s="16">
        <v>7502009746727</v>
      </c>
      <c r="B1125" s="81" t="s">
        <v>43</v>
      </c>
      <c r="C1125" s="81" t="s">
        <v>2001</v>
      </c>
      <c r="D1125" s="81" t="s">
        <v>45</v>
      </c>
      <c r="E1125" s="81" t="s">
        <v>2227</v>
      </c>
      <c r="F1125" s="81" t="s">
        <v>2308</v>
      </c>
      <c r="G1125" s="81" t="s">
        <v>3618</v>
      </c>
      <c r="H1125" s="81" t="s">
        <v>2408</v>
      </c>
      <c r="I1125" s="81" t="s">
        <v>6389</v>
      </c>
      <c r="J1125" s="81" t="s">
        <v>2186</v>
      </c>
      <c r="K1125" s="81" t="s">
        <v>6389</v>
      </c>
      <c r="L1125" s="81" t="s">
        <v>2392</v>
      </c>
      <c r="M1125" s="81" t="s">
        <v>6389</v>
      </c>
      <c r="N1125" s="81" t="s">
        <v>2231</v>
      </c>
      <c r="O1125" s="81" t="s">
        <v>2187</v>
      </c>
      <c r="P1125" s="81" t="s">
        <v>2187</v>
      </c>
      <c r="Q1125" s="81" t="s">
        <v>43</v>
      </c>
      <c r="R1125" s="81" t="s">
        <v>46</v>
      </c>
      <c r="S1125" s="81" t="s">
        <v>46</v>
      </c>
      <c r="T1125" s="81" t="s">
        <v>48</v>
      </c>
      <c r="U1125" s="81" t="s">
        <v>48</v>
      </c>
      <c r="V1125" s="81" t="s">
        <v>48</v>
      </c>
      <c r="W1125" s="81" t="s">
        <v>49</v>
      </c>
      <c r="X1125" s="81" t="s">
        <v>48</v>
      </c>
      <c r="Y1125" s="81" t="s">
        <v>48</v>
      </c>
    </row>
    <row r="1126" spans="1:25" x14ac:dyDescent="0.3">
      <c r="A1126" s="16">
        <v>7501384544638</v>
      </c>
      <c r="B1126" s="81" t="s">
        <v>43</v>
      </c>
      <c r="C1126" s="81" t="s">
        <v>1047</v>
      </c>
      <c r="D1126" s="81" t="s">
        <v>45</v>
      </c>
      <c r="E1126" s="81" t="s">
        <v>2308</v>
      </c>
      <c r="F1126" s="81" t="s">
        <v>2180</v>
      </c>
      <c r="G1126" s="81" t="s">
        <v>3619</v>
      </c>
      <c r="H1126" s="81" t="s">
        <v>2218</v>
      </c>
      <c r="I1126" s="81" t="s">
        <v>5600</v>
      </c>
      <c r="J1126" s="81" t="s">
        <v>2186</v>
      </c>
      <c r="K1126" s="81" t="s">
        <v>5600</v>
      </c>
      <c r="L1126" s="81" t="s">
        <v>2392</v>
      </c>
      <c r="M1126" s="81" t="s">
        <v>5600</v>
      </c>
      <c r="N1126" s="81" t="s">
        <v>2231</v>
      </c>
      <c r="O1126" s="81" t="s">
        <v>2187</v>
      </c>
      <c r="P1126" s="81" t="s">
        <v>2187</v>
      </c>
      <c r="Q1126" s="81" t="s">
        <v>43</v>
      </c>
      <c r="R1126" s="81" t="s">
        <v>46</v>
      </c>
      <c r="S1126" s="81" t="s">
        <v>73</v>
      </c>
      <c r="T1126" s="81" t="s">
        <v>48</v>
      </c>
      <c r="U1126" s="81" t="s">
        <v>48</v>
      </c>
      <c r="V1126" s="81" t="s">
        <v>48</v>
      </c>
      <c r="W1126" s="81" t="s">
        <v>49</v>
      </c>
      <c r="X1126" s="81" t="s">
        <v>48</v>
      </c>
      <c r="Y1126" s="81" t="s">
        <v>48</v>
      </c>
    </row>
    <row r="1127" spans="1:25" x14ac:dyDescent="0.3">
      <c r="A1127" s="16">
        <v>7503014921802</v>
      </c>
      <c r="B1127" s="81" t="s">
        <v>43</v>
      </c>
      <c r="C1127" s="81" t="s">
        <v>1048</v>
      </c>
      <c r="D1127" s="81" t="s">
        <v>45</v>
      </c>
      <c r="E1127" s="81" t="s">
        <v>2412</v>
      </c>
      <c r="F1127" s="81" t="s">
        <v>2368</v>
      </c>
      <c r="G1127" s="81" t="s">
        <v>3620</v>
      </c>
      <c r="H1127" s="81" t="s">
        <v>6390</v>
      </c>
      <c r="I1127" s="81" t="s">
        <v>6391</v>
      </c>
      <c r="J1127" s="81" t="s">
        <v>2186</v>
      </c>
      <c r="K1127" s="81" t="s">
        <v>6391</v>
      </c>
      <c r="L1127" s="81" t="s">
        <v>2392</v>
      </c>
      <c r="M1127" s="81" t="s">
        <v>6391</v>
      </c>
      <c r="N1127" s="81" t="s">
        <v>2231</v>
      </c>
      <c r="O1127" s="81" t="s">
        <v>2187</v>
      </c>
      <c r="P1127" s="81" t="s">
        <v>2187</v>
      </c>
      <c r="Q1127" s="81" t="s">
        <v>43</v>
      </c>
      <c r="R1127" s="81" t="s">
        <v>122</v>
      </c>
      <c r="S1127" s="81" t="s">
        <v>123</v>
      </c>
      <c r="T1127" s="81" t="s">
        <v>48</v>
      </c>
      <c r="U1127" s="81" t="s">
        <v>48</v>
      </c>
      <c r="V1127" s="81" t="s">
        <v>49</v>
      </c>
      <c r="W1127" s="81" t="s">
        <v>48</v>
      </c>
      <c r="X1127" s="81" t="s">
        <v>48</v>
      </c>
      <c r="Y1127" s="81" t="s">
        <v>48</v>
      </c>
    </row>
    <row r="1128" spans="1:25" x14ac:dyDescent="0.3">
      <c r="A1128" s="16">
        <v>7503014921789</v>
      </c>
      <c r="B1128" s="81" t="s">
        <v>43</v>
      </c>
      <c r="C1128" s="81" t="s">
        <v>1049</v>
      </c>
      <c r="D1128" s="81" t="s">
        <v>45</v>
      </c>
      <c r="E1128" s="81" t="s">
        <v>2368</v>
      </c>
      <c r="F1128" s="81" t="s">
        <v>2369</v>
      </c>
      <c r="G1128" s="81" t="s">
        <v>3621</v>
      </c>
      <c r="H1128" s="81" t="s">
        <v>3347</v>
      </c>
      <c r="I1128" s="81" t="s">
        <v>6392</v>
      </c>
      <c r="J1128" s="81" t="s">
        <v>2186</v>
      </c>
      <c r="K1128" s="81" t="s">
        <v>6392</v>
      </c>
      <c r="L1128" s="81" t="s">
        <v>2392</v>
      </c>
      <c r="M1128" s="81" t="s">
        <v>6392</v>
      </c>
      <c r="N1128" s="81" t="s">
        <v>2231</v>
      </c>
      <c r="O1128" s="81" t="s">
        <v>2187</v>
      </c>
      <c r="P1128" s="81" t="s">
        <v>2187</v>
      </c>
      <c r="Q1128" s="81" t="s">
        <v>43</v>
      </c>
      <c r="R1128" s="81" t="s">
        <v>122</v>
      </c>
      <c r="S1128" s="81" t="s">
        <v>122</v>
      </c>
      <c r="T1128" s="81" t="s">
        <v>48</v>
      </c>
      <c r="U1128" s="81" t="s">
        <v>48</v>
      </c>
      <c r="V1128" s="81" t="s">
        <v>49</v>
      </c>
      <c r="W1128" s="81" t="s">
        <v>48</v>
      </c>
      <c r="X1128" s="81" t="s">
        <v>48</v>
      </c>
      <c r="Y1128" s="81" t="s">
        <v>48</v>
      </c>
    </row>
    <row r="1129" spans="1:25" x14ac:dyDescent="0.3">
      <c r="A1129" s="16">
        <v>7503014921574</v>
      </c>
      <c r="B1129" s="81" t="s">
        <v>43</v>
      </c>
      <c r="C1129" s="81" t="s">
        <v>1050</v>
      </c>
      <c r="D1129" s="81" t="s">
        <v>45</v>
      </c>
      <c r="E1129" s="81" t="s">
        <v>2312</v>
      </c>
      <c r="F1129" s="81" t="s">
        <v>2313</v>
      </c>
      <c r="G1129" s="81" t="s">
        <v>3622</v>
      </c>
      <c r="H1129" s="81" t="s">
        <v>3623</v>
      </c>
      <c r="I1129" s="81" t="s">
        <v>6393</v>
      </c>
      <c r="J1129" s="81" t="s">
        <v>2186</v>
      </c>
      <c r="K1129" s="81" t="s">
        <v>6393</v>
      </c>
      <c r="L1129" s="81" t="s">
        <v>2392</v>
      </c>
      <c r="M1129" s="81" t="s">
        <v>6393</v>
      </c>
      <c r="N1129" s="81" t="s">
        <v>2231</v>
      </c>
      <c r="O1129" s="81" t="s">
        <v>2187</v>
      </c>
      <c r="P1129" s="81" t="s">
        <v>2187</v>
      </c>
      <c r="Q1129" s="81" t="s">
        <v>43</v>
      </c>
      <c r="R1129" s="81" t="s">
        <v>524</v>
      </c>
      <c r="S1129" s="81" t="s">
        <v>525</v>
      </c>
      <c r="T1129" s="81" t="s">
        <v>48</v>
      </c>
      <c r="U1129" s="81" t="s">
        <v>48</v>
      </c>
      <c r="V1129" s="81" t="s">
        <v>49</v>
      </c>
      <c r="W1129" s="81" t="s">
        <v>48</v>
      </c>
      <c r="X1129" s="81" t="s">
        <v>48</v>
      </c>
      <c r="Y1129" s="81" t="s">
        <v>48</v>
      </c>
    </row>
    <row r="1130" spans="1:25" x14ac:dyDescent="0.3">
      <c r="A1130" s="16">
        <v>354312625018</v>
      </c>
      <c r="B1130" s="81" t="s">
        <v>43</v>
      </c>
      <c r="C1130" s="81" t="s">
        <v>2002</v>
      </c>
      <c r="D1130" s="81" t="s">
        <v>45</v>
      </c>
      <c r="E1130" s="81" t="s">
        <v>2801</v>
      </c>
      <c r="F1130" s="81" t="s">
        <v>2372</v>
      </c>
      <c r="G1130" s="81" t="s">
        <v>5413</v>
      </c>
      <c r="H1130" s="81" t="s">
        <v>2699</v>
      </c>
      <c r="I1130" s="81" t="s">
        <v>2229</v>
      </c>
      <c r="J1130" s="81" t="s">
        <v>2186</v>
      </c>
      <c r="K1130" s="81" t="s">
        <v>2434</v>
      </c>
      <c r="L1130" s="81" t="s">
        <v>2392</v>
      </c>
      <c r="M1130" s="81" t="s">
        <v>4908</v>
      </c>
      <c r="N1130" s="81" t="s">
        <v>2231</v>
      </c>
      <c r="O1130" s="81" t="s">
        <v>2187</v>
      </c>
      <c r="P1130" s="81" t="s">
        <v>2187</v>
      </c>
      <c r="Q1130" s="81" t="s">
        <v>43</v>
      </c>
      <c r="R1130" s="81" t="s">
        <v>203</v>
      </c>
      <c r="S1130" s="81" t="s">
        <v>203</v>
      </c>
      <c r="T1130" s="81" t="s">
        <v>48</v>
      </c>
      <c r="U1130" s="81" t="s">
        <v>48</v>
      </c>
      <c r="V1130" s="81" t="s">
        <v>48</v>
      </c>
      <c r="W1130" s="81" t="s">
        <v>49</v>
      </c>
      <c r="X1130" s="81" t="s">
        <v>48</v>
      </c>
      <c r="Y1130" s="81" t="s">
        <v>48</v>
      </c>
    </row>
    <row r="1131" spans="1:25" x14ac:dyDescent="0.3">
      <c r="A1131" s="16">
        <v>7501249606778</v>
      </c>
      <c r="B1131" s="81" t="s">
        <v>43</v>
      </c>
      <c r="C1131" s="81" t="s">
        <v>1051</v>
      </c>
      <c r="D1131" s="81" t="s">
        <v>45</v>
      </c>
      <c r="E1131" s="81" t="s">
        <v>2262</v>
      </c>
      <c r="F1131" s="81" t="s">
        <v>2521</v>
      </c>
      <c r="G1131" s="81" t="s">
        <v>2896</v>
      </c>
      <c r="H1131" s="81" t="s">
        <v>2699</v>
      </c>
      <c r="I1131" s="81" t="s">
        <v>5234</v>
      </c>
      <c r="J1131" s="81" t="s">
        <v>2186</v>
      </c>
      <c r="K1131" s="81" t="s">
        <v>5234</v>
      </c>
      <c r="L1131" s="81" t="s">
        <v>2392</v>
      </c>
      <c r="M1131" s="81" t="s">
        <v>5234</v>
      </c>
      <c r="N1131" s="81" t="s">
        <v>2231</v>
      </c>
      <c r="O1131" s="81" t="s">
        <v>2187</v>
      </c>
      <c r="P1131" s="81" t="s">
        <v>2187</v>
      </c>
      <c r="Q1131" s="81" t="s">
        <v>43</v>
      </c>
      <c r="R1131" s="81" t="s">
        <v>46</v>
      </c>
      <c r="S1131" s="81" t="s">
        <v>46</v>
      </c>
      <c r="T1131" s="81" t="s">
        <v>48</v>
      </c>
      <c r="U1131" s="81" t="s">
        <v>48</v>
      </c>
      <c r="V1131" s="81" t="s">
        <v>48</v>
      </c>
      <c r="W1131" s="81" t="s">
        <v>49</v>
      </c>
      <c r="X1131" s="81" t="s">
        <v>48</v>
      </c>
      <c r="Y1131" s="81" t="s">
        <v>48</v>
      </c>
    </row>
    <row r="1132" spans="1:25" x14ac:dyDescent="0.3">
      <c r="A1132" s="16">
        <v>7502001161351</v>
      </c>
      <c r="B1132" s="81" t="s">
        <v>43</v>
      </c>
      <c r="C1132" s="81" t="s">
        <v>1052</v>
      </c>
      <c r="D1132" s="81" t="s">
        <v>45</v>
      </c>
      <c r="E1132" s="81" t="s">
        <v>2369</v>
      </c>
      <c r="F1132" s="81" t="s">
        <v>2442</v>
      </c>
      <c r="G1132" s="81" t="s">
        <v>3624</v>
      </c>
      <c r="H1132" s="81" t="s">
        <v>6394</v>
      </c>
      <c r="I1132" s="81" t="s">
        <v>6395</v>
      </c>
      <c r="J1132" s="81" t="s">
        <v>2186</v>
      </c>
      <c r="K1132" s="81" t="s">
        <v>6395</v>
      </c>
      <c r="L1132" s="81" t="s">
        <v>2392</v>
      </c>
      <c r="M1132" s="81" t="s">
        <v>6395</v>
      </c>
      <c r="N1132" s="81" t="s">
        <v>2231</v>
      </c>
      <c r="O1132" s="81" t="s">
        <v>2187</v>
      </c>
      <c r="P1132" s="81" t="s">
        <v>2187</v>
      </c>
      <c r="Q1132" s="81" t="s">
        <v>43</v>
      </c>
      <c r="R1132" s="81" t="s">
        <v>51</v>
      </c>
      <c r="S1132" s="81" t="s">
        <v>81</v>
      </c>
      <c r="T1132" s="81" t="s">
        <v>49</v>
      </c>
      <c r="U1132" s="81" t="s">
        <v>48</v>
      </c>
      <c r="V1132" s="81" t="s">
        <v>48</v>
      </c>
      <c r="W1132" s="81" t="s">
        <v>49</v>
      </c>
      <c r="X1132" s="81" t="s">
        <v>48</v>
      </c>
      <c r="Y1132" s="81" t="s">
        <v>48</v>
      </c>
    </row>
    <row r="1133" spans="1:25" x14ac:dyDescent="0.3">
      <c r="A1133" s="16">
        <v>7502004402437</v>
      </c>
      <c r="B1133" s="81" t="s">
        <v>43</v>
      </c>
      <c r="C1133" s="81" t="s">
        <v>2003</v>
      </c>
      <c r="D1133" s="81" t="s">
        <v>45</v>
      </c>
      <c r="E1133" s="81" t="s">
        <v>2339</v>
      </c>
      <c r="F1133" s="81" t="s">
        <v>3625</v>
      </c>
      <c r="G1133" s="81" t="s">
        <v>4400</v>
      </c>
      <c r="H1133" s="81" t="s">
        <v>6396</v>
      </c>
      <c r="I1133" s="81" t="s">
        <v>6397</v>
      </c>
      <c r="J1133" s="81" t="s">
        <v>2186</v>
      </c>
      <c r="K1133" s="81" t="s">
        <v>6397</v>
      </c>
      <c r="L1133" s="81" t="s">
        <v>2392</v>
      </c>
      <c r="M1133" s="81" t="s">
        <v>6397</v>
      </c>
      <c r="N1133" s="81" t="s">
        <v>2231</v>
      </c>
      <c r="O1133" s="81" t="s">
        <v>2187</v>
      </c>
      <c r="P1133" s="81" t="s">
        <v>2187</v>
      </c>
      <c r="Q1133" s="81" t="s">
        <v>43</v>
      </c>
      <c r="R1133" s="81" t="s">
        <v>46</v>
      </c>
      <c r="S1133" s="81" t="s">
        <v>47</v>
      </c>
      <c r="T1133" s="81" t="s">
        <v>48</v>
      </c>
      <c r="U1133" s="81" t="s">
        <v>48</v>
      </c>
      <c r="V1133" s="81" t="s">
        <v>48</v>
      </c>
      <c r="W1133" s="81" t="s">
        <v>49</v>
      </c>
      <c r="X1133" s="81" t="s">
        <v>48</v>
      </c>
      <c r="Y1133" s="81" t="s">
        <v>48</v>
      </c>
    </row>
    <row r="1134" spans="1:25" x14ac:dyDescent="0.3">
      <c r="A1134" s="16">
        <v>7502009746246</v>
      </c>
      <c r="B1134" s="81" t="s">
        <v>43</v>
      </c>
      <c r="C1134" s="81" t="s">
        <v>1668</v>
      </c>
      <c r="D1134" s="81" t="s">
        <v>45</v>
      </c>
      <c r="E1134" s="81" t="s">
        <v>2312</v>
      </c>
      <c r="F1134" s="81" t="s">
        <v>2419</v>
      </c>
      <c r="G1134" s="81" t="s">
        <v>3626</v>
      </c>
      <c r="H1134" s="81" t="s">
        <v>2291</v>
      </c>
      <c r="I1134" s="81" t="s">
        <v>6398</v>
      </c>
      <c r="J1134" s="81" t="s">
        <v>2186</v>
      </c>
      <c r="K1134" s="81" t="s">
        <v>6398</v>
      </c>
      <c r="L1134" s="81" t="s">
        <v>2392</v>
      </c>
      <c r="M1134" s="81" t="s">
        <v>6398</v>
      </c>
      <c r="N1134" s="81" t="s">
        <v>2231</v>
      </c>
      <c r="O1134" s="81" t="s">
        <v>2187</v>
      </c>
      <c r="P1134" s="81" t="s">
        <v>2187</v>
      </c>
      <c r="Q1134" s="81" t="s">
        <v>43</v>
      </c>
      <c r="R1134" s="81" t="s">
        <v>46</v>
      </c>
      <c r="S1134" s="81" t="s">
        <v>47</v>
      </c>
      <c r="T1134" s="81" t="s">
        <v>48</v>
      </c>
      <c r="U1134" s="81" t="s">
        <v>48</v>
      </c>
      <c r="V1134" s="81" t="s">
        <v>48</v>
      </c>
      <c r="W1134" s="81" t="s">
        <v>49</v>
      </c>
      <c r="X1134" s="81" t="s">
        <v>48</v>
      </c>
      <c r="Y1134" s="81" t="s">
        <v>48</v>
      </c>
    </row>
    <row r="1135" spans="1:25" x14ac:dyDescent="0.3">
      <c r="A1135" s="16">
        <v>7506022303660</v>
      </c>
      <c r="B1135" s="81" t="s">
        <v>43</v>
      </c>
      <c r="C1135" s="81" t="s">
        <v>1053</v>
      </c>
      <c r="D1135" s="81" t="s">
        <v>45</v>
      </c>
      <c r="E1135" s="81" t="s">
        <v>2412</v>
      </c>
      <c r="F1135" s="81" t="s">
        <v>2412</v>
      </c>
      <c r="G1135" s="81" t="s">
        <v>3026</v>
      </c>
      <c r="H1135" s="81" t="s">
        <v>2217</v>
      </c>
      <c r="I1135" s="81" t="s">
        <v>6399</v>
      </c>
      <c r="J1135" s="81" t="s">
        <v>2186</v>
      </c>
      <c r="K1135" s="81" t="s">
        <v>6399</v>
      </c>
      <c r="L1135" s="81" t="s">
        <v>2392</v>
      </c>
      <c r="M1135" s="81" t="s">
        <v>6399</v>
      </c>
      <c r="N1135" s="81" t="s">
        <v>2231</v>
      </c>
      <c r="O1135" s="81" t="s">
        <v>2187</v>
      </c>
      <c r="P1135" s="81" t="s">
        <v>2187</v>
      </c>
      <c r="Q1135" s="81" t="s">
        <v>43</v>
      </c>
      <c r="R1135" s="81" t="s">
        <v>46</v>
      </c>
      <c r="S1135" s="81" t="s">
        <v>73</v>
      </c>
      <c r="T1135" s="81" t="s">
        <v>48</v>
      </c>
      <c r="U1135" s="81" t="s">
        <v>48</v>
      </c>
      <c r="V1135" s="81" t="s">
        <v>48</v>
      </c>
      <c r="W1135" s="81" t="s">
        <v>49</v>
      </c>
      <c r="X1135" s="81" t="s">
        <v>48</v>
      </c>
      <c r="Y1135" s="81" t="s">
        <v>48</v>
      </c>
    </row>
    <row r="1136" spans="1:25" x14ac:dyDescent="0.3">
      <c r="A1136" s="16">
        <v>650240066283</v>
      </c>
      <c r="B1136" s="81" t="s">
        <v>43</v>
      </c>
      <c r="C1136" s="81" t="s">
        <v>1054</v>
      </c>
      <c r="D1136" s="81" t="s">
        <v>45</v>
      </c>
      <c r="E1136" s="81" t="s">
        <v>2899</v>
      </c>
      <c r="F1136" s="81" t="s">
        <v>2492</v>
      </c>
      <c r="G1136" s="81" t="s">
        <v>3174</v>
      </c>
      <c r="H1136" s="81" t="s">
        <v>2843</v>
      </c>
      <c r="I1136" s="81" t="s">
        <v>2844</v>
      </c>
      <c r="J1136" s="81" t="s">
        <v>2186</v>
      </c>
      <c r="K1136" s="81" t="s">
        <v>2845</v>
      </c>
      <c r="L1136" s="81" t="s">
        <v>2392</v>
      </c>
      <c r="M1136" s="81" t="s">
        <v>2846</v>
      </c>
      <c r="N1136" s="81" t="s">
        <v>2231</v>
      </c>
      <c r="O1136" s="81" t="s">
        <v>2187</v>
      </c>
      <c r="P1136" s="81" t="s">
        <v>2187</v>
      </c>
      <c r="Q1136" s="81" t="s">
        <v>43</v>
      </c>
      <c r="R1136" s="81" t="s">
        <v>462</v>
      </c>
      <c r="S1136" s="81" t="s">
        <v>462</v>
      </c>
      <c r="T1136" s="81" t="s">
        <v>48</v>
      </c>
      <c r="U1136" s="81" t="s">
        <v>48</v>
      </c>
      <c r="V1136" s="81" t="s">
        <v>49</v>
      </c>
      <c r="W1136" s="81" t="s">
        <v>48</v>
      </c>
      <c r="X1136" s="81" t="s">
        <v>48</v>
      </c>
      <c r="Y1136" s="81" t="s">
        <v>48</v>
      </c>
    </row>
    <row r="1137" spans="1:25" x14ac:dyDescent="0.3">
      <c r="A1137" s="16">
        <v>7503004908677</v>
      </c>
      <c r="B1137" s="81" t="s">
        <v>43</v>
      </c>
      <c r="C1137" s="81" t="s">
        <v>4708</v>
      </c>
      <c r="D1137" s="81" t="s">
        <v>45</v>
      </c>
      <c r="E1137" s="81" t="s">
        <v>2227</v>
      </c>
      <c r="F1137" s="81" t="s">
        <v>2227</v>
      </c>
      <c r="G1137" s="81" t="s">
        <v>5119</v>
      </c>
      <c r="H1137" s="81" t="s">
        <v>2237</v>
      </c>
      <c r="I1137" s="81" t="s">
        <v>2198</v>
      </c>
      <c r="J1137" s="81" t="s">
        <v>2186</v>
      </c>
      <c r="K1137" s="81" t="s">
        <v>2182</v>
      </c>
      <c r="L1137" s="81" t="s">
        <v>2392</v>
      </c>
      <c r="M1137" s="81" t="s">
        <v>2646</v>
      </c>
      <c r="N1137" s="81" t="s">
        <v>2231</v>
      </c>
      <c r="O1137" s="81" t="s">
        <v>2187</v>
      </c>
      <c r="P1137" s="81" t="s">
        <v>2187</v>
      </c>
      <c r="Q1137" s="81" t="s">
        <v>43</v>
      </c>
      <c r="R1137" s="81" t="s">
        <v>46</v>
      </c>
      <c r="S1137" s="81" t="s">
        <v>46</v>
      </c>
      <c r="T1137" s="81" t="s">
        <v>48</v>
      </c>
      <c r="U1137" s="81" t="s">
        <v>48</v>
      </c>
      <c r="V1137" s="81" t="s">
        <v>48</v>
      </c>
      <c r="W1137" s="81" t="s">
        <v>49</v>
      </c>
      <c r="X1137" s="81" t="s">
        <v>48</v>
      </c>
      <c r="Y1137" s="81" t="s">
        <v>48</v>
      </c>
    </row>
    <row r="1138" spans="1:25" x14ac:dyDescent="0.3">
      <c r="A1138" s="16">
        <v>7501061810100</v>
      </c>
      <c r="B1138" s="81" t="s">
        <v>43</v>
      </c>
      <c r="C1138" s="81" t="s">
        <v>1055</v>
      </c>
      <c r="D1138" s="81" t="s">
        <v>45</v>
      </c>
      <c r="E1138" s="81" t="s">
        <v>2475</v>
      </c>
      <c r="F1138" s="81" t="s">
        <v>3629</v>
      </c>
      <c r="G1138" s="81" t="s">
        <v>3630</v>
      </c>
      <c r="H1138" s="81" t="s">
        <v>3171</v>
      </c>
      <c r="I1138" s="81" t="s">
        <v>6400</v>
      </c>
      <c r="J1138" s="81" t="s">
        <v>2186</v>
      </c>
      <c r="K1138" s="81" t="s">
        <v>6400</v>
      </c>
      <c r="L1138" s="81" t="s">
        <v>2392</v>
      </c>
      <c r="M1138" s="81" t="s">
        <v>6400</v>
      </c>
      <c r="N1138" s="81" t="s">
        <v>2231</v>
      </c>
      <c r="O1138" s="81" t="s">
        <v>2187</v>
      </c>
      <c r="P1138" s="81" t="s">
        <v>2187</v>
      </c>
      <c r="Q1138" s="81" t="s">
        <v>43</v>
      </c>
      <c r="R1138" s="81" t="s">
        <v>524</v>
      </c>
      <c r="S1138" s="81" t="s">
        <v>525</v>
      </c>
      <c r="T1138" s="81" t="s">
        <v>48</v>
      </c>
      <c r="U1138" s="81" t="s">
        <v>48</v>
      </c>
      <c r="V1138" s="81" t="s">
        <v>49</v>
      </c>
      <c r="W1138" s="81" t="s">
        <v>48</v>
      </c>
      <c r="X1138" s="81" t="s">
        <v>48</v>
      </c>
      <c r="Y1138" s="81" t="s">
        <v>48</v>
      </c>
    </row>
    <row r="1139" spans="1:25" x14ac:dyDescent="0.3">
      <c r="A1139" s="16">
        <v>7501825300946</v>
      </c>
      <c r="B1139" s="81" t="s">
        <v>43</v>
      </c>
      <c r="C1139" s="81" t="s">
        <v>1056</v>
      </c>
      <c r="D1139" s="81" t="s">
        <v>45</v>
      </c>
      <c r="E1139" s="81" t="s">
        <v>2308</v>
      </c>
      <c r="F1139" s="81" t="s">
        <v>2179</v>
      </c>
      <c r="G1139" s="81" t="s">
        <v>3633</v>
      </c>
      <c r="H1139" s="81" t="s">
        <v>2464</v>
      </c>
      <c r="I1139" s="81" t="s">
        <v>2978</v>
      </c>
      <c r="J1139" s="81" t="s">
        <v>2186</v>
      </c>
      <c r="K1139" s="81" t="s">
        <v>3023</v>
      </c>
      <c r="L1139" s="81" t="s">
        <v>2392</v>
      </c>
      <c r="M1139" s="81" t="s">
        <v>3045</v>
      </c>
      <c r="N1139" s="81" t="s">
        <v>2231</v>
      </c>
      <c r="O1139" s="81" t="s">
        <v>2187</v>
      </c>
      <c r="P1139" s="81" t="s">
        <v>2187</v>
      </c>
      <c r="Q1139" s="81" t="s">
        <v>43</v>
      </c>
      <c r="R1139" s="81" t="s">
        <v>46</v>
      </c>
      <c r="S1139" s="81" t="s">
        <v>47</v>
      </c>
      <c r="T1139" s="81" t="s">
        <v>48</v>
      </c>
      <c r="U1139" s="81" t="s">
        <v>48</v>
      </c>
      <c r="V1139" s="81" t="s">
        <v>48</v>
      </c>
      <c r="W1139" s="81" t="s">
        <v>49</v>
      </c>
      <c r="X1139" s="81" t="s">
        <v>48</v>
      </c>
      <c r="Y1139" s="81" t="s">
        <v>48</v>
      </c>
    </row>
    <row r="1140" spans="1:25" x14ac:dyDescent="0.3">
      <c r="A1140" s="16">
        <v>7501417001749</v>
      </c>
      <c r="B1140" s="81" t="s">
        <v>43</v>
      </c>
      <c r="C1140" s="81" t="s">
        <v>1057</v>
      </c>
      <c r="D1140" s="81" t="s">
        <v>45</v>
      </c>
      <c r="E1140" s="81" t="s">
        <v>2442</v>
      </c>
      <c r="F1140" s="81" t="s">
        <v>2443</v>
      </c>
      <c r="G1140" s="81" t="s">
        <v>3634</v>
      </c>
      <c r="H1140" s="81" t="s">
        <v>3052</v>
      </c>
      <c r="I1140" s="81" t="s">
        <v>6401</v>
      </c>
      <c r="J1140" s="81" t="s">
        <v>2186</v>
      </c>
      <c r="K1140" s="81" t="s">
        <v>6401</v>
      </c>
      <c r="L1140" s="81" t="s">
        <v>2392</v>
      </c>
      <c r="M1140" s="81" t="s">
        <v>6401</v>
      </c>
      <c r="N1140" s="81" t="s">
        <v>2231</v>
      </c>
      <c r="O1140" s="81" t="s">
        <v>2187</v>
      </c>
      <c r="P1140" s="81" t="s">
        <v>2187</v>
      </c>
      <c r="Q1140" s="81" t="s">
        <v>43</v>
      </c>
      <c r="R1140" s="81" t="s">
        <v>101</v>
      </c>
      <c r="S1140" s="81" t="s">
        <v>101</v>
      </c>
      <c r="T1140" s="81" t="s">
        <v>48</v>
      </c>
      <c r="U1140" s="81" t="s">
        <v>48</v>
      </c>
      <c r="V1140" s="81" t="s">
        <v>49</v>
      </c>
      <c r="W1140" s="81" t="s">
        <v>48</v>
      </c>
      <c r="X1140" s="81" t="s">
        <v>48</v>
      </c>
      <c r="Y1140" s="81" t="s">
        <v>48</v>
      </c>
    </row>
    <row r="1141" spans="1:25" x14ac:dyDescent="0.3">
      <c r="A1141" s="16">
        <v>7502211789819</v>
      </c>
      <c r="B1141" s="81" t="s">
        <v>43</v>
      </c>
      <c r="C1141" s="81" t="s">
        <v>1058</v>
      </c>
      <c r="D1141" s="81" t="s">
        <v>45</v>
      </c>
      <c r="E1141" s="81" t="s">
        <v>2704</v>
      </c>
      <c r="F1141" s="81" t="s">
        <v>2465</v>
      </c>
      <c r="G1141" s="81" t="s">
        <v>3635</v>
      </c>
      <c r="H1141" s="81" t="s">
        <v>2817</v>
      </c>
      <c r="I1141" s="81" t="s">
        <v>3636</v>
      </c>
      <c r="J1141" s="81" t="s">
        <v>2186</v>
      </c>
      <c r="K1141" s="81" t="s">
        <v>3402</v>
      </c>
      <c r="L1141" s="81" t="s">
        <v>2392</v>
      </c>
      <c r="M1141" s="81" t="s">
        <v>3052</v>
      </c>
      <c r="N1141" s="81" t="s">
        <v>2231</v>
      </c>
      <c r="O1141" s="81" t="s">
        <v>2187</v>
      </c>
      <c r="P1141" s="81" t="s">
        <v>2187</v>
      </c>
      <c r="Q1141" s="81" t="s">
        <v>43</v>
      </c>
      <c r="R1141" s="81" t="s">
        <v>101</v>
      </c>
      <c r="S1141" s="81" t="s">
        <v>101</v>
      </c>
      <c r="T1141" s="81" t="s">
        <v>48</v>
      </c>
      <c r="U1141" s="81" t="s">
        <v>48</v>
      </c>
      <c r="V1141" s="81" t="s">
        <v>49</v>
      </c>
      <c r="W1141" s="81" t="s">
        <v>48</v>
      </c>
      <c r="X1141" s="81" t="s">
        <v>48</v>
      </c>
      <c r="Y1141" s="81" t="s">
        <v>48</v>
      </c>
    </row>
    <row r="1142" spans="1:25" x14ac:dyDescent="0.3">
      <c r="A1142" s="16">
        <v>7501471800265</v>
      </c>
      <c r="B1142" s="81" t="s">
        <v>43</v>
      </c>
      <c r="C1142" s="81" t="s">
        <v>1059</v>
      </c>
      <c r="D1142" s="81" t="s">
        <v>45</v>
      </c>
      <c r="E1142" s="81" t="s">
        <v>2939</v>
      </c>
      <c r="F1142" s="81" t="s">
        <v>2689</v>
      </c>
      <c r="G1142" s="81" t="s">
        <v>5074</v>
      </c>
      <c r="H1142" s="81" t="s">
        <v>5167</v>
      </c>
      <c r="I1142" s="81" t="s">
        <v>6402</v>
      </c>
      <c r="J1142" s="81" t="s">
        <v>2186</v>
      </c>
      <c r="K1142" s="81" t="s">
        <v>6402</v>
      </c>
      <c r="L1142" s="81" t="s">
        <v>2392</v>
      </c>
      <c r="M1142" s="81" t="s">
        <v>6402</v>
      </c>
      <c r="N1142" s="81" t="s">
        <v>2231</v>
      </c>
      <c r="O1142" s="81" t="s">
        <v>2187</v>
      </c>
      <c r="P1142" s="81" t="s">
        <v>2187</v>
      </c>
      <c r="Q1142" s="81" t="s">
        <v>43</v>
      </c>
      <c r="R1142" s="81" t="s">
        <v>203</v>
      </c>
      <c r="S1142" s="81" t="s">
        <v>203</v>
      </c>
      <c r="T1142" s="81" t="s">
        <v>48</v>
      </c>
      <c r="U1142" s="81" t="s">
        <v>48</v>
      </c>
      <c r="V1142" s="81" t="s">
        <v>48</v>
      </c>
      <c r="W1142" s="81" t="s">
        <v>49</v>
      </c>
      <c r="X1142" s="81" t="s">
        <v>48</v>
      </c>
      <c r="Y1142" s="81" t="s">
        <v>48</v>
      </c>
    </row>
    <row r="1143" spans="1:25" x14ac:dyDescent="0.3">
      <c r="A1143" s="16">
        <v>714706905537</v>
      </c>
      <c r="B1143" s="81" t="s">
        <v>43</v>
      </c>
      <c r="C1143" s="81" t="s">
        <v>1060</v>
      </c>
      <c r="D1143" s="81" t="s">
        <v>45</v>
      </c>
      <c r="E1143" s="81" t="s">
        <v>2180</v>
      </c>
      <c r="F1143" s="81" t="s">
        <v>2298</v>
      </c>
      <c r="G1143" s="81" t="s">
        <v>3638</v>
      </c>
      <c r="H1143" s="81" t="s">
        <v>2269</v>
      </c>
      <c r="I1143" s="81" t="s">
        <v>4604</v>
      </c>
      <c r="J1143" s="81" t="s">
        <v>2186</v>
      </c>
      <c r="K1143" s="81" t="s">
        <v>4605</v>
      </c>
      <c r="L1143" s="81" t="s">
        <v>2392</v>
      </c>
      <c r="M1143" s="81" t="s">
        <v>3639</v>
      </c>
      <c r="N1143" s="81" t="s">
        <v>2231</v>
      </c>
      <c r="O1143" s="81" t="s">
        <v>2187</v>
      </c>
      <c r="P1143" s="81" t="s">
        <v>2187</v>
      </c>
      <c r="Q1143" s="81" t="s">
        <v>43</v>
      </c>
      <c r="R1143" s="81" t="s">
        <v>46</v>
      </c>
      <c r="S1143" s="81" t="s">
        <v>46</v>
      </c>
      <c r="T1143" s="81" t="s">
        <v>48</v>
      </c>
      <c r="U1143" s="81" t="s">
        <v>48</v>
      </c>
      <c r="V1143" s="81" t="s">
        <v>48</v>
      </c>
      <c r="W1143" s="81" t="s">
        <v>49</v>
      </c>
      <c r="X1143" s="81" t="s">
        <v>48</v>
      </c>
      <c r="Y1143" s="81" t="s">
        <v>48</v>
      </c>
    </row>
    <row r="1144" spans="1:25" x14ac:dyDescent="0.3">
      <c r="A1144" s="16">
        <v>714706905483</v>
      </c>
      <c r="B1144" s="81" t="s">
        <v>43</v>
      </c>
      <c r="C1144" s="81" t="s">
        <v>1061</v>
      </c>
      <c r="D1144" s="81" t="s">
        <v>45</v>
      </c>
      <c r="E1144" s="81" t="s">
        <v>2191</v>
      </c>
      <c r="F1144" s="81" t="s">
        <v>2192</v>
      </c>
      <c r="G1144" s="81" t="s">
        <v>3396</v>
      </c>
      <c r="H1144" s="81" t="s">
        <v>6403</v>
      </c>
      <c r="I1144" s="81" t="s">
        <v>6404</v>
      </c>
      <c r="J1144" s="81" t="s">
        <v>2186</v>
      </c>
      <c r="K1144" s="81" t="s">
        <v>6404</v>
      </c>
      <c r="L1144" s="81" t="s">
        <v>2392</v>
      </c>
      <c r="M1144" s="81" t="s">
        <v>6404</v>
      </c>
      <c r="N1144" s="81" t="s">
        <v>2231</v>
      </c>
      <c r="O1144" s="81" t="s">
        <v>2187</v>
      </c>
      <c r="P1144" s="81" t="s">
        <v>2187</v>
      </c>
      <c r="Q1144" s="81" t="s">
        <v>43</v>
      </c>
      <c r="R1144" s="81" t="s">
        <v>203</v>
      </c>
      <c r="S1144" s="81" t="s">
        <v>203</v>
      </c>
      <c r="T1144" s="81" t="s">
        <v>48</v>
      </c>
      <c r="U1144" s="81" t="s">
        <v>48</v>
      </c>
      <c r="V1144" s="81" t="s">
        <v>48</v>
      </c>
      <c r="W1144" s="81" t="s">
        <v>49</v>
      </c>
      <c r="X1144" s="81" t="s">
        <v>48</v>
      </c>
      <c r="Y1144" s="81" t="s">
        <v>48</v>
      </c>
    </row>
    <row r="1145" spans="1:25" x14ac:dyDescent="0.3">
      <c r="A1145" s="16">
        <v>714706905490</v>
      </c>
      <c r="B1145" s="81" t="s">
        <v>43</v>
      </c>
      <c r="C1145" s="81" t="s">
        <v>1062</v>
      </c>
      <c r="D1145" s="81" t="s">
        <v>45</v>
      </c>
      <c r="E1145" s="81" t="s">
        <v>2357</v>
      </c>
      <c r="F1145" s="81" t="s">
        <v>2457</v>
      </c>
      <c r="G1145" s="81" t="s">
        <v>3396</v>
      </c>
      <c r="H1145" s="81" t="s">
        <v>6403</v>
      </c>
      <c r="I1145" s="81" t="s">
        <v>6404</v>
      </c>
      <c r="J1145" s="81" t="s">
        <v>2186</v>
      </c>
      <c r="K1145" s="81" t="s">
        <v>6404</v>
      </c>
      <c r="L1145" s="81" t="s">
        <v>2392</v>
      </c>
      <c r="M1145" s="81" t="s">
        <v>6404</v>
      </c>
      <c r="N1145" s="81" t="s">
        <v>2231</v>
      </c>
      <c r="O1145" s="81" t="s">
        <v>2187</v>
      </c>
      <c r="P1145" s="81" t="s">
        <v>2187</v>
      </c>
      <c r="Q1145" s="81" t="s">
        <v>43</v>
      </c>
      <c r="R1145" s="81" t="s">
        <v>203</v>
      </c>
      <c r="S1145" s="81" t="s">
        <v>203</v>
      </c>
      <c r="T1145" s="81" t="s">
        <v>48</v>
      </c>
      <c r="U1145" s="81" t="s">
        <v>48</v>
      </c>
      <c r="V1145" s="81" t="s">
        <v>48</v>
      </c>
      <c r="W1145" s="81" t="s">
        <v>49</v>
      </c>
      <c r="X1145" s="81" t="s">
        <v>48</v>
      </c>
      <c r="Y1145" s="81" t="s">
        <v>48</v>
      </c>
    </row>
    <row r="1146" spans="1:25" x14ac:dyDescent="0.3">
      <c r="A1146" s="16">
        <v>714706905506</v>
      </c>
      <c r="B1146" s="81" t="s">
        <v>43</v>
      </c>
      <c r="C1146" s="81" t="s">
        <v>1063</v>
      </c>
      <c r="D1146" s="81" t="s">
        <v>45</v>
      </c>
      <c r="E1146" s="81" t="s">
        <v>2442</v>
      </c>
      <c r="F1146" s="81" t="s">
        <v>2620</v>
      </c>
      <c r="G1146" s="81" t="s">
        <v>3640</v>
      </c>
      <c r="H1146" s="81" t="s">
        <v>6405</v>
      </c>
      <c r="I1146" s="81" t="s">
        <v>6406</v>
      </c>
      <c r="J1146" s="81" t="s">
        <v>2186</v>
      </c>
      <c r="K1146" s="81" t="s">
        <v>6406</v>
      </c>
      <c r="L1146" s="81" t="s">
        <v>2392</v>
      </c>
      <c r="M1146" s="81" t="s">
        <v>6406</v>
      </c>
      <c r="N1146" s="81" t="s">
        <v>2231</v>
      </c>
      <c r="O1146" s="81" t="s">
        <v>2187</v>
      </c>
      <c r="P1146" s="81" t="s">
        <v>2187</v>
      </c>
      <c r="Q1146" s="81" t="s">
        <v>43</v>
      </c>
      <c r="R1146" s="81" t="s">
        <v>203</v>
      </c>
      <c r="S1146" s="81" t="s">
        <v>203</v>
      </c>
      <c r="T1146" s="81" t="s">
        <v>48</v>
      </c>
      <c r="U1146" s="81" t="s">
        <v>48</v>
      </c>
      <c r="V1146" s="81" t="s">
        <v>48</v>
      </c>
      <c r="W1146" s="81" t="s">
        <v>49</v>
      </c>
      <c r="X1146" s="81" t="s">
        <v>48</v>
      </c>
      <c r="Y1146" s="81" t="s">
        <v>48</v>
      </c>
    </row>
    <row r="1147" spans="1:25" x14ac:dyDescent="0.3">
      <c r="A1147" s="16">
        <v>714706905544</v>
      </c>
      <c r="B1147" s="81" t="s">
        <v>43</v>
      </c>
      <c r="C1147" s="81" t="s">
        <v>1064</v>
      </c>
      <c r="D1147" s="81" t="s">
        <v>45</v>
      </c>
      <c r="E1147" s="81" t="s">
        <v>2357</v>
      </c>
      <c r="F1147" s="81" t="s">
        <v>2358</v>
      </c>
      <c r="G1147" s="81" t="s">
        <v>3641</v>
      </c>
      <c r="H1147" s="81" t="s">
        <v>2325</v>
      </c>
      <c r="I1147" s="81" t="s">
        <v>4606</v>
      </c>
      <c r="J1147" s="81" t="s">
        <v>2186</v>
      </c>
      <c r="K1147" s="81" t="s">
        <v>4607</v>
      </c>
      <c r="L1147" s="81" t="s">
        <v>2392</v>
      </c>
      <c r="M1147" s="81" t="s">
        <v>4608</v>
      </c>
      <c r="N1147" s="81" t="s">
        <v>2231</v>
      </c>
      <c r="O1147" s="81" t="s">
        <v>2187</v>
      </c>
      <c r="P1147" s="81" t="s">
        <v>2187</v>
      </c>
      <c r="Q1147" s="81" t="s">
        <v>43</v>
      </c>
      <c r="R1147" s="81" t="s">
        <v>203</v>
      </c>
      <c r="S1147" s="81" t="s">
        <v>203</v>
      </c>
      <c r="T1147" s="81" t="s">
        <v>48</v>
      </c>
      <c r="U1147" s="81" t="s">
        <v>48</v>
      </c>
      <c r="V1147" s="81" t="s">
        <v>48</v>
      </c>
      <c r="W1147" s="81" t="s">
        <v>49</v>
      </c>
      <c r="X1147" s="81" t="s">
        <v>48</v>
      </c>
      <c r="Y1147" s="81" t="s">
        <v>48</v>
      </c>
    </row>
    <row r="1148" spans="1:25" x14ac:dyDescent="0.3">
      <c r="A1148" s="16">
        <v>7502227426111</v>
      </c>
      <c r="B1148" s="81" t="s">
        <v>43</v>
      </c>
      <c r="C1148" s="81" t="s">
        <v>2004</v>
      </c>
      <c r="D1148" s="81" t="s">
        <v>45</v>
      </c>
      <c r="E1148" s="81" t="s">
        <v>2227</v>
      </c>
      <c r="F1148" s="81" t="s">
        <v>2227</v>
      </c>
      <c r="G1148" s="81" t="s">
        <v>5082</v>
      </c>
      <c r="H1148" s="81" t="s">
        <v>2243</v>
      </c>
      <c r="I1148" s="81" t="s">
        <v>5551</v>
      </c>
      <c r="J1148" s="81" t="s">
        <v>2186</v>
      </c>
      <c r="K1148" s="81" t="s">
        <v>5551</v>
      </c>
      <c r="L1148" s="81" t="s">
        <v>2392</v>
      </c>
      <c r="M1148" s="81" t="s">
        <v>5551</v>
      </c>
      <c r="N1148" s="81" t="s">
        <v>2231</v>
      </c>
      <c r="O1148" s="81" t="s">
        <v>2187</v>
      </c>
      <c r="P1148" s="81" t="s">
        <v>2187</v>
      </c>
      <c r="Q1148" s="81" t="s">
        <v>43</v>
      </c>
      <c r="R1148" s="81" t="s">
        <v>46</v>
      </c>
      <c r="S1148" s="81" t="s">
        <v>46</v>
      </c>
      <c r="T1148" s="81" t="s">
        <v>48</v>
      </c>
      <c r="U1148" s="81" t="s">
        <v>48</v>
      </c>
      <c r="V1148" s="81" t="s">
        <v>48</v>
      </c>
      <c r="W1148" s="81" t="s">
        <v>49</v>
      </c>
      <c r="X1148" s="81" t="s">
        <v>48</v>
      </c>
      <c r="Y1148" s="81" t="s">
        <v>48</v>
      </c>
    </row>
    <row r="1149" spans="1:25" x14ac:dyDescent="0.3">
      <c r="A1149" s="16">
        <v>7506022330635</v>
      </c>
      <c r="B1149" s="81" t="s">
        <v>43</v>
      </c>
      <c r="C1149" s="81" t="s">
        <v>1065</v>
      </c>
      <c r="D1149" s="81" t="s">
        <v>45</v>
      </c>
      <c r="E1149" s="81" t="s">
        <v>2191</v>
      </c>
      <c r="F1149" s="81" t="s">
        <v>2192</v>
      </c>
      <c r="G1149" s="81" t="s">
        <v>2712</v>
      </c>
      <c r="H1149" s="81" t="s">
        <v>3307</v>
      </c>
      <c r="I1149" s="81" t="s">
        <v>6407</v>
      </c>
      <c r="J1149" s="81" t="s">
        <v>2186</v>
      </c>
      <c r="K1149" s="81" t="s">
        <v>6407</v>
      </c>
      <c r="L1149" s="81" t="s">
        <v>2392</v>
      </c>
      <c r="M1149" s="81" t="s">
        <v>6407</v>
      </c>
      <c r="N1149" s="81" t="s">
        <v>2231</v>
      </c>
      <c r="O1149" s="81" t="s">
        <v>2187</v>
      </c>
      <c r="P1149" s="81" t="s">
        <v>2187</v>
      </c>
      <c r="Q1149" s="81" t="s">
        <v>43</v>
      </c>
      <c r="R1149" s="81" t="s">
        <v>46</v>
      </c>
      <c r="S1149" s="81" t="s">
        <v>46</v>
      </c>
      <c r="T1149" s="81" t="s">
        <v>48</v>
      </c>
      <c r="U1149" s="81" t="s">
        <v>48</v>
      </c>
      <c r="V1149" s="81" t="s">
        <v>49</v>
      </c>
      <c r="W1149" s="81" t="s">
        <v>48</v>
      </c>
      <c r="X1149" s="81" t="s">
        <v>48</v>
      </c>
      <c r="Y1149" s="81" t="s">
        <v>48</v>
      </c>
    </row>
    <row r="1150" spans="1:25" x14ac:dyDescent="0.3">
      <c r="A1150" s="16">
        <v>7501125175091</v>
      </c>
      <c r="B1150" s="81" t="s">
        <v>43</v>
      </c>
      <c r="C1150" s="81" t="s">
        <v>1066</v>
      </c>
      <c r="D1150" s="81" t="s">
        <v>45</v>
      </c>
      <c r="E1150" s="81" t="s">
        <v>2620</v>
      </c>
      <c r="F1150" s="81" t="s">
        <v>2780</v>
      </c>
      <c r="G1150" s="81" t="s">
        <v>3642</v>
      </c>
      <c r="H1150" s="81" t="s">
        <v>2237</v>
      </c>
      <c r="I1150" s="81" t="s">
        <v>5687</v>
      </c>
      <c r="J1150" s="81" t="s">
        <v>2186</v>
      </c>
      <c r="K1150" s="81" t="s">
        <v>5687</v>
      </c>
      <c r="L1150" s="81" t="s">
        <v>2392</v>
      </c>
      <c r="M1150" s="81" t="s">
        <v>5687</v>
      </c>
      <c r="N1150" s="81" t="s">
        <v>2231</v>
      </c>
      <c r="O1150" s="81" t="s">
        <v>2187</v>
      </c>
      <c r="P1150" s="81" t="s">
        <v>2187</v>
      </c>
      <c r="Q1150" s="81" t="s">
        <v>43</v>
      </c>
      <c r="R1150" s="81" t="s">
        <v>46</v>
      </c>
      <c r="S1150" s="81" t="s">
        <v>47</v>
      </c>
      <c r="T1150" s="81" t="s">
        <v>48</v>
      </c>
      <c r="U1150" s="81" t="s">
        <v>48</v>
      </c>
      <c r="V1150" s="81" t="s">
        <v>48</v>
      </c>
      <c r="W1150" s="81" t="s">
        <v>49</v>
      </c>
      <c r="X1150" s="81" t="s">
        <v>48</v>
      </c>
      <c r="Y1150" s="81" t="s">
        <v>48</v>
      </c>
    </row>
    <row r="1151" spans="1:25" x14ac:dyDescent="0.3">
      <c r="A1151" s="16">
        <v>780083148805</v>
      </c>
      <c r="B1151" s="81" t="s">
        <v>43</v>
      </c>
      <c r="C1151" s="81" t="s">
        <v>1067</v>
      </c>
      <c r="D1151" s="81" t="s">
        <v>45</v>
      </c>
      <c r="E1151" s="81" t="s">
        <v>2634</v>
      </c>
      <c r="F1151" s="81" t="s">
        <v>2623</v>
      </c>
      <c r="G1151" s="81" t="s">
        <v>4841</v>
      </c>
      <c r="H1151" s="81" t="s">
        <v>6408</v>
      </c>
      <c r="I1151" s="81" t="s">
        <v>6409</v>
      </c>
      <c r="J1151" s="81" t="s">
        <v>2186</v>
      </c>
      <c r="K1151" s="81" t="s">
        <v>6409</v>
      </c>
      <c r="L1151" s="81" t="s">
        <v>2392</v>
      </c>
      <c r="M1151" s="81" t="s">
        <v>6409</v>
      </c>
      <c r="N1151" s="81" t="s">
        <v>2231</v>
      </c>
      <c r="O1151" s="81" t="s">
        <v>2187</v>
      </c>
      <c r="P1151" s="81" t="s">
        <v>2187</v>
      </c>
      <c r="Q1151" s="81" t="s">
        <v>43</v>
      </c>
      <c r="R1151" s="81" t="s">
        <v>46</v>
      </c>
      <c r="S1151" s="81" t="s">
        <v>47</v>
      </c>
      <c r="T1151" s="81" t="s">
        <v>48</v>
      </c>
      <c r="U1151" s="81" t="s">
        <v>48</v>
      </c>
      <c r="V1151" s="81" t="s">
        <v>48</v>
      </c>
      <c r="W1151" s="81" t="s">
        <v>49</v>
      </c>
      <c r="X1151" s="81" t="s">
        <v>48</v>
      </c>
      <c r="Y1151" s="81" t="s">
        <v>48</v>
      </c>
    </row>
    <row r="1152" spans="1:25" x14ac:dyDescent="0.3">
      <c r="A1152" s="16">
        <v>7502211782483</v>
      </c>
      <c r="B1152" s="81" t="s">
        <v>43</v>
      </c>
      <c r="C1152" s="81" t="s">
        <v>1068</v>
      </c>
      <c r="D1152" s="81" t="s">
        <v>45</v>
      </c>
      <c r="E1152" s="81" t="s">
        <v>2227</v>
      </c>
      <c r="F1152" s="81" t="s">
        <v>2227</v>
      </c>
      <c r="G1152" s="81" t="s">
        <v>3643</v>
      </c>
      <c r="H1152" s="81" t="s">
        <v>2193</v>
      </c>
      <c r="I1152" s="81" t="s">
        <v>2209</v>
      </c>
      <c r="J1152" s="81" t="s">
        <v>2186</v>
      </c>
      <c r="K1152" s="81" t="s">
        <v>2361</v>
      </c>
      <c r="L1152" s="81" t="s">
        <v>2392</v>
      </c>
      <c r="M1152" s="81" t="s">
        <v>3644</v>
      </c>
      <c r="N1152" s="81" t="s">
        <v>2231</v>
      </c>
      <c r="O1152" s="81" t="s">
        <v>2187</v>
      </c>
      <c r="P1152" s="81" t="s">
        <v>2187</v>
      </c>
      <c r="Q1152" s="81" t="s">
        <v>43</v>
      </c>
      <c r="R1152" s="81" t="s">
        <v>46</v>
      </c>
      <c r="S1152" s="81" t="s">
        <v>46</v>
      </c>
      <c r="T1152" s="81" t="s">
        <v>48</v>
      </c>
      <c r="U1152" s="81" t="s">
        <v>48</v>
      </c>
      <c r="V1152" s="81" t="s">
        <v>48</v>
      </c>
      <c r="W1152" s="81" t="s">
        <v>49</v>
      </c>
      <c r="X1152" s="81" t="s">
        <v>48</v>
      </c>
      <c r="Y1152" s="81" t="s">
        <v>48</v>
      </c>
    </row>
    <row r="1153" spans="1:25" x14ac:dyDescent="0.3">
      <c r="A1153" s="16" t="s">
        <v>1069</v>
      </c>
      <c r="B1153" s="81" t="s">
        <v>43</v>
      </c>
      <c r="C1153" s="81" t="s">
        <v>1070</v>
      </c>
      <c r="D1153" s="81" t="s">
        <v>45</v>
      </c>
      <c r="E1153" s="81" t="s">
        <v>2304</v>
      </c>
      <c r="F1153" s="81" t="s">
        <v>2435</v>
      </c>
      <c r="G1153" s="81" t="s">
        <v>3645</v>
      </c>
      <c r="H1153" s="81" t="s">
        <v>6410</v>
      </c>
      <c r="I1153" s="81" t="s">
        <v>6411</v>
      </c>
      <c r="J1153" s="81" t="s">
        <v>2186</v>
      </c>
      <c r="K1153" s="81" t="s">
        <v>6411</v>
      </c>
      <c r="L1153" s="81" t="s">
        <v>2392</v>
      </c>
      <c r="M1153" s="81" t="s">
        <v>6411</v>
      </c>
      <c r="N1153" s="81" t="s">
        <v>2231</v>
      </c>
      <c r="O1153" s="81" t="s">
        <v>2187</v>
      </c>
      <c r="P1153" s="81" t="s">
        <v>2187</v>
      </c>
      <c r="Q1153" s="81" t="s">
        <v>43</v>
      </c>
      <c r="R1153" s="81" t="s">
        <v>51</v>
      </c>
      <c r="S1153" s="81" t="s">
        <v>81</v>
      </c>
      <c r="T1153" s="81" t="s">
        <v>49</v>
      </c>
      <c r="U1153" s="81" t="s">
        <v>48</v>
      </c>
      <c r="V1153" s="81" t="s">
        <v>48</v>
      </c>
      <c r="W1153" s="81" t="s">
        <v>49</v>
      </c>
      <c r="X1153" s="81" t="s">
        <v>48</v>
      </c>
      <c r="Y1153" s="81" t="s">
        <v>48</v>
      </c>
    </row>
    <row r="1154" spans="1:25" x14ac:dyDescent="0.3">
      <c r="A1154" s="16">
        <v>7502009747786</v>
      </c>
      <c r="B1154" s="81" t="s">
        <v>43</v>
      </c>
      <c r="C1154" s="81" t="s">
        <v>1071</v>
      </c>
      <c r="D1154" s="81" t="s">
        <v>45</v>
      </c>
      <c r="E1154" s="81" t="s">
        <v>2304</v>
      </c>
      <c r="F1154" s="81" t="s">
        <v>2409</v>
      </c>
      <c r="G1154" s="81" t="s">
        <v>4868</v>
      </c>
      <c r="H1154" s="81" t="s">
        <v>2506</v>
      </c>
      <c r="I1154" s="81" t="s">
        <v>2261</v>
      </c>
      <c r="J1154" s="81" t="s">
        <v>2186</v>
      </c>
      <c r="K1154" s="81" t="s">
        <v>2261</v>
      </c>
      <c r="L1154" s="81" t="s">
        <v>2392</v>
      </c>
      <c r="M1154" s="81" t="s">
        <v>2261</v>
      </c>
      <c r="N1154" s="81" t="s">
        <v>2231</v>
      </c>
      <c r="O1154" s="81" t="s">
        <v>2187</v>
      </c>
      <c r="P1154" s="81" t="s">
        <v>2187</v>
      </c>
      <c r="Q1154" s="81" t="s">
        <v>43</v>
      </c>
      <c r="R1154" s="81" t="s">
        <v>46</v>
      </c>
      <c r="S1154" s="81" t="s">
        <v>46</v>
      </c>
      <c r="T1154" s="81" t="s">
        <v>48</v>
      </c>
      <c r="U1154" s="81" t="s">
        <v>48</v>
      </c>
      <c r="V1154" s="81" t="s">
        <v>48</v>
      </c>
      <c r="W1154" s="81" t="s">
        <v>49</v>
      </c>
      <c r="X1154" s="81" t="s">
        <v>48</v>
      </c>
      <c r="Y1154" s="81" t="s">
        <v>48</v>
      </c>
    </row>
    <row r="1155" spans="1:25" x14ac:dyDescent="0.3">
      <c r="A1155" s="16">
        <v>780083148942</v>
      </c>
      <c r="B1155" s="81" t="s">
        <v>43</v>
      </c>
      <c r="C1155" s="81" t="s">
        <v>1072</v>
      </c>
      <c r="D1155" s="81" t="s">
        <v>45</v>
      </c>
      <c r="E1155" s="81" t="s">
        <v>2227</v>
      </c>
      <c r="F1155" s="81" t="s">
        <v>2227</v>
      </c>
      <c r="G1155" s="81" t="s">
        <v>3646</v>
      </c>
      <c r="H1155" s="81" t="s">
        <v>2193</v>
      </c>
      <c r="I1155" s="81" t="s">
        <v>6412</v>
      </c>
      <c r="J1155" s="81" t="s">
        <v>2186</v>
      </c>
      <c r="K1155" s="81" t="s">
        <v>6412</v>
      </c>
      <c r="L1155" s="81" t="s">
        <v>2392</v>
      </c>
      <c r="M1155" s="81" t="s">
        <v>6412</v>
      </c>
      <c r="N1155" s="81" t="s">
        <v>2231</v>
      </c>
      <c r="O1155" s="81" t="s">
        <v>2187</v>
      </c>
      <c r="P1155" s="81" t="s">
        <v>2187</v>
      </c>
      <c r="Q1155" s="81" t="s">
        <v>43</v>
      </c>
      <c r="R1155" s="81" t="s">
        <v>46</v>
      </c>
      <c r="S1155" s="81" t="s">
        <v>47</v>
      </c>
      <c r="T1155" s="81" t="s">
        <v>48</v>
      </c>
      <c r="U1155" s="81" t="s">
        <v>48</v>
      </c>
      <c r="V1155" s="81" t="s">
        <v>48</v>
      </c>
      <c r="W1155" s="81" t="s">
        <v>49</v>
      </c>
      <c r="X1155" s="81" t="s">
        <v>48</v>
      </c>
      <c r="Y1155" s="81" t="s">
        <v>48</v>
      </c>
    </row>
    <row r="1156" spans="1:25" x14ac:dyDescent="0.3">
      <c r="A1156" s="16">
        <v>7501878711911</v>
      </c>
      <c r="B1156" s="81" t="s">
        <v>43</v>
      </c>
      <c r="C1156" s="81" t="s">
        <v>1073</v>
      </c>
      <c r="D1156" s="81" t="s">
        <v>45</v>
      </c>
      <c r="E1156" s="81" t="s">
        <v>2362</v>
      </c>
      <c r="F1156" s="81" t="s">
        <v>2274</v>
      </c>
      <c r="G1156" s="81" t="s">
        <v>3647</v>
      </c>
      <c r="H1156" s="81" t="s">
        <v>3041</v>
      </c>
      <c r="I1156" s="81" t="s">
        <v>4631</v>
      </c>
      <c r="J1156" s="81" t="s">
        <v>2186</v>
      </c>
      <c r="K1156" s="81" t="s">
        <v>4631</v>
      </c>
      <c r="L1156" s="81" t="s">
        <v>2392</v>
      </c>
      <c r="M1156" s="81" t="s">
        <v>4631</v>
      </c>
      <c r="N1156" s="81" t="s">
        <v>2231</v>
      </c>
      <c r="O1156" s="81" t="s">
        <v>2187</v>
      </c>
      <c r="P1156" s="81" t="s">
        <v>2187</v>
      </c>
      <c r="Q1156" s="81" t="s">
        <v>43</v>
      </c>
      <c r="R1156" s="81" t="s">
        <v>524</v>
      </c>
      <c r="S1156" s="81" t="s">
        <v>525</v>
      </c>
      <c r="T1156" s="81" t="s">
        <v>48</v>
      </c>
      <c r="U1156" s="81" t="s">
        <v>48</v>
      </c>
      <c r="V1156" s="81" t="s">
        <v>49</v>
      </c>
      <c r="W1156" s="81" t="s">
        <v>48</v>
      </c>
      <c r="X1156" s="81" t="s">
        <v>48</v>
      </c>
      <c r="Y1156" s="81" t="s">
        <v>48</v>
      </c>
    </row>
    <row r="1157" spans="1:25" x14ac:dyDescent="0.3">
      <c r="A1157" s="16">
        <v>7501878705323</v>
      </c>
      <c r="B1157" s="81" t="s">
        <v>43</v>
      </c>
      <c r="C1157" s="81" t="s">
        <v>1074</v>
      </c>
      <c r="D1157" s="81" t="s">
        <v>45</v>
      </c>
      <c r="E1157" s="81" t="s">
        <v>2210</v>
      </c>
      <c r="F1157" s="81" t="s">
        <v>2606</v>
      </c>
      <c r="G1157" s="81" t="s">
        <v>3648</v>
      </c>
      <c r="H1157" s="81" t="s">
        <v>3041</v>
      </c>
      <c r="I1157" s="81" t="s">
        <v>6413</v>
      </c>
      <c r="J1157" s="81" t="s">
        <v>2186</v>
      </c>
      <c r="K1157" s="81" t="s">
        <v>6413</v>
      </c>
      <c r="L1157" s="81" t="s">
        <v>2392</v>
      </c>
      <c r="M1157" s="81" t="s">
        <v>6413</v>
      </c>
      <c r="N1157" s="81" t="s">
        <v>2231</v>
      </c>
      <c r="O1157" s="81" t="s">
        <v>2187</v>
      </c>
      <c r="P1157" s="81" t="s">
        <v>2187</v>
      </c>
      <c r="Q1157" s="81" t="s">
        <v>43</v>
      </c>
      <c r="R1157" s="81" t="s">
        <v>524</v>
      </c>
      <c r="S1157" s="81" t="s">
        <v>525</v>
      </c>
      <c r="T1157" s="81" t="s">
        <v>48</v>
      </c>
      <c r="U1157" s="81" t="s">
        <v>48</v>
      </c>
      <c r="V1157" s="81" t="s">
        <v>49</v>
      </c>
      <c r="W1157" s="81" t="s">
        <v>48</v>
      </c>
      <c r="X1157" s="81" t="s">
        <v>48</v>
      </c>
      <c r="Y1157" s="81" t="s">
        <v>48</v>
      </c>
    </row>
    <row r="1158" spans="1:25" x14ac:dyDescent="0.3">
      <c r="A1158" s="16">
        <v>7506306245990</v>
      </c>
      <c r="B1158" s="81" t="s">
        <v>43</v>
      </c>
      <c r="C1158" s="81" t="s">
        <v>1075</v>
      </c>
      <c r="D1158" s="81" t="s">
        <v>45</v>
      </c>
      <c r="E1158" s="81" t="s">
        <v>2179</v>
      </c>
      <c r="F1158" s="81" t="s">
        <v>2191</v>
      </c>
      <c r="G1158" s="81" t="s">
        <v>2235</v>
      </c>
      <c r="H1158" s="81" t="s">
        <v>3649</v>
      </c>
      <c r="I1158" s="81" t="s">
        <v>6414</v>
      </c>
      <c r="J1158" s="81" t="s">
        <v>2186</v>
      </c>
      <c r="K1158" s="81" t="s">
        <v>6414</v>
      </c>
      <c r="L1158" s="81" t="s">
        <v>2392</v>
      </c>
      <c r="M1158" s="81" t="s">
        <v>6414</v>
      </c>
      <c r="N1158" s="81" t="s">
        <v>2231</v>
      </c>
      <c r="O1158" s="81" t="s">
        <v>2187</v>
      </c>
      <c r="P1158" s="81" t="s">
        <v>2187</v>
      </c>
      <c r="Q1158" s="81" t="s">
        <v>43</v>
      </c>
      <c r="R1158" s="81" t="s">
        <v>524</v>
      </c>
      <c r="S1158" s="81" t="s">
        <v>525</v>
      </c>
      <c r="T1158" s="81" t="s">
        <v>48</v>
      </c>
      <c r="U1158" s="81" t="s">
        <v>48</v>
      </c>
      <c r="V1158" s="81" t="s">
        <v>49</v>
      </c>
      <c r="W1158" s="81" t="s">
        <v>48</v>
      </c>
      <c r="X1158" s="81" t="s">
        <v>48</v>
      </c>
      <c r="Y1158" s="81" t="s">
        <v>48</v>
      </c>
    </row>
    <row r="1159" spans="1:25" x14ac:dyDescent="0.3">
      <c r="A1159" s="16">
        <v>7506306249240</v>
      </c>
      <c r="B1159" s="81" t="s">
        <v>43</v>
      </c>
      <c r="C1159" s="81" t="s">
        <v>1076</v>
      </c>
      <c r="D1159" s="81" t="s">
        <v>45</v>
      </c>
      <c r="E1159" s="81" t="s">
        <v>2369</v>
      </c>
      <c r="F1159" s="81" t="s">
        <v>2357</v>
      </c>
      <c r="G1159" s="81" t="s">
        <v>3073</v>
      </c>
      <c r="H1159" s="81" t="s">
        <v>2950</v>
      </c>
      <c r="I1159" s="81" t="s">
        <v>3584</v>
      </c>
      <c r="J1159" s="81" t="s">
        <v>2186</v>
      </c>
      <c r="K1159" s="81" t="s">
        <v>3074</v>
      </c>
      <c r="L1159" s="81" t="s">
        <v>2392</v>
      </c>
      <c r="M1159" s="81" t="s">
        <v>3074</v>
      </c>
      <c r="N1159" s="81" t="s">
        <v>2231</v>
      </c>
      <c r="O1159" s="81" t="s">
        <v>2187</v>
      </c>
      <c r="P1159" s="81" t="s">
        <v>2187</v>
      </c>
      <c r="Q1159" s="81" t="s">
        <v>43</v>
      </c>
      <c r="R1159" s="81" t="s">
        <v>524</v>
      </c>
      <c r="S1159" s="81" t="s">
        <v>525</v>
      </c>
      <c r="T1159" s="81" t="s">
        <v>48</v>
      </c>
      <c r="U1159" s="81" t="s">
        <v>48</v>
      </c>
      <c r="V1159" s="81" t="s">
        <v>49</v>
      </c>
      <c r="W1159" s="81" t="s">
        <v>48</v>
      </c>
      <c r="X1159" s="81" t="s">
        <v>48</v>
      </c>
      <c r="Y1159" s="81" t="s">
        <v>48</v>
      </c>
    </row>
    <row r="1160" spans="1:25" x14ac:dyDescent="0.3">
      <c r="A1160" s="16">
        <v>7509546000985</v>
      </c>
      <c r="B1160" s="81" t="s">
        <v>43</v>
      </c>
      <c r="C1160" s="81" t="s">
        <v>1077</v>
      </c>
      <c r="D1160" s="81" t="s">
        <v>45</v>
      </c>
      <c r="E1160" s="81" t="s">
        <v>2210</v>
      </c>
      <c r="F1160" s="81" t="s">
        <v>2211</v>
      </c>
      <c r="G1160" s="81" t="s">
        <v>4842</v>
      </c>
      <c r="H1160" s="81" t="s">
        <v>3083</v>
      </c>
      <c r="I1160" s="81" t="s">
        <v>6415</v>
      </c>
      <c r="J1160" s="81" t="s">
        <v>2186</v>
      </c>
      <c r="K1160" s="81" t="s">
        <v>6415</v>
      </c>
      <c r="L1160" s="81" t="s">
        <v>2392</v>
      </c>
      <c r="M1160" s="81" t="s">
        <v>6415</v>
      </c>
      <c r="N1160" s="81" t="s">
        <v>2231</v>
      </c>
      <c r="O1160" s="81" t="s">
        <v>2187</v>
      </c>
      <c r="P1160" s="81" t="s">
        <v>2187</v>
      </c>
      <c r="Q1160" s="81" t="s">
        <v>43</v>
      </c>
      <c r="R1160" s="81" t="s">
        <v>524</v>
      </c>
      <c r="S1160" s="81" t="s">
        <v>525</v>
      </c>
      <c r="T1160" s="81" t="s">
        <v>48</v>
      </c>
      <c r="U1160" s="81" t="s">
        <v>48</v>
      </c>
      <c r="V1160" s="81" t="s">
        <v>49</v>
      </c>
      <c r="W1160" s="81" t="s">
        <v>48</v>
      </c>
      <c r="X1160" s="81" t="s">
        <v>48</v>
      </c>
      <c r="Y1160" s="81" t="s">
        <v>48</v>
      </c>
    </row>
    <row r="1161" spans="1:25" x14ac:dyDescent="0.3">
      <c r="A1161" s="16">
        <v>7502227876367</v>
      </c>
      <c r="B1161" s="81" t="s">
        <v>43</v>
      </c>
      <c r="C1161" s="81" t="s">
        <v>1741</v>
      </c>
      <c r="D1161" s="81" t="s">
        <v>45</v>
      </c>
      <c r="E1161" s="81" t="s">
        <v>2412</v>
      </c>
      <c r="F1161" s="81" t="s">
        <v>2412</v>
      </c>
      <c r="G1161" s="81" t="s">
        <v>3651</v>
      </c>
      <c r="H1161" s="81" t="s">
        <v>3652</v>
      </c>
      <c r="I1161" s="81" t="s">
        <v>6416</v>
      </c>
      <c r="J1161" s="81" t="s">
        <v>2186</v>
      </c>
      <c r="K1161" s="81" t="s">
        <v>6416</v>
      </c>
      <c r="L1161" s="81" t="s">
        <v>2392</v>
      </c>
      <c r="M1161" s="81" t="s">
        <v>6416</v>
      </c>
      <c r="N1161" s="81" t="s">
        <v>2231</v>
      </c>
      <c r="O1161" s="81" t="s">
        <v>2187</v>
      </c>
      <c r="P1161" s="81" t="s">
        <v>2187</v>
      </c>
      <c r="Q1161" s="81" t="s">
        <v>43</v>
      </c>
      <c r="R1161" s="81" t="s">
        <v>46</v>
      </c>
      <c r="S1161" s="81" t="s">
        <v>46</v>
      </c>
      <c r="T1161" s="81" t="s">
        <v>48</v>
      </c>
      <c r="U1161" s="81" t="s">
        <v>48</v>
      </c>
      <c r="V1161" s="81" t="s">
        <v>48</v>
      </c>
      <c r="W1161" s="81" t="s">
        <v>49</v>
      </c>
      <c r="X1161" s="81" t="s">
        <v>48</v>
      </c>
      <c r="Y1161" s="81" t="s">
        <v>48</v>
      </c>
    </row>
    <row r="1162" spans="1:25" x14ac:dyDescent="0.3">
      <c r="A1162" s="16">
        <v>5000456076692</v>
      </c>
      <c r="B1162" s="81" t="s">
        <v>43</v>
      </c>
      <c r="C1162" s="81" t="s">
        <v>1078</v>
      </c>
      <c r="D1162" s="81" t="s">
        <v>45</v>
      </c>
      <c r="E1162" s="81" t="s">
        <v>2179</v>
      </c>
      <c r="F1162" s="81" t="s">
        <v>2191</v>
      </c>
      <c r="G1162" s="81" t="s">
        <v>3653</v>
      </c>
      <c r="H1162" s="81" t="s">
        <v>3452</v>
      </c>
      <c r="I1162" s="81" t="s">
        <v>6417</v>
      </c>
      <c r="J1162" s="81" t="s">
        <v>2186</v>
      </c>
      <c r="K1162" s="81" t="s">
        <v>6417</v>
      </c>
      <c r="L1162" s="81" t="s">
        <v>2392</v>
      </c>
      <c r="M1162" s="81" t="s">
        <v>6417</v>
      </c>
      <c r="N1162" s="81" t="s">
        <v>2231</v>
      </c>
      <c r="O1162" s="81" t="s">
        <v>2187</v>
      </c>
      <c r="P1162" s="81" t="s">
        <v>2187</v>
      </c>
      <c r="Q1162" s="81" t="s">
        <v>43</v>
      </c>
      <c r="R1162" s="81" t="s">
        <v>374</v>
      </c>
      <c r="S1162" s="81" t="s">
        <v>47</v>
      </c>
      <c r="T1162" s="81" t="s">
        <v>48</v>
      </c>
      <c r="U1162" s="81" t="s">
        <v>48</v>
      </c>
      <c r="V1162" s="81" t="s">
        <v>48</v>
      </c>
      <c r="W1162" s="81" t="s">
        <v>49</v>
      </c>
      <c r="X1162" s="81" t="s">
        <v>48</v>
      </c>
      <c r="Y1162" s="81" t="s">
        <v>48</v>
      </c>
    </row>
    <row r="1163" spans="1:25" x14ac:dyDescent="0.3">
      <c r="A1163" s="16">
        <v>7501384543983</v>
      </c>
      <c r="B1163" s="81" t="s">
        <v>43</v>
      </c>
      <c r="C1163" s="81" t="s">
        <v>1079</v>
      </c>
      <c r="D1163" s="81" t="s">
        <v>45</v>
      </c>
      <c r="E1163" s="81" t="s">
        <v>2357</v>
      </c>
      <c r="F1163" s="81" t="s">
        <v>2457</v>
      </c>
      <c r="G1163" s="81" t="s">
        <v>5510</v>
      </c>
      <c r="H1163" s="81" t="s">
        <v>2503</v>
      </c>
      <c r="I1163" s="81" t="s">
        <v>6418</v>
      </c>
      <c r="J1163" s="81" t="s">
        <v>2186</v>
      </c>
      <c r="K1163" s="81" t="s">
        <v>6418</v>
      </c>
      <c r="L1163" s="81" t="s">
        <v>2392</v>
      </c>
      <c r="M1163" s="81" t="s">
        <v>6418</v>
      </c>
      <c r="N1163" s="81" t="s">
        <v>2231</v>
      </c>
      <c r="O1163" s="81" t="s">
        <v>2187</v>
      </c>
      <c r="P1163" s="81" t="s">
        <v>2187</v>
      </c>
      <c r="Q1163" s="81" t="s">
        <v>43</v>
      </c>
      <c r="R1163" s="81" t="s">
        <v>46</v>
      </c>
      <c r="S1163" s="81" t="s">
        <v>47</v>
      </c>
      <c r="T1163" s="81" t="s">
        <v>48</v>
      </c>
      <c r="U1163" s="81" t="s">
        <v>48</v>
      </c>
      <c r="V1163" s="81" t="s">
        <v>48</v>
      </c>
      <c r="W1163" s="81" t="s">
        <v>49</v>
      </c>
      <c r="X1163" s="81" t="s">
        <v>48</v>
      </c>
      <c r="Y1163" s="81" t="s">
        <v>48</v>
      </c>
    </row>
    <row r="1164" spans="1:25" x14ac:dyDescent="0.3">
      <c r="A1164" s="16">
        <v>7502216803138</v>
      </c>
      <c r="B1164" s="81" t="s">
        <v>43</v>
      </c>
      <c r="C1164" s="81" t="s">
        <v>2005</v>
      </c>
      <c r="D1164" s="81" t="s">
        <v>45</v>
      </c>
      <c r="E1164" s="81" t="s">
        <v>2412</v>
      </c>
      <c r="F1164" s="81" t="s">
        <v>2368</v>
      </c>
      <c r="G1164" s="81" t="s">
        <v>5511</v>
      </c>
      <c r="H1164" s="81" t="s">
        <v>6419</v>
      </c>
      <c r="I1164" s="81" t="s">
        <v>6420</v>
      </c>
      <c r="J1164" s="81" t="s">
        <v>2186</v>
      </c>
      <c r="K1164" s="81" t="s">
        <v>6420</v>
      </c>
      <c r="L1164" s="81" t="s">
        <v>2392</v>
      </c>
      <c r="M1164" s="81" t="s">
        <v>6420</v>
      </c>
      <c r="N1164" s="81" t="s">
        <v>2231</v>
      </c>
      <c r="O1164" s="81" t="s">
        <v>2187</v>
      </c>
      <c r="P1164" s="81" t="s">
        <v>2187</v>
      </c>
      <c r="Q1164" s="81" t="s">
        <v>43</v>
      </c>
      <c r="R1164" s="81" t="s">
        <v>46</v>
      </c>
      <c r="S1164" s="81" t="s">
        <v>47</v>
      </c>
      <c r="T1164" s="81" t="s">
        <v>48</v>
      </c>
      <c r="U1164" s="81" t="s">
        <v>48</v>
      </c>
      <c r="V1164" s="81" t="s">
        <v>48</v>
      </c>
      <c r="W1164" s="81" t="s">
        <v>49</v>
      </c>
      <c r="X1164" s="81" t="s">
        <v>48</v>
      </c>
      <c r="Y1164" s="81" t="s">
        <v>48</v>
      </c>
    </row>
    <row r="1165" spans="1:25" x14ac:dyDescent="0.3">
      <c r="A1165" s="16">
        <v>785120754759</v>
      </c>
      <c r="B1165" s="81" t="s">
        <v>43</v>
      </c>
      <c r="C1165" s="81" t="s">
        <v>2006</v>
      </c>
      <c r="D1165" s="81" t="s">
        <v>45</v>
      </c>
      <c r="E1165" s="81" t="s">
        <v>2412</v>
      </c>
      <c r="F1165" s="81" t="s">
        <v>2412</v>
      </c>
      <c r="G1165" s="81" t="s">
        <v>3371</v>
      </c>
      <c r="H1165" s="81" t="s">
        <v>2237</v>
      </c>
      <c r="I1165" s="81" t="s">
        <v>5618</v>
      </c>
      <c r="J1165" s="81" t="s">
        <v>2186</v>
      </c>
      <c r="K1165" s="81" t="s">
        <v>5618</v>
      </c>
      <c r="L1165" s="81" t="s">
        <v>2392</v>
      </c>
      <c r="M1165" s="81" t="s">
        <v>5618</v>
      </c>
      <c r="N1165" s="81" t="s">
        <v>2231</v>
      </c>
      <c r="O1165" s="81" t="s">
        <v>2187</v>
      </c>
      <c r="P1165" s="81" t="s">
        <v>2187</v>
      </c>
      <c r="Q1165" s="81" t="s">
        <v>43</v>
      </c>
      <c r="R1165" s="81" t="s">
        <v>46</v>
      </c>
      <c r="S1165" s="81" t="s">
        <v>47</v>
      </c>
      <c r="T1165" s="81" t="s">
        <v>48</v>
      </c>
      <c r="U1165" s="81" t="s">
        <v>48</v>
      </c>
      <c r="V1165" s="81" t="s">
        <v>48</v>
      </c>
      <c r="W1165" s="81" t="s">
        <v>49</v>
      </c>
      <c r="X1165" s="81" t="s">
        <v>48</v>
      </c>
      <c r="Y1165" s="81" t="s">
        <v>48</v>
      </c>
    </row>
    <row r="1166" spans="1:25" x14ac:dyDescent="0.3">
      <c r="A1166" s="16">
        <v>7502240450902</v>
      </c>
      <c r="B1166" s="81" t="s">
        <v>43</v>
      </c>
      <c r="C1166" s="81" t="s">
        <v>1080</v>
      </c>
      <c r="D1166" s="81" t="s">
        <v>45</v>
      </c>
      <c r="E1166" s="81" t="s">
        <v>2427</v>
      </c>
      <c r="F1166" s="81" t="s">
        <v>2428</v>
      </c>
      <c r="G1166" s="81" t="s">
        <v>3655</v>
      </c>
      <c r="H1166" s="81" t="s">
        <v>3097</v>
      </c>
      <c r="I1166" s="81" t="s">
        <v>6421</v>
      </c>
      <c r="J1166" s="81" t="s">
        <v>2186</v>
      </c>
      <c r="K1166" s="81" t="s">
        <v>6421</v>
      </c>
      <c r="L1166" s="81" t="s">
        <v>2392</v>
      </c>
      <c r="M1166" s="81" t="s">
        <v>6421</v>
      </c>
      <c r="N1166" s="81" t="s">
        <v>2231</v>
      </c>
      <c r="O1166" s="81" t="s">
        <v>2187</v>
      </c>
      <c r="P1166" s="81" t="s">
        <v>2187</v>
      </c>
      <c r="Q1166" s="81" t="s">
        <v>43</v>
      </c>
      <c r="R1166" s="81" t="s">
        <v>46</v>
      </c>
      <c r="S1166" s="81" t="s">
        <v>46</v>
      </c>
      <c r="T1166" s="81" t="s">
        <v>48</v>
      </c>
      <c r="U1166" s="81" t="s">
        <v>48</v>
      </c>
      <c r="V1166" s="81" t="s">
        <v>48</v>
      </c>
      <c r="W1166" s="81" t="s">
        <v>49</v>
      </c>
      <c r="X1166" s="81" t="s">
        <v>48</v>
      </c>
      <c r="Y1166" s="81" t="s">
        <v>48</v>
      </c>
    </row>
    <row r="1167" spans="1:25" x14ac:dyDescent="0.3">
      <c r="A1167" s="16">
        <v>7791293028781</v>
      </c>
      <c r="B1167" s="81" t="s">
        <v>43</v>
      </c>
      <c r="C1167" s="81" t="s">
        <v>1081</v>
      </c>
      <c r="D1167" s="81" t="s">
        <v>45</v>
      </c>
      <c r="E1167" s="81" t="s">
        <v>2545</v>
      </c>
      <c r="F1167" s="81" t="s">
        <v>2248</v>
      </c>
      <c r="G1167" s="81" t="s">
        <v>6271</v>
      </c>
      <c r="H1167" s="81" t="s">
        <v>3657</v>
      </c>
      <c r="I1167" s="81" t="s">
        <v>6422</v>
      </c>
      <c r="J1167" s="81" t="s">
        <v>2186</v>
      </c>
      <c r="K1167" s="81" t="s">
        <v>6422</v>
      </c>
      <c r="L1167" s="81" t="s">
        <v>2392</v>
      </c>
      <c r="M1167" s="81" t="s">
        <v>6422</v>
      </c>
      <c r="N1167" s="81" t="s">
        <v>2231</v>
      </c>
      <c r="O1167" s="81" t="s">
        <v>2187</v>
      </c>
      <c r="P1167" s="81" t="s">
        <v>2187</v>
      </c>
      <c r="Q1167" s="81" t="s">
        <v>43</v>
      </c>
      <c r="R1167" s="81" t="s">
        <v>524</v>
      </c>
      <c r="S1167" s="81" t="s">
        <v>525</v>
      </c>
      <c r="T1167" s="81" t="s">
        <v>48</v>
      </c>
      <c r="U1167" s="81" t="s">
        <v>48</v>
      </c>
      <c r="V1167" s="81" t="s">
        <v>49</v>
      </c>
      <c r="W1167" s="81" t="s">
        <v>48</v>
      </c>
      <c r="X1167" s="81" t="s">
        <v>48</v>
      </c>
      <c r="Y1167" s="81" t="s">
        <v>48</v>
      </c>
    </row>
    <row r="1168" spans="1:25" x14ac:dyDescent="0.3">
      <c r="A1168" s="16">
        <v>7791293025780</v>
      </c>
      <c r="B1168" s="81" t="s">
        <v>43</v>
      </c>
      <c r="C1168" s="81" t="s">
        <v>1082</v>
      </c>
      <c r="D1168" s="81" t="s">
        <v>45</v>
      </c>
      <c r="E1168" s="81" t="s">
        <v>2294</v>
      </c>
      <c r="F1168" s="81" t="s">
        <v>2295</v>
      </c>
      <c r="G1168" s="81" t="s">
        <v>4840</v>
      </c>
      <c r="H1168" s="81" t="s">
        <v>6423</v>
      </c>
      <c r="I1168" s="81" t="s">
        <v>6424</v>
      </c>
      <c r="J1168" s="81" t="s">
        <v>2186</v>
      </c>
      <c r="K1168" s="81" t="s">
        <v>6424</v>
      </c>
      <c r="L1168" s="81" t="s">
        <v>2392</v>
      </c>
      <c r="M1168" s="81" t="s">
        <v>6424</v>
      </c>
      <c r="N1168" s="81" t="s">
        <v>2231</v>
      </c>
      <c r="O1168" s="81" t="s">
        <v>2187</v>
      </c>
      <c r="P1168" s="81" t="s">
        <v>2187</v>
      </c>
      <c r="Q1168" s="81" t="s">
        <v>43</v>
      </c>
      <c r="R1168" s="81" t="s">
        <v>524</v>
      </c>
      <c r="S1168" s="81" t="s">
        <v>525</v>
      </c>
      <c r="T1168" s="81" t="s">
        <v>48</v>
      </c>
      <c r="U1168" s="81" t="s">
        <v>48</v>
      </c>
      <c r="V1168" s="81" t="s">
        <v>49</v>
      </c>
      <c r="W1168" s="81" t="s">
        <v>48</v>
      </c>
      <c r="X1168" s="81" t="s">
        <v>48</v>
      </c>
      <c r="Y1168" s="81" t="s">
        <v>48</v>
      </c>
    </row>
    <row r="1169" spans="1:25" x14ac:dyDescent="0.3">
      <c r="A1169" s="16">
        <v>7506306226739</v>
      </c>
      <c r="B1169" s="81" t="s">
        <v>43</v>
      </c>
      <c r="C1169" s="81" t="s">
        <v>1083</v>
      </c>
      <c r="D1169" s="81" t="s">
        <v>45</v>
      </c>
      <c r="E1169" s="81" t="s">
        <v>2233</v>
      </c>
      <c r="F1169" s="81" t="s">
        <v>2234</v>
      </c>
      <c r="G1169" s="81" t="s">
        <v>4839</v>
      </c>
      <c r="H1169" s="81" t="s">
        <v>3657</v>
      </c>
      <c r="I1169" s="81" t="s">
        <v>6268</v>
      </c>
      <c r="J1169" s="81" t="s">
        <v>2186</v>
      </c>
      <c r="K1169" s="81" t="s">
        <v>6268</v>
      </c>
      <c r="L1169" s="81" t="s">
        <v>2392</v>
      </c>
      <c r="M1169" s="81" t="s">
        <v>6268</v>
      </c>
      <c r="N1169" s="81" t="s">
        <v>2231</v>
      </c>
      <c r="O1169" s="81" t="s">
        <v>2187</v>
      </c>
      <c r="P1169" s="81" t="s">
        <v>2187</v>
      </c>
      <c r="Q1169" s="81" t="s">
        <v>43</v>
      </c>
      <c r="R1169" s="81" t="s">
        <v>524</v>
      </c>
      <c r="S1169" s="81" t="s">
        <v>525</v>
      </c>
      <c r="T1169" s="81" t="s">
        <v>48</v>
      </c>
      <c r="U1169" s="81" t="s">
        <v>48</v>
      </c>
      <c r="V1169" s="81" t="s">
        <v>49</v>
      </c>
      <c r="W1169" s="81" t="s">
        <v>48</v>
      </c>
      <c r="X1169" s="81" t="s">
        <v>48</v>
      </c>
      <c r="Y1169" s="81" t="s">
        <v>48</v>
      </c>
    </row>
    <row r="1170" spans="1:25" x14ac:dyDescent="0.3">
      <c r="A1170" s="16">
        <v>7506306213906</v>
      </c>
      <c r="B1170" s="81" t="s">
        <v>43</v>
      </c>
      <c r="C1170" s="81" t="s">
        <v>1084</v>
      </c>
      <c r="D1170" s="81" t="s">
        <v>45</v>
      </c>
      <c r="E1170" s="81" t="s">
        <v>2304</v>
      </c>
      <c r="F1170" s="81" t="s">
        <v>2435</v>
      </c>
      <c r="G1170" s="81" t="s">
        <v>5414</v>
      </c>
      <c r="H1170" s="81" t="s">
        <v>6425</v>
      </c>
      <c r="I1170" s="81" t="s">
        <v>6426</v>
      </c>
      <c r="J1170" s="81" t="s">
        <v>2186</v>
      </c>
      <c r="K1170" s="81" t="s">
        <v>6426</v>
      </c>
      <c r="L1170" s="81" t="s">
        <v>2392</v>
      </c>
      <c r="M1170" s="81" t="s">
        <v>6426</v>
      </c>
      <c r="N1170" s="81" t="s">
        <v>2231</v>
      </c>
      <c r="O1170" s="81" t="s">
        <v>2187</v>
      </c>
      <c r="P1170" s="81" t="s">
        <v>2187</v>
      </c>
      <c r="Q1170" s="81" t="s">
        <v>43</v>
      </c>
      <c r="R1170" s="81" t="s">
        <v>524</v>
      </c>
      <c r="S1170" s="81" t="s">
        <v>525</v>
      </c>
      <c r="T1170" s="81" t="s">
        <v>48</v>
      </c>
      <c r="U1170" s="81" t="s">
        <v>48</v>
      </c>
      <c r="V1170" s="81" t="s">
        <v>49</v>
      </c>
      <c r="W1170" s="81" t="s">
        <v>48</v>
      </c>
      <c r="X1170" s="81" t="s">
        <v>48</v>
      </c>
      <c r="Y1170" s="81" t="s">
        <v>48</v>
      </c>
    </row>
    <row r="1171" spans="1:25" x14ac:dyDescent="0.3">
      <c r="A1171" s="16">
        <v>7791293025803</v>
      </c>
      <c r="B1171" s="81" t="s">
        <v>43</v>
      </c>
      <c r="C1171" s="81" t="s">
        <v>1085</v>
      </c>
      <c r="D1171" s="81" t="s">
        <v>45</v>
      </c>
      <c r="E1171" s="81" t="s">
        <v>2313</v>
      </c>
      <c r="F1171" s="81" t="s">
        <v>2352</v>
      </c>
      <c r="G1171" s="81" t="s">
        <v>5414</v>
      </c>
      <c r="H1171" s="81" t="s">
        <v>3657</v>
      </c>
      <c r="I1171" s="81" t="s">
        <v>6268</v>
      </c>
      <c r="J1171" s="81" t="s">
        <v>2186</v>
      </c>
      <c r="K1171" s="81" t="s">
        <v>6268</v>
      </c>
      <c r="L1171" s="81" t="s">
        <v>2392</v>
      </c>
      <c r="M1171" s="81" t="s">
        <v>6268</v>
      </c>
      <c r="N1171" s="81" t="s">
        <v>2231</v>
      </c>
      <c r="O1171" s="81" t="s">
        <v>2187</v>
      </c>
      <c r="P1171" s="81" t="s">
        <v>2187</v>
      </c>
      <c r="Q1171" s="81" t="s">
        <v>43</v>
      </c>
      <c r="R1171" s="81" t="s">
        <v>524</v>
      </c>
      <c r="S1171" s="81" t="s">
        <v>525</v>
      </c>
      <c r="T1171" s="81" t="s">
        <v>48</v>
      </c>
      <c r="U1171" s="81" t="s">
        <v>48</v>
      </c>
      <c r="V1171" s="81" t="s">
        <v>49</v>
      </c>
      <c r="W1171" s="81" t="s">
        <v>48</v>
      </c>
      <c r="X1171" s="81" t="s">
        <v>48</v>
      </c>
      <c r="Y1171" s="81" t="s">
        <v>48</v>
      </c>
    </row>
    <row r="1172" spans="1:25" x14ac:dyDescent="0.3">
      <c r="A1172" s="16">
        <v>7791293025865</v>
      </c>
      <c r="B1172" s="81" t="s">
        <v>43</v>
      </c>
      <c r="C1172" s="81" t="s">
        <v>1086</v>
      </c>
      <c r="D1172" s="81" t="s">
        <v>45</v>
      </c>
      <c r="E1172" s="81" t="s">
        <v>2304</v>
      </c>
      <c r="F1172" s="81" t="s">
        <v>2435</v>
      </c>
      <c r="G1172" s="81" t="s">
        <v>3478</v>
      </c>
      <c r="H1172" s="81" t="s">
        <v>3657</v>
      </c>
      <c r="I1172" s="81" t="s">
        <v>6268</v>
      </c>
      <c r="J1172" s="81" t="s">
        <v>2186</v>
      </c>
      <c r="K1172" s="81" t="s">
        <v>6268</v>
      </c>
      <c r="L1172" s="81" t="s">
        <v>2392</v>
      </c>
      <c r="M1172" s="81" t="s">
        <v>6268</v>
      </c>
      <c r="N1172" s="81" t="s">
        <v>2231</v>
      </c>
      <c r="O1172" s="81" t="s">
        <v>2187</v>
      </c>
      <c r="P1172" s="81" t="s">
        <v>2187</v>
      </c>
      <c r="Q1172" s="81" t="s">
        <v>43</v>
      </c>
      <c r="R1172" s="81" t="s">
        <v>524</v>
      </c>
      <c r="S1172" s="81" t="s">
        <v>525</v>
      </c>
      <c r="T1172" s="81" t="s">
        <v>48</v>
      </c>
      <c r="U1172" s="81" t="s">
        <v>48</v>
      </c>
      <c r="V1172" s="81" t="s">
        <v>49</v>
      </c>
      <c r="W1172" s="81" t="s">
        <v>48</v>
      </c>
      <c r="X1172" s="81" t="s">
        <v>48</v>
      </c>
      <c r="Y1172" s="81" t="s">
        <v>48</v>
      </c>
    </row>
    <row r="1173" spans="1:25" x14ac:dyDescent="0.3">
      <c r="A1173" s="16">
        <v>7506306203044</v>
      </c>
      <c r="B1173" s="81" t="s">
        <v>43</v>
      </c>
      <c r="C1173" s="81" t="s">
        <v>1087</v>
      </c>
      <c r="D1173" s="81" t="s">
        <v>45</v>
      </c>
      <c r="E1173" s="81" t="s">
        <v>2304</v>
      </c>
      <c r="F1173" s="81" t="s">
        <v>2409</v>
      </c>
      <c r="G1173" s="81" t="s">
        <v>5414</v>
      </c>
      <c r="H1173" s="81" t="s">
        <v>6427</v>
      </c>
      <c r="I1173" s="81" t="s">
        <v>6428</v>
      </c>
      <c r="J1173" s="81" t="s">
        <v>2186</v>
      </c>
      <c r="K1173" s="81" t="s">
        <v>6428</v>
      </c>
      <c r="L1173" s="81" t="s">
        <v>2392</v>
      </c>
      <c r="M1173" s="81" t="s">
        <v>6428</v>
      </c>
      <c r="N1173" s="81" t="s">
        <v>2231</v>
      </c>
      <c r="O1173" s="81" t="s">
        <v>2187</v>
      </c>
      <c r="P1173" s="81" t="s">
        <v>2187</v>
      </c>
      <c r="Q1173" s="81" t="s">
        <v>43</v>
      </c>
      <c r="R1173" s="81" t="s">
        <v>524</v>
      </c>
      <c r="S1173" s="81" t="s">
        <v>525</v>
      </c>
      <c r="T1173" s="81" t="s">
        <v>48</v>
      </c>
      <c r="U1173" s="81" t="s">
        <v>48</v>
      </c>
      <c r="V1173" s="81" t="s">
        <v>49</v>
      </c>
      <c r="W1173" s="81" t="s">
        <v>48</v>
      </c>
      <c r="X1173" s="81" t="s">
        <v>48</v>
      </c>
      <c r="Y1173" s="81" t="s">
        <v>48</v>
      </c>
    </row>
    <row r="1174" spans="1:25" x14ac:dyDescent="0.3">
      <c r="A1174" s="16">
        <v>7506306213081</v>
      </c>
      <c r="B1174" s="81" t="s">
        <v>43</v>
      </c>
      <c r="C1174" s="81" t="s">
        <v>1088</v>
      </c>
      <c r="D1174" s="81" t="s">
        <v>45</v>
      </c>
      <c r="E1174" s="81" t="s">
        <v>2313</v>
      </c>
      <c r="F1174" s="81" t="s">
        <v>2352</v>
      </c>
      <c r="G1174" s="81" t="s">
        <v>3478</v>
      </c>
      <c r="H1174" s="81" t="s">
        <v>5267</v>
      </c>
      <c r="I1174" s="81" t="s">
        <v>5268</v>
      </c>
      <c r="J1174" s="81" t="s">
        <v>2186</v>
      </c>
      <c r="K1174" s="81" t="s">
        <v>5269</v>
      </c>
      <c r="L1174" s="81" t="s">
        <v>2392</v>
      </c>
      <c r="M1174" s="81" t="s">
        <v>5270</v>
      </c>
      <c r="N1174" s="81" t="s">
        <v>2231</v>
      </c>
      <c r="O1174" s="81" t="s">
        <v>2187</v>
      </c>
      <c r="P1174" s="81" t="s">
        <v>2187</v>
      </c>
      <c r="Q1174" s="81" t="s">
        <v>43</v>
      </c>
      <c r="R1174" s="81" t="s">
        <v>524</v>
      </c>
      <c r="S1174" s="81" t="s">
        <v>525</v>
      </c>
      <c r="T1174" s="81" t="s">
        <v>48</v>
      </c>
      <c r="U1174" s="81" t="s">
        <v>48</v>
      </c>
      <c r="V1174" s="81" t="s">
        <v>49</v>
      </c>
      <c r="W1174" s="81" t="s">
        <v>48</v>
      </c>
      <c r="X1174" s="81" t="s">
        <v>48</v>
      </c>
      <c r="Y1174" s="81" t="s">
        <v>48</v>
      </c>
    </row>
    <row r="1175" spans="1:25" x14ac:dyDescent="0.3">
      <c r="A1175" s="16">
        <v>7791293025797</v>
      </c>
      <c r="B1175" s="81" t="s">
        <v>43</v>
      </c>
      <c r="C1175" s="81" t="s">
        <v>1089</v>
      </c>
      <c r="D1175" s="81" t="s">
        <v>45</v>
      </c>
      <c r="E1175" s="81" t="s">
        <v>2210</v>
      </c>
      <c r="F1175" s="81" t="s">
        <v>2606</v>
      </c>
      <c r="G1175" s="81" t="s">
        <v>4839</v>
      </c>
      <c r="H1175" s="81" t="s">
        <v>3657</v>
      </c>
      <c r="I1175" s="81" t="s">
        <v>6269</v>
      </c>
      <c r="J1175" s="81" t="s">
        <v>2186</v>
      </c>
      <c r="K1175" s="81" t="s">
        <v>6269</v>
      </c>
      <c r="L1175" s="81" t="s">
        <v>2392</v>
      </c>
      <c r="M1175" s="81" t="s">
        <v>6269</v>
      </c>
      <c r="N1175" s="81" t="s">
        <v>2231</v>
      </c>
      <c r="O1175" s="81" t="s">
        <v>2187</v>
      </c>
      <c r="P1175" s="81" t="s">
        <v>2187</v>
      </c>
      <c r="Q1175" s="81" t="s">
        <v>43</v>
      </c>
      <c r="R1175" s="81" t="s">
        <v>524</v>
      </c>
      <c r="S1175" s="81" t="s">
        <v>525</v>
      </c>
      <c r="T1175" s="81" t="s">
        <v>48</v>
      </c>
      <c r="U1175" s="81" t="s">
        <v>48</v>
      </c>
      <c r="V1175" s="81" t="s">
        <v>49</v>
      </c>
      <c r="W1175" s="81" t="s">
        <v>48</v>
      </c>
      <c r="X1175" s="81" t="s">
        <v>48</v>
      </c>
      <c r="Y1175" s="81" t="s">
        <v>48</v>
      </c>
    </row>
    <row r="1176" spans="1:25" x14ac:dyDescent="0.3">
      <c r="A1176" s="16">
        <v>7506306245686</v>
      </c>
      <c r="B1176" s="81" t="s">
        <v>43</v>
      </c>
      <c r="C1176" s="81" t="s">
        <v>1090</v>
      </c>
      <c r="D1176" s="81" t="s">
        <v>45</v>
      </c>
      <c r="E1176" s="81" t="s">
        <v>2210</v>
      </c>
      <c r="F1176" s="81" t="s">
        <v>2211</v>
      </c>
      <c r="G1176" s="81" t="s">
        <v>3658</v>
      </c>
      <c r="H1176" s="81" t="s">
        <v>3594</v>
      </c>
      <c r="I1176" s="81" t="s">
        <v>6429</v>
      </c>
      <c r="J1176" s="81" t="s">
        <v>2186</v>
      </c>
      <c r="K1176" s="81" t="s">
        <v>6429</v>
      </c>
      <c r="L1176" s="81" t="s">
        <v>2392</v>
      </c>
      <c r="M1176" s="81" t="s">
        <v>6429</v>
      </c>
      <c r="N1176" s="81" t="s">
        <v>2231</v>
      </c>
      <c r="O1176" s="81" t="s">
        <v>2187</v>
      </c>
      <c r="P1176" s="81" t="s">
        <v>2187</v>
      </c>
      <c r="Q1176" s="81" t="s">
        <v>43</v>
      </c>
      <c r="R1176" s="81" t="s">
        <v>524</v>
      </c>
      <c r="S1176" s="81" t="s">
        <v>525</v>
      </c>
      <c r="T1176" s="81" t="s">
        <v>48</v>
      </c>
      <c r="U1176" s="81" t="s">
        <v>48</v>
      </c>
      <c r="V1176" s="81" t="s">
        <v>49</v>
      </c>
      <c r="W1176" s="81" t="s">
        <v>48</v>
      </c>
      <c r="X1176" s="81" t="s">
        <v>48</v>
      </c>
      <c r="Y1176" s="81" t="s">
        <v>48</v>
      </c>
    </row>
    <row r="1177" spans="1:25" x14ac:dyDescent="0.3">
      <c r="A1177" s="16">
        <v>7506306244795</v>
      </c>
      <c r="B1177" s="81" t="s">
        <v>43</v>
      </c>
      <c r="C1177" s="81" t="s">
        <v>1091</v>
      </c>
      <c r="D1177" s="81" t="s">
        <v>45</v>
      </c>
      <c r="E1177" s="81" t="s">
        <v>2304</v>
      </c>
      <c r="F1177" s="81" t="s">
        <v>2435</v>
      </c>
      <c r="G1177" s="81" t="s">
        <v>3478</v>
      </c>
      <c r="H1177" s="81" t="s">
        <v>3657</v>
      </c>
      <c r="I1177" s="81" t="s">
        <v>6268</v>
      </c>
      <c r="J1177" s="81" t="s">
        <v>2186</v>
      </c>
      <c r="K1177" s="81" t="s">
        <v>6268</v>
      </c>
      <c r="L1177" s="81" t="s">
        <v>2392</v>
      </c>
      <c r="M1177" s="81" t="s">
        <v>6268</v>
      </c>
      <c r="N1177" s="81" t="s">
        <v>2231</v>
      </c>
      <c r="O1177" s="81" t="s">
        <v>2187</v>
      </c>
      <c r="P1177" s="81" t="s">
        <v>2187</v>
      </c>
      <c r="Q1177" s="81" t="s">
        <v>43</v>
      </c>
      <c r="R1177" s="81" t="s">
        <v>524</v>
      </c>
      <c r="S1177" s="81" t="s">
        <v>525</v>
      </c>
      <c r="T1177" s="81" t="s">
        <v>48</v>
      </c>
      <c r="U1177" s="81" t="s">
        <v>48</v>
      </c>
      <c r="V1177" s="81" t="s">
        <v>49</v>
      </c>
      <c r="W1177" s="81" t="s">
        <v>48</v>
      </c>
      <c r="X1177" s="81" t="s">
        <v>48</v>
      </c>
      <c r="Y1177" s="81" t="s">
        <v>48</v>
      </c>
    </row>
    <row r="1178" spans="1:25" x14ac:dyDescent="0.3">
      <c r="A1178" s="16">
        <v>7506486801016</v>
      </c>
      <c r="B1178" s="81" t="s">
        <v>43</v>
      </c>
      <c r="C1178" s="81" t="s">
        <v>3659</v>
      </c>
      <c r="D1178" s="81" t="s">
        <v>45</v>
      </c>
      <c r="E1178" s="81" t="s">
        <v>2369</v>
      </c>
      <c r="F1178" s="81" t="s">
        <v>2357</v>
      </c>
      <c r="G1178" s="81" t="s">
        <v>5120</v>
      </c>
      <c r="H1178" s="81" t="s">
        <v>2518</v>
      </c>
      <c r="I1178" s="81" t="s">
        <v>4419</v>
      </c>
      <c r="J1178" s="81" t="s">
        <v>2186</v>
      </c>
      <c r="K1178" s="81" t="s">
        <v>4420</v>
      </c>
      <c r="L1178" s="81" t="s">
        <v>2392</v>
      </c>
      <c r="M1178" s="81" t="s">
        <v>2310</v>
      </c>
      <c r="N1178" s="81" t="s">
        <v>2231</v>
      </c>
      <c r="O1178" s="81" t="s">
        <v>2187</v>
      </c>
      <c r="P1178" s="81" t="s">
        <v>2187</v>
      </c>
      <c r="Q1178" s="81" t="s">
        <v>43</v>
      </c>
      <c r="R1178" s="81" t="s">
        <v>122</v>
      </c>
      <c r="S1178" s="81" t="s">
        <v>122</v>
      </c>
      <c r="T1178" s="81" t="s">
        <v>48</v>
      </c>
      <c r="U1178" s="81" t="s">
        <v>48</v>
      </c>
      <c r="V1178" s="81" t="s">
        <v>49</v>
      </c>
      <c r="W1178" s="81" t="s">
        <v>48</v>
      </c>
      <c r="X1178" s="81" t="s">
        <v>48</v>
      </c>
      <c r="Y1178" s="81" t="s">
        <v>48</v>
      </c>
    </row>
    <row r="1179" spans="1:25" x14ac:dyDescent="0.3">
      <c r="A1179" s="16">
        <v>7501070612436</v>
      </c>
      <c r="B1179" s="81" t="s">
        <v>43</v>
      </c>
      <c r="C1179" s="81" t="s">
        <v>1092</v>
      </c>
      <c r="D1179" s="81" t="s">
        <v>45</v>
      </c>
      <c r="E1179" s="81" t="s">
        <v>2465</v>
      </c>
      <c r="F1179" s="81" t="s">
        <v>2257</v>
      </c>
      <c r="G1179" s="81" t="s">
        <v>3660</v>
      </c>
      <c r="H1179" s="81" t="s">
        <v>3661</v>
      </c>
      <c r="I1179" s="81" t="s">
        <v>3662</v>
      </c>
      <c r="J1179" s="81" t="s">
        <v>2186</v>
      </c>
      <c r="K1179" s="81" t="s">
        <v>3663</v>
      </c>
      <c r="L1179" s="81" t="s">
        <v>2392</v>
      </c>
      <c r="M1179" s="81" t="s">
        <v>2904</v>
      </c>
      <c r="N1179" s="81" t="s">
        <v>2231</v>
      </c>
      <c r="O1179" s="81" t="s">
        <v>2187</v>
      </c>
      <c r="P1179" s="81" t="s">
        <v>2187</v>
      </c>
      <c r="Q1179" s="81" t="s">
        <v>43</v>
      </c>
      <c r="R1179" s="81" t="s">
        <v>46</v>
      </c>
      <c r="S1179" s="81" t="s">
        <v>47</v>
      </c>
      <c r="T1179" s="81" t="s">
        <v>48</v>
      </c>
      <c r="U1179" s="81" t="s">
        <v>48</v>
      </c>
      <c r="V1179" s="81" t="s">
        <v>48</v>
      </c>
      <c r="W1179" s="81" t="s">
        <v>49</v>
      </c>
      <c r="X1179" s="81" t="s">
        <v>48</v>
      </c>
      <c r="Y1179" s="81" t="s">
        <v>48</v>
      </c>
    </row>
    <row r="1180" spans="1:25" x14ac:dyDescent="0.3">
      <c r="A1180" s="16">
        <v>7506486801436</v>
      </c>
      <c r="B1180" s="81" t="s">
        <v>43</v>
      </c>
      <c r="C1180" s="81" t="s">
        <v>1093</v>
      </c>
      <c r="D1180" s="81" t="s">
        <v>45</v>
      </c>
      <c r="E1180" s="81" t="s">
        <v>2363</v>
      </c>
      <c r="F1180" s="81" t="s">
        <v>2364</v>
      </c>
      <c r="G1180" s="81" t="s">
        <v>3081</v>
      </c>
      <c r="H1180" s="81" t="s">
        <v>3290</v>
      </c>
      <c r="I1180" s="81" t="s">
        <v>6430</v>
      </c>
      <c r="J1180" s="81" t="s">
        <v>2186</v>
      </c>
      <c r="K1180" s="81" t="s">
        <v>6430</v>
      </c>
      <c r="L1180" s="81" t="s">
        <v>2392</v>
      </c>
      <c r="M1180" s="81" t="s">
        <v>6430</v>
      </c>
      <c r="N1180" s="81" t="s">
        <v>2231</v>
      </c>
      <c r="O1180" s="81" t="s">
        <v>2187</v>
      </c>
      <c r="P1180" s="81" t="s">
        <v>2187</v>
      </c>
      <c r="Q1180" s="81" t="s">
        <v>43</v>
      </c>
      <c r="R1180" s="81" t="s">
        <v>524</v>
      </c>
      <c r="S1180" s="81" t="s">
        <v>525</v>
      </c>
      <c r="T1180" s="81" t="s">
        <v>48</v>
      </c>
      <c r="U1180" s="81" t="s">
        <v>48</v>
      </c>
      <c r="V1180" s="81" t="s">
        <v>49</v>
      </c>
      <c r="W1180" s="81" t="s">
        <v>48</v>
      </c>
      <c r="X1180" s="81" t="s">
        <v>48</v>
      </c>
      <c r="Y1180" s="81" t="s">
        <v>48</v>
      </c>
    </row>
    <row r="1181" spans="1:25" x14ac:dyDescent="0.3">
      <c r="A1181" s="16">
        <v>7506486801528</v>
      </c>
      <c r="B1181" s="81" t="s">
        <v>43</v>
      </c>
      <c r="C1181" s="81" t="s">
        <v>1094</v>
      </c>
      <c r="D1181" s="81" t="s">
        <v>45</v>
      </c>
      <c r="E1181" s="81" t="s">
        <v>2363</v>
      </c>
      <c r="F1181" s="81" t="s">
        <v>2364</v>
      </c>
      <c r="G1181" s="81" t="s">
        <v>3081</v>
      </c>
      <c r="H1181" s="81" t="s">
        <v>3290</v>
      </c>
      <c r="I1181" s="81" t="s">
        <v>6430</v>
      </c>
      <c r="J1181" s="81" t="s">
        <v>2186</v>
      </c>
      <c r="K1181" s="81" t="s">
        <v>6430</v>
      </c>
      <c r="L1181" s="81" t="s">
        <v>2392</v>
      </c>
      <c r="M1181" s="81" t="s">
        <v>6430</v>
      </c>
      <c r="N1181" s="81" t="s">
        <v>2231</v>
      </c>
      <c r="O1181" s="81" t="s">
        <v>2187</v>
      </c>
      <c r="P1181" s="81" t="s">
        <v>2187</v>
      </c>
      <c r="Q1181" s="81" t="s">
        <v>43</v>
      </c>
      <c r="R1181" s="81" t="s">
        <v>524</v>
      </c>
      <c r="S1181" s="81" t="s">
        <v>525</v>
      </c>
      <c r="T1181" s="81" t="s">
        <v>48</v>
      </c>
      <c r="U1181" s="81" t="s">
        <v>48</v>
      </c>
      <c r="V1181" s="81" t="s">
        <v>49</v>
      </c>
      <c r="W1181" s="81" t="s">
        <v>48</v>
      </c>
      <c r="X1181" s="81" t="s">
        <v>48</v>
      </c>
      <c r="Y1181" s="81" t="s">
        <v>48</v>
      </c>
    </row>
    <row r="1182" spans="1:25" x14ac:dyDescent="0.3">
      <c r="A1182" s="16">
        <v>7501006870121</v>
      </c>
      <c r="B1182" s="81" t="s">
        <v>43</v>
      </c>
      <c r="C1182" s="81" t="s">
        <v>1095</v>
      </c>
      <c r="D1182" s="81" t="s">
        <v>45</v>
      </c>
      <c r="E1182" s="81" t="s">
        <v>2179</v>
      </c>
      <c r="F1182" s="81" t="s">
        <v>2704</v>
      </c>
      <c r="G1182" s="81" t="s">
        <v>4317</v>
      </c>
      <c r="H1182" s="81" t="s">
        <v>6431</v>
      </c>
      <c r="I1182" s="81" t="s">
        <v>6432</v>
      </c>
      <c r="J1182" s="81" t="s">
        <v>2186</v>
      </c>
      <c r="K1182" s="81" t="s">
        <v>6432</v>
      </c>
      <c r="L1182" s="81" t="s">
        <v>2392</v>
      </c>
      <c r="M1182" s="81" t="s">
        <v>6432</v>
      </c>
      <c r="N1182" s="81" t="s">
        <v>2231</v>
      </c>
      <c r="O1182" s="81" t="s">
        <v>2187</v>
      </c>
      <c r="P1182" s="81" t="s">
        <v>2187</v>
      </c>
      <c r="Q1182" s="81" t="s">
        <v>43</v>
      </c>
      <c r="R1182" s="81" t="s">
        <v>524</v>
      </c>
      <c r="S1182" s="81" t="s">
        <v>525</v>
      </c>
      <c r="T1182" s="81" t="s">
        <v>48</v>
      </c>
      <c r="U1182" s="81" t="s">
        <v>48</v>
      </c>
      <c r="V1182" s="81" t="s">
        <v>49</v>
      </c>
      <c r="W1182" s="81" t="s">
        <v>48</v>
      </c>
      <c r="X1182" s="81" t="s">
        <v>48</v>
      </c>
      <c r="Y1182" s="81" t="s">
        <v>48</v>
      </c>
    </row>
    <row r="1183" spans="1:25" x14ac:dyDescent="0.3">
      <c r="A1183" s="16">
        <v>7502259890331</v>
      </c>
      <c r="B1183" s="81" t="s">
        <v>43</v>
      </c>
      <c r="C1183" s="81" t="s">
        <v>2007</v>
      </c>
      <c r="D1183" s="81" t="s">
        <v>45</v>
      </c>
      <c r="E1183" s="81" t="s">
        <v>2227</v>
      </c>
      <c r="F1183" s="81" t="s">
        <v>2227</v>
      </c>
      <c r="G1183" s="81" t="s">
        <v>5271</v>
      </c>
      <c r="H1183" s="81" t="s">
        <v>3594</v>
      </c>
      <c r="I1183" s="81" t="s">
        <v>2950</v>
      </c>
      <c r="J1183" s="81" t="s">
        <v>2186</v>
      </c>
      <c r="K1183" s="81" t="s">
        <v>2950</v>
      </c>
      <c r="L1183" s="81" t="s">
        <v>2392</v>
      </c>
      <c r="M1183" s="81" t="s">
        <v>2950</v>
      </c>
      <c r="N1183" s="81" t="s">
        <v>2231</v>
      </c>
      <c r="O1183" s="81" t="s">
        <v>2187</v>
      </c>
      <c r="P1183" s="81" t="s">
        <v>2187</v>
      </c>
      <c r="Q1183" s="81" t="s">
        <v>43</v>
      </c>
      <c r="R1183" s="81" t="s">
        <v>46</v>
      </c>
      <c r="S1183" s="81" t="s">
        <v>46</v>
      </c>
      <c r="T1183" s="81" t="s">
        <v>48</v>
      </c>
      <c r="U1183" s="81" t="s">
        <v>48</v>
      </c>
      <c r="V1183" s="81" t="s">
        <v>49</v>
      </c>
      <c r="W1183" s="81" t="s">
        <v>48</v>
      </c>
      <c r="X1183" s="81" t="s">
        <v>48</v>
      </c>
      <c r="Y1183" s="81" t="s">
        <v>48</v>
      </c>
    </row>
    <row r="1184" spans="1:25" x14ac:dyDescent="0.3">
      <c r="A1184" s="16">
        <v>7501384504908</v>
      </c>
      <c r="B1184" s="81" t="s">
        <v>43</v>
      </c>
      <c r="C1184" s="81" t="s">
        <v>1096</v>
      </c>
      <c r="D1184" s="81" t="s">
        <v>45</v>
      </c>
      <c r="E1184" s="81" t="s">
        <v>2180</v>
      </c>
      <c r="F1184" s="81" t="s">
        <v>2363</v>
      </c>
      <c r="G1184" s="81" t="s">
        <v>4495</v>
      </c>
      <c r="H1184" s="81" t="s">
        <v>2343</v>
      </c>
      <c r="I1184" s="81" t="s">
        <v>5168</v>
      </c>
      <c r="J1184" s="81" t="s">
        <v>2186</v>
      </c>
      <c r="K1184" s="81" t="s">
        <v>5168</v>
      </c>
      <c r="L1184" s="81" t="s">
        <v>2392</v>
      </c>
      <c r="M1184" s="81" t="s">
        <v>5168</v>
      </c>
      <c r="N1184" s="81" t="s">
        <v>2231</v>
      </c>
      <c r="O1184" s="81" t="s">
        <v>2187</v>
      </c>
      <c r="P1184" s="81" t="s">
        <v>2187</v>
      </c>
      <c r="Q1184" s="81" t="s">
        <v>43</v>
      </c>
      <c r="R1184" s="81" t="s">
        <v>46</v>
      </c>
      <c r="S1184" s="81" t="s">
        <v>47</v>
      </c>
      <c r="T1184" s="81" t="s">
        <v>48</v>
      </c>
      <c r="U1184" s="81" t="s">
        <v>48</v>
      </c>
      <c r="V1184" s="81" t="s">
        <v>48</v>
      </c>
      <c r="W1184" s="81" t="s">
        <v>49</v>
      </c>
      <c r="X1184" s="81" t="s">
        <v>48</v>
      </c>
      <c r="Y1184" s="81" t="s">
        <v>48</v>
      </c>
    </row>
    <row r="1185" spans="1:25" x14ac:dyDescent="0.3">
      <c r="A1185" s="16">
        <v>7501059233072</v>
      </c>
      <c r="B1185" s="81" t="s">
        <v>43</v>
      </c>
      <c r="C1185" s="81" t="s">
        <v>4869</v>
      </c>
      <c r="D1185" s="81" t="s">
        <v>45</v>
      </c>
      <c r="E1185" s="81" t="s">
        <v>2227</v>
      </c>
      <c r="F1185" s="81" t="s">
        <v>2227</v>
      </c>
      <c r="G1185" s="81" t="s">
        <v>5121</v>
      </c>
      <c r="H1185" s="81" t="s">
        <v>6433</v>
      </c>
      <c r="I1185" s="81" t="s">
        <v>6434</v>
      </c>
      <c r="J1185" s="81" t="s">
        <v>2186</v>
      </c>
      <c r="K1185" s="81" t="s">
        <v>6434</v>
      </c>
      <c r="L1185" s="81" t="s">
        <v>2392</v>
      </c>
      <c r="M1185" s="81" t="s">
        <v>6434</v>
      </c>
      <c r="N1185" s="81" t="s">
        <v>2231</v>
      </c>
      <c r="O1185" s="81" t="s">
        <v>2187</v>
      </c>
      <c r="P1185" s="81" t="s">
        <v>2187</v>
      </c>
      <c r="Q1185" s="81" t="s">
        <v>43</v>
      </c>
      <c r="R1185" s="81" t="s">
        <v>506</v>
      </c>
      <c r="S1185" s="81" t="s">
        <v>506</v>
      </c>
      <c r="T1185" s="81" t="s">
        <v>48</v>
      </c>
      <c r="U1185" s="81" t="s">
        <v>48</v>
      </c>
      <c r="V1185" s="81" t="s">
        <v>48</v>
      </c>
      <c r="W1185" s="81" t="s">
        <v>49</v>
      </c>
      <c r="X1185" s="81" t="s">
        <v>48</v>
      </c>
      <c r="Y1185" s="81" t="s">
        <v>48</v>
      </c>
    </row>
    <row r="1186" spans="1:25" x14ac:dyDescent="0.3">
      <c r="A1186" s="16">
        <v>7502009744594</v>
      </c>
      <c r="B1186" s="81" t="s">
        <v>43</v>
      </c>
      <c r="C1186" s="81" t="s">
        <v>1097</v>
      </c>
      <c r="D1186" s="81" t="s">
        <v>45</v>
      </c>
      <c r="E1186" s="81" t="s">
        <v>2227</v>
      </c>
      <c r="F1186" s="81" t="s">
        <v>2227</v>
      </c>
      <c r="G1186" s="81" t="s">
        <v>3506</v>
      </c>
      <c r="H1186" s="81" t="s">
        <v>2224</v>
      </c>
      <c r="I1186" s="81" t="s">
        <v>6435</v>
      </c>
      <c r="J1186" s="81" t="s">
        <v>2186</v>
      </c>
      <c r="K1186" s="81" t="s">
        <v>6435</v>
      </c>
      <c r="L1186" s="81" t="s">
        <v>2392</v>
      </c>
      <c r="M1186" s="81" t="s">
        <v>6435</v>
      </c>
      <c r="N1186" s="81" t="s">
        <v>2231</v>
      </c>
      <c r="O1186" s="81" t="s">
        <v>2187</v>
      </c>
      <c r="P1186" s="81" t="s">
        <v>2187</v>
      </c>
      <c r="Q1186" s="81" t="s">
        <v>43</v>
      </c>
      <c r="R1186" s="81" t="s">
        <v>46</v>
      </c>
      <c r="S1186" s="81" t="s">
        <v>47</v>
      </c>
      <c r="T1186" s="81" t="s">
        <v>48</v>
      </c>
      <c r="U1186" s="81" t="s">
        <v>48</v>
      </c>
      <c r="V1186" s="81" t="s">
        <v>48</v>
      </c>
      <c r="W1186" s="81" t="s">
        <v>49</v>
      </c>
      <c r="X1186" s="81" t="s">
        <v>48</v>
      </c>
      <c r="Y1186" s="81" t="s">
        <v>48</v>
      </c>
    </row>
    <row r="1187" spans="1:25" x14ac:dyDescent="0.3">
      <c r="A1187" s="16">
        <v>7509546690766</v>
      </c>
      <c r="B1187" s="81" t="s">
        <v>43</v>
      </c>
      <c r="C1187" s="81" t="s">
        <v>1098</v>
      </c>
      <c r="D1187" s="81" t="s">
        <v>45</v>
      </c>
      <c r="E1187" s="81" t="s">
        <v>2227</v>
      </c>
      <c r="F1187" s="81" t="s">
        <v>2227</v>
      </c>
      <c r="G1187" s="81" t="s">
        <v>3665</v>
      </c>
      <c r="H1187" s="81" t="s">
        <v>3041</v>
      </c>
      <c r="I1187" s="81" t="s">
        <v>6436</v>
      </c>
      <c r="J1187" s="81" t="s">
        <v>2186</v>
      </c>
      <c r="K1187" s="81" t="s">
        <v>6436</v>
      </c>
      <c r="L1187" s="81" t="s">
        <v>2392</v>
      </c>
      <c r="M1187" s="81" t="s">
        <v>6436</v>
      </c>
      <c r="N1187" s="81" t="s">
        <v>2231</v>
      </c>
      <c r="O1187" s="81" t="s">
        <v>2187</v>
      </c>
      <c r="P1187" s="81" t="s">
        <v>2187</v>
      </c>
      <c r="Q1187" s="81" t="s">
        <v>43</v>
      </c>
      <c r="R1187" s="81" t="s">
        <v>524</v>
      </c>
      <c r="S1187" s="81" t="s">
        <v>525</v>
      </c>
      <c r="T1187" s="81" t="s">
        <v>48</v>
      </c>
      <c r="U1187" s="81" t="s">
        <v>48</v>
      </c>
      <c r="V1187" s="81" t="s">
        <v>49</v>
      </c>
      <c r="W1187" s="81" t="s">
        <v>48</v>
      </c>
      <c r="X1187" s="81" t="s">
        <v>48</v>
      </c>
      <c r="Y1187" s="81" t="s">
        <v>48</v>
      </c>
    </row>
    <row r="1188" spans="1:25" x14ac:dyDescent="0.3">
      <c r="A1188" s="16">
        <v>7506306249776</v>
      </c>
      <c r="B1188" s="81" t="s">
        <v>43</v>
      </c>
      <c r="C1188" s="81" t="s">
        <v>1099</v>
      </c>
      <c r="D1188" s="81" t="s">
        <v>45</v>
      </c>
      <c r="E1188" s="81" t="s">
        <v>2227</v>
      </c>
      <c r="F1188" s="81" t="s">
        <v>2227</v>
      </c>
      <c r="G1188" s="81" t="s">
        <v>3666</v>
      </c>
      <c r="H1188" s="81" t="s">
        <v>6437</v>
      </c>
      <c r="I1188" s="81" t="s">
        <v>6438</v>
      </c>
      <c r="J1188" s="81" t="s">
        <v>2186</v>
      </c>
      <c r="K1188" s="81" t="s">
        <v>6438</v>
      </c>
      <c r="L1188" s="81" t="s">
        <v>2392</v>
      </c>
      <c r="M1188" s="81" t="s">
        <v>6438</v>
      </c>
      <c r="N1188" s="81" t="s">
        <v>2231</v>
      </c>
      <c r="O1188" s="81" t="s">
        <v>2187</v>
      </c>
      <c r="P1188" s="81" t="s">
        <v>2187</v>
      </c>
      <c r="Q1188" s="81" t="s">
        <v>43</v>
      </c>
      <c r="R1188" s="81" t="s">
        <v>524</v>
      </c>
      <c r="S1188" s="81" t="s">
        <v>525</v>
      </c>
      <c r="T1188" s="81" t="s">
        <v>48</v>
      </c>
      <c r="U1188" s="81" t="s">
        <v>48</v>
      </c>
      <c r="V1188" s="81" t="s">
        <v>49</v>
      </c>
      <c r="W1188" s="81" t="s">
        <v>48</v>
      </c>
      <c r="X1188" s="81" t="s">
        <v>48</v>
      </c>
      <c r="Y1188" s="81" t="s">
        <v>48</v>
      </c>
    </row>
    <row r="1189" spans="1:25" x14ac:dyDescent="0.3">
      <c r="A1189" s="16">
        <v>7501299303047</v>
      </c>
      <c r="B1189" s="81" t="s">
        <v>43</v>
      </c>
      <c r="C1189" s="81" t="s">
        <v>1723</v>
      </c>
      <c r="D1189" s="81" t="s">
        <v>45</v>
      </c>
      <c r="E1189" s="81" t="s">
        <v>2227</v>
      </c>
      <c r="F1189" s="81" t="s">
        <v>2227</v>
      </c>
      <c r="G1189" s="81" t="s">
        <v>3027</v>
      </c>
      <c r="H1189" s="81" t="s">
        <v>2190</v>
      </c>
      <c r="I1189" s="81" t="s">
        <v>6238</v>
      </c>
      <c r="J1189" s="81" t="s">
        <v>2186</v>
      </c>
      <c r="K1189" s="81" t="s">
        <v>6238</v>
      </c>
      <c r="L1189" s="81" t="s">
        <v>2392</v>
      </c>
      <c r="M1189" s="81" t="s">
        <v>6238</v>
      </c>
      <c r="N1189" s="81" t="s">
        <v>2231</v>
      </c>
      <c r="O1189" s="81" t="s">
        <v>2187</v>
      </c>
      <c r="P1189" s="81" t="s">
        <v>2187</v>
      </c>
      <c r="Q1189" s="81" t="s">
        <v>43</v>
      </c>
      <c r="R1189" s="81" t="s">
        <v>46</v>
      </c>
      <c r="S1189" s="81" t="s">
        <v>46</v>
      </c>
      <c r="T1189" s="81" t="s">
        <v>48</v>
      </c>
      <c r="U1189" s="81" t="s">
        <v>48</v>
      </c>
      <c r="V1189" s="81" t="s">
        <v>48</v>
      </c>
      <c r="W1189" s="81" t="s">
        <v>49</v>
      </c>
      <c r="X1189" s="81" t="s">
        <v>48</v>
      </c>
      <c r="Y1189" s="81" t="s">
        <v>48</v>
      </c>
    </row>
    <row r="1190" spans="1:25" x14ac:dyDescent="0.3">
      <c r="A1190" s="16">
        <v>7501008499429</v>
      </c>
      <c r="B1190" s="81" t="s">
        <v>43</v>
      </c>
      <c r="C1190" s="81" t="s">
        <v>1100</v>
      </c>
      <c r="D1190" s="81" t="s">
        <v>45</v>
      </c>
      <c r="E1190" s="81" t="s">
        <v>2227</v>
      </c>
      <c r="F1190" s="81" t="s">
        <v>2227</v>
      </c>
      <c r="G1190" s="81" t="s">
        <v>3667</v>
      </c>
      <c r="H1190" s="81" t="s">
        <v>3018</v>
      </c>
      <c r="I1190" s="81" t="s">
        <v>3668</v>
      </c>
      <c r="J1190" s="81" t="s">
        <v>2186</v>
      </c>
      <c r="K1190" s="81" t="s">
        <v>3669</v>
      </c>
      <c r="L1190" s="81" t="s">
        <v>2392</v>
      </c>
      <c r="M1190" s="81" t="s">
        <v>2464</v>
      </c>
      <c r="N1190" s="81" t="s">
        <v>2231</v>
      </c>
      <c r="O1190" s="81" t="s">
        <v>2187</v>
      </c>
      <c r="P1190" s="81" t="s">
        <v>2187</v>
      </c>
      <c r="Q1190" s="81" t="s">
        <v>43</v>
      </c>
      <c r="R1190" s="81" t="s">
        <v>203</v>
      </c>
      <c r="S1190" s="81" t="s">
        <v>47</v>
      </c>
      <c r="T1190" s="81" t="s">
        <v>48</v>
      </c>
      <c r="U1190" s="81" t="s">
        <v>48</v>
      </c>
      <c r="V1190" s="81" t="s">
        <v>48</v>
      </c>
      <c r="W1190" s="81" t="s">
        <v>49</v>
      </c>
      <c r="X1190" s="81" t="s">
        <v>48</v>
      </c>
      <c r="Y1190" s="81" t="s">
        <v>48</v>
      </c>
    </row>
    <row r="1191" spans="1:25" x14ac:dyDescent="0.3">
      <c r="A1191" s="16">
        <v>7506192503358</v>
      </c>
      <c r="B1191" s="81" t="s">
        <v>43</v>
      </c>
      <c r="C1191" s="81" t="s">
        <v>1101</v>
      </c>
      <c r="D1191" s="81" t="s">
        <v>45</v>
      </c>
      <c r="E1191" s="81" t="s">
        <v>2227</v>
      </c>
      <c r="F1191" s="81" t="s">
        <v>2227</v>
      </c>
      <c r="G1191" s="81" t="s">
        <v>4843</v>
      </c>
      <c r="H1191" s="81" t="s">
        <v>3350</v>
      </c>
      <c r="I1191" s="81" t="s">
        <v>6439</v>
      </c>
      <c r="J1191" s="81" t="s">
        <v>2186</v>
      </c>
      <c r="K1191" s="81" t="s">
        <v>6439</v>
      </c>
      <c r="L1191" s="81" t="s">
        <v>2392</v>
      </c>
      <c r="M1191" s="81" t="s">
        <v>6439</v>
      </c>
      <c r="N1191" s="81" t="s">
        <v>2231</v>
      </c>
      <c r="O1191" s="81" t="s">
        <v>2187</v>
      </c>
      <c r="P1191" s="81" t="s">
        <v>2187</v>
      </c>
      <c r="Q1191" s="81" t="s">
        <v>43</v>
      </c>
      <c r="R1191" s="81" t="s">
        <v>524</v>
      </c>
      <c r="S1191" s="81" t="s">
        <v>525</v>
      </c>
      <c r="T1191" s="81" t="s">
        <v>48</v>
      </c>
      <c r="U1191" s="81" t="s">
        <v>48</v>
      </c>
      <c r="V1191" s="81" t="s">
        <v>49</v>
      </c>
      <c r="W1191" s="81" t="s">
        <v>48</v>
      </c>
      <c r="X1191" s="81" t="s">
        <v>48</v>
      </c>
      <c r="Y1191" s="81" t="s">
        <v>48</v>
      </c>
    </row>
    <row r="1192" spans="1:25" x14ac:dyDescent="0.3">
      <c r="A1192" s="16">
        <v>7501065001337</v>
      </c>
      <c r="B1192" s="81" t="s">
        <v>43</v>
      </c>
      <c r="C1192" s="81" t="s">
        <v>3672</v>
      </c>
      <c r="D1192" s="81" t="s">
        <v>45</v>
      </c>
      <c r="E1192" s="81" t="s">
        <v>2227</v>
      </c>
      <c r="F1192" s="81" t="s">
        <v>2227</v>
      </c>
      <c r="G1192" s="81" t="s">
        <v>5000</v>
      </c>
      <c r="H1192" s="81" t="s">
        <v>2671</v>
      </c>
      <c r="I1192" s="81" t="s">
        <v>6440</v>
      </c>
      <c r="J1192" s="81" t="s">
        <v>2186</v>
      </c>
      <c r="K1192" s="81" t="s">
        <v>6440</v>
      </c>
      <c r="L1192" s="81" t="s">
        <v>2392</v>
      </c>
      <c r="M1192" s="81" t="s">
        <v>6440</v>
      </c>
      <c r="N1192" s="81" t="s">
        <v>2231</v>
      </c>
      <c r="O1192" s="81" t="s">
        <v>2187</v>
      </c>
      <c r="P1192" s="81" t="s">
        <v>2187</v>
      </c>
      <c r="Q1192" s="81" t="s">
        <v>43</v>
      </c>
      <c r="R1192" s="81" t="s">
        <v>203</v>
      </c>
      <c r="S1192" s="81" t="s">
        <v>203</v>
      </c>
      <c r="T1192" s="81" t="s">
        <v>48</v>
      </c>
      <c r="U1192" s="81" t="s">
        <v>48</v>
      </c>
      <c r="V1192" s="81" t="s">
        <v>48</v>
      </c>
      <c r="W1192" s="81" t="s">
        <v>49</v>
      </c>
      <c r="X1192" s="81" t="s">
        <v>48</v>
      </c>
      <c r="Y1192" s="81" t="s">
        <v>48</v>
      </c>
    </row>
    <row r="1193" spans="1:25" x14ac:dyDescent="0.3">
      <c r="A1193" s="16">
        <v>7501109765997</v>
      </c>
      <c r="B1193" s="81" t="s">
        <v>43</v>
      </c>
      <c r="C1193" s="81" t="s">
        <v>3673</v>
      </c>
      <c r="D1193" s="81" t="s">
        <v>45</v>
      </c>
      <c r="E1193" s="81" t="s">
        <v>2227</v>
      </c>
      <c r="F1193" s="81" t="s">
        <v>2227</v>
      </c>
      <c r="G1193" s="81" t="s">
        <v>3674</v>
      </c>
      <c r="H1193" s="81" t="s">
        <v>2220</v>
      </c>
      <c r="I1193" s="81" t="s">
        <v>6441</v>
      </c>
      <c r="J1193" s="81" t="s">
        <v>2186</v>
      </c>
      <c r="K1193" s="81" t="s">
        <v>6441</v>
      </c>
      <c r="L1193" s="81" t="s">
        <v>2392</v>
      </c>
      <c r="M1193" s="81" t="s">
        <v>6441</v>
      </c>
      <c r="N1193" s="81" t="s">
        <v>2231</v>
      </c>
      <c r="O1193" s="81" t="s">
        <v>2187</v>
      </c>
      <c r="P1193" s="81" t="s">
        <v>2187</v>
      </c>
      <c r="Q1193" s="81" t="s">
        <v>43</v>
      </c>
      <c r="R1193" s="81" t="s">
        <v>46</v>
      </c>
      <c r="S1193" s="81" t="s">
        <v>46</v>
      </c>
      <c r="T1193" s="81" t="s">
        <v>48</v>
      </c>
      <c r="U1193" s="81" t="s">
        <v>48</v>
      </c>
      <c r="V1193" s="81" t="s">
        <v>48</v>
      </c>
      <c r="W1193" s="81" t="s">
        <v>49</v>
      </c>
      <c r="X1193" s="81" t="s">
        <v>48</v>
      </c>
      <c r="Y1193" s="81" t="s">
        <v>48</v>
      </c>
    </row>
    <row r="1194" spans="1:25" x14ac:dyDescent="0.3">
      <c r="A1194" s="16">
        <v>7500435181402</v>
      </c>
      <c r="B1194" s="81" t="s">
        <v>43</v>
      </c>
      <c r="C1194" s="81" t="s">
        <v>3675</v>
      </c>
      <c r="D1194" s="81" t="s">
        <v>45</v>
      </c>
      <c r="E1194" s="81" t="s">
        <v>2227</v>
      </c>
      <c r="F1194" s="81" t="s">
        <v>2227</v>
      </c>
      <c r="G1194" s="81" t="s">
        <v>3676</v>
      </c>
      <c r="H1194" s="81" t="s">
        <v>2682</v>
      </c>
      <c r="I1194" s="81" t="s">
        <v>6442</v>
      </c>
      <c r="J1194" s="81" t="s">
        <v>2186</v>
      </c>
      <c r="K1194" s="81" t="s">
        <v>6442</v>
      </c>
      <c r="L1194" s="81" t="s">
        <v>2392</v>
      </c>
      <c r="M1194" s="81" t="s">
        <v>6442</v>
      </c>
      <c r="N1194" s="81" t="s">
        <v>2231</v>
      </c>
      <c r="O1194" s="81" t="s">
        <v>2187</v>
      </c>
      <c r="P1194" s="81" t="s">
        <v>2187</v>
      </c>
      <c r="Q1194" s="81" t="s">
        <v>43</v>
      </c>
      <c r="R1194" s="81" t="s">
        <v>203</v>
      </c>
      <c r="S1194" s="81" t="s">
        <v>203</v>
      </c>
      <c r="T1194" s="81" t="s">
        <v>48</v>
      </c>
      <c r="U1194" s="81" t="s">
        <v>48</v>
      </c>
      <c r="V1194" s="81" t="s">
        <v>48</v>
      </c>
      <c r="W1194" s="81" t="s">
        <v>49</v>
      </c>
      <c r="X1194" s="81" t="s">
        <v>48</v>
      </c>
      <c r="Y1194" s="81" t="s">
        <v>48</v>
      </c>
    </row>
    <row r="1195" spans="1:25" x14ac:dyDescent="0.3">
      <c r="A1195" s="16">
        <v>7502216809697</v>
      </c>
      <c r="B1195" s="81" t="s">
        <v>43</v>
      </c>
      <c r="C1195" s="81" t="s">
        <v>1732</v>
      </c>
      <c r="D1195" s="81" t="s">
        <v>45</v>
      </c>
      <c r="E1195" s="81" t="s">
        <v>2227</v>
      </c>
      <c r="F1195" s="81" t="s">
        <v>2227</v>
      </c>
      <c r="G1195" s="81" t="s">
        <v>4304</v>
      </c>
      <c r="H1195" s="81" t="s">
        <v>2359</v>
      </c>
      <c r="I1195" s="81" t="s">
        <v>6443</v>
      </c>
      <c r="J1195" s="81" t="s">
        <v>2186</v>
      </c>
      <c r="K1195" s="81" t="s">
        <v>6443</v>
      </c>
      <c r="L1195" s="81" t="s">
        <v>2392</v>
      </c>
      <c r="M1195" s="81" t="s">
        <v>6443</v>
      </c>
      <c r="N1195" s="81" t="s">
        <v>2231</v>
      </c>
      <c r="O1195" s="81" t="s">
        <v>2187</v>
      </c>
      <c r="P1195" s="81" t="s">
        <v>2187</v>
      </c>
      <c r="Q1195" s="81" t="s">
        <v>43</v>
      </c>
      <c r="R1195" s="81" t="s">
        <v>46</v>
      </c>
      <c r="S1195" s="81" t="s">
        <v>46</v>
      </c>
      <c r="T1195" s="81" t="s">
        <v>48</v>
      </c>
      <c r="U1195" s="81" t="s">
        <v>48</v>
      </c>
      <c r="V1195" s="81" t="s">
        <v>48</v>
      </c>
      <c r="W1195" s="81" t="s">
        <v>49</v>
      </c>
      <c r="X1195" s="81" t="s">
        <v>48</v>
      </c>
      <c r="Y1195" s="81" t="s">
        <v>48</v>
      </c>
    </row>
    <row r="1196" spans="1:25" x14ac:dyDescent="0.3">
      <c r="A1196" s="16">
        <v>7501573904762</v>
      </c>
      <c r="B1196" s="81" t="s">
        <v>43</v>
      </c>
      <c r="C1196" s="81" t="s">
        <v>1102</v>
      </c>
      <c r="D1196" s="81" t="s">
        <v>45</v>
      </c>
      <c r="E1196" s="81" t="s">
        <v>2227</v>
      </c>
      <c r="F1196" s="81" t="s">
        <v>2227</v>
      </c>
      <c r="G1196" s="81" t="s">
        <v>6444</v>
      </c>
      <c r="H1196" s="81" t="s">
        <v>2182</v>
      </c>
      <c r="I1196" s="81" t="s">
        <v>6445</v>
      </c>
      <c r="J1196" s="81" t="s">
        <v>2186</v>
      </c>
      <c r="K1196" s="81" t="s">
        <v>6445</v>
      </c>
      <c r="L1196" s="81" t="s">
        <v>2392</v>
      </c>
      <c r="M1196" s="81" t="s">
        <v>6445</v>
      </c>
      <c r="N1196" s="81" t="s">
        <v>2231</v>
      </c>
      <c r="O1196" s="81" t="s">
        <v>2187</v>
      </c>
      <c r="P1196" s="81" t="s">
        <v>2187</v>
      </c>
      <c r="Q1196" s="81" t="s">
        <v>43</v>
      </c>
      <c r="R1196" s="81" t="s">
        <v>46</v>
      </c>
      <c r="S1196" s="81" t="s">
        <v>46</v>
      </c>
      <c r="T1196" s="81" t="s">
        <v>48</v>
      </c>
      <c r="U1196" s="81" t="s">
        <v>48</v>
      </c>
      <c r="V1196" s="81" t="s">
        <v>48</v>
      </c>
      <c r="W1196" s="81" t="s">
        <v>49</v>
      </c>
      <c r="X1196" s="81" t="s">
        <v>48</v>
      </c>
      <c r="Y1196" s="81" t="s">
        <v>48</v>
      </c>
    </row>
    <row r="1197" spans="1:25" x14ac:dyDescent="0.3">
      <c r="A1197" s="16">
        <v>7506022323316</v>
      </c>
      <c r="B1197" s="81" t="s">
        <v>43</v>
      </c>
      <c r="C1197" s="81" t="s">
        <v>1103</v>
      </c>
      <c r="D1197" s="81" t="s">
        <v>45</v>
      </c>
      <c r="E1197" s="81" t="s">
        <v>2227</v>
      </c>
      <c r="F1197" s="81" t="s">
        <v>2227</v>
      </c>
      <c r="G1197" s="81" t="s">
        <v>3677</v>
      </c>
      <c r="H1197" s="81" t="s">
        <v>3678</v>
      </c>
      <c r="I1197" s="81" t="s">
        <v>6446</v>
      </c>
      <c r="J1197" s="81" t="s">
        <v>2186</v>
      </c>
      <c r="K1197" s="81" t="s">
        <v>6446</v>
      </c>
      <c r="L1197" s="81" t="s">
        <v>2392</v>
      </c>
      <c r="M1197" s="81" t="s">
        <v>6446</v>
      </c>
      <c r="N1197" s="81" t="s">
        <v>2231</v>
      </c>
      <c r="O1197" s="81" t="s">
        <v>2187</v>
      </c>
      <c r="P1197" s="81" t="s">
        <v>2187</v>
      </c>
      <c r="Q1197" s="81" t="s">
        <v>43</v>
      </c>
      <c r="R1197" s="81" t="s">
        <v>122</v>
      </c>
      <c r="S1197" s="81" t="s">
        <v>122</v>
      </c>
      <c r="T1197" s="81" t="s">
        <v>48</v>
      </c>
      <c r="U1197" s="81" t="s">
        <v>48</v>
      </c>
      <c r="V1197" s="81" t="s">
        <v>49</v>
      </c>
      <c r="W1197" s="81" t="s">
        <v>48</v>
      </c>
      <c r="X1197" s="81" t="s">
        <v>48</v>
      </c>
      <c r="Y1197" s="81" t="s">
        <v>48</v>
      </c>
    </row>
    <row r="1198" spans="1:25" x14ac:dyDescent="0.3">
      <c r="A1198" s="16">
        <v>7501493874695</v>
      </c>
      <c r="B1198" s="81" t="s">
        <v>43</v>
      </c>
      <c r="C1198" s="81" t="s">
        <v>4305</v>
      </c>
      <c r="D1198" s="81" t="s">
        <v>45</v>
      </c>
      <c r="E1198" s="81" t="s">
        <v>2227</v>
      </c>
      <c r="F1198" s="81" t="s">
        <v>2227</v>
      </c>
      <c r="G1198" s="81" t="s">
        <v>4306</v>
      </c>
      <c r="H1198" s="81" t="s">
        <v>2552</v>
      </c>
      <c r="I1198" s="81" t="s">
        <v>6447</v>
      </c>
      <c r="J1198" s="81" t="s">
        <v>2186</v>
      </c>
      <c r="K1198" s="81" t="s">
        <v>6447</v>
      </c>
      <c r="L1198" s="81" t="s">
        <v>2392</v>
      </c>
      <c r="M1198" s="81" t="s">
        <v>6447</v>
      </c>
      <c r="N1198" s="81" t="s">
        <v>2231</v>
      </c>
      <c r="O1198" s="81" t="s">
        <v>2187</v>
      </c>
      <c r="P1198" s="81" t="s">
        <v>2187</v>
      </c>
      <c r="Q1198" s="81" t="s">
        <v>43</v>
      </c>
      <c r="R1198" s="81" t="s">
        <v>46</v>
      </c>
      <c r="S1198" s="81" t="s">
        <v>73</v>
      </c>
      <c r="T1198" s="81" t="s">
        <v>48</v>
      </c>
      <c r="U1198" s="81" t="s">
        <v>48</v>
      </c>
      <c r="V1198" s="81" t="s">
        <v>48</v>
      </c>
      <c r="W1198" s="81" t="s">
        <v>49</v>
      </c>
      <c r="X1198" s="81" t="s">
        <v>48</v>
      </c>
      <c r="Y1198" s="81" t="s">
        <v>48</v>
      </c>
    </row>
    <row r="1199" spans="1:25" x14ac:dyDescent="0.3">
      <c r="A1199" s="16">
        <v>7501537102395</v>
      </c>
      <c r="B1199" s="81" t="s">
        <v>43</v>
      </c>
      <c r="C1199" s="81" t="s">
        <v>3679</v>
      </c>
      <c r="D1199" s="81" t="s">
        <v>45</v>
      </c>
      <c r="E1199" s="81" t="s">
        <v>2227</v>
      </c>
      <c r="F1199" s="81" t="s">
        <v>2227</v>
      </c>
      <c r="G1199" s="81" t="s">
        <v>4675</v>
      </c>
      <c r="H1199" s="81" t="s">
        <v>2259</v>
      </c>
      <c r="I1199" s="81" t="s">
        <v>6448</v>
      </c>
      <c r="J1199" s="81" t="s">
        <v>2186</v>
      </c>
      <c r="K1199" s="81" t="s">
        <v>6448</v>
      </c>
      <c r="L1199" s="81" t="s">
        <v>2392</v>
      </c>
      <c r="M1199" s="81" t="s">
        <v>6448</v>
      </c>
      <c r="N1199" s="81" t="s">
        <v>2231</v>
      </c>
      <c r="O1199" s="81" t="s">
        <v>2187</v>
      </c>
      <c r="P1199" s="81" t="s">
        <v>2187</v>
      </c>
      <c r="Q1199" s="81" t="s">
        <v>43</v>
      </c>
      <c r="R1199" s="81" t="s">
        <v>46</v>
      </c>
      <c r="S1199" s="81" t="s">
        <v>47</v>
      </c>
      <c r="T1199" s="81" t="s">
        <v>48</v>
      </c>
      <c r="U1199" s="81" t="s">
        <v>48</v>
      </c>
      <c r="V1199" s="81" t="s">
        <v>48</v>
      </c>
      <c r="W1199" s="81" t="s">
        <v>49</v>
      </c>
      <c r="X1199" s="81" t="s">
        <v>48</v>
      </c>
      <c r="Y1199" s="81" t="s">
        <v>48</v>
      </c>
    </row>
    <row r="1200" spans="1:25" x14ac:dyDescent="0.3">
      <c r="A1200" s="16">
        <v>7501277071685</v>
      </c>
      <c r="B1200" s="81" t="s">
        <v>43</v>
      </c>
      <c r="C1200" s="81" t="s">
        <v>1669</v>
      </c>
      <c r="D1200" s="81" t="s">
        <v>45</v>
      </c>
      <c r="E1200" s="81" t="s">
        <v>2227</v>
      </c>
      <c r="F1200" s="81" t="s">
        <v>2227</v>
      </c>
      <c r="G1200" s="81" t="s">
        <v>5415</v>
      </c>
      <c r="H1200" s="81" t="s">
        <v>2353</v>
      </c>
      <c r="I1200" s="81" t="s">
        <v>6449</v>
      </c>
      <c r="J1200" s="81" t="s">
        <v>2186</v>
      </c>
      <c r="K1200" s="81" t="s">
        <v>6449</v>
      </c>
      <c r="L1200" s="81" t="s">
        <v>2392</v>
      </c>
      <c r="M1200" s="81" t="s">
        <v>6449</v>
      </c>
      <c r="N1200" s="81" t="s">
        <v>2231</v>
      </c>
      <c r="O1200" s="81" t="s">
        <v>2187</v>
      </c>
      <c r="P1200" s="81" t="s">
        <v>2187</v>
      </c>
      <c r="Q1200" s="81" t="s">
        <v>43</v>
      </c>
      <c r="R1200" s="81" t="s">
        <v>46</v>
      </c>
      <c r="S1200" s="81" t="s">
        <v>47</v>
      </c>
      <c r="T1200" s="81" t="s">
        <v>48</v>
      </c>
      <c r="U1200" s="81" t="s">
        <v>48</v>
      </c>
      <c r="V1200" s="81" t="s">
        <v>48</v>
      </c>
      <c r="W1200" s="81" t="s">
        <v>49</v>
      </c>
      <c r="X1200" s="81" t="s">
        <v>48</v>
      </c>
      <c r="Y1200" s="81" t="s">
        <v>48</v>
      </c>
    </row>
    <row r="1201" spans="1:25" x14ac:dyDescent="0.3">
      <c r="A1201" s="16">
        <v>7502216809680</v>
      </c>
      <c r="B1201" s="81" t="s">
        <v>43</v>
      </c>
      <c r="C1201" s="81" t="s">
        <v>1104</v>
      </c>
      <c r="D1201" s="81" t="s">
        <v>45</v>
      </c>
      <c r="E1201" s="81" t="s">
        <v>2227</v>
      </c>
      <c r="F1201" s="81" t="s">
        <v>2227</v>
      </c>
      <c r="G1201" s="81" t="s">
        <v>4521</v>
      </c>
      <c r="H1201" s="81" t="s">
        <v>6450</v>
      </c>
      <c r="I1201" s="81" t="s">
        <v>6451</v>
      </c>
      <c r="J1201" s="81" t="s">
        <v>2186</v>
      </c>
      <c r="K1201" s="81" t="s">
        <v>6451</v>
      </c>
      <c r="L1201" s="81" t="s">
        <v>2392</v>
      </c>
      <c r="M1201" s="81" t="s">
        <v>6451</v>
      </c>
      <c r="N1201" s="81" t="s">
        <v>2231</v>
      </c>
      <c r="O1201" s="81" t="s">
        <v>2187</v>
      </c>
      <c r="P1201" s="81" t="s">
        <v>2187</v>
      </c>
      <c r="Q1201" s="81" t="s">
        <v>43</v>
      </c>
      <c r="R1201" s="81" t="s">
        <v>46</v>
      </c>
      <c r="S1201" s="81" t="s">
        <v>47</v>
      </c>
      <c r="T1201" s="81" t="s">
        <v>48</v>
      </c>
      <c r="U1201" s="81" t="s">
        <v>48</v>
      </c>
      <c r="V1201" s="81" t="s">
        <v>48</v>
      </c>
      <c r="W1201" s="81" t="s">
        <v>49</v>
      </c>
      <c r="X1201" s="81" t="s">
        <v>48</v>
      </c>
      <c r="Y1201" s="81" t="s">
        <v>48</v>
      </c>
    </row>
    <row r="1202" spans="1:25" x14ac:dyDescent="0.3">
      <c r="A1202" s="16">
        <v>780083150198</v>
      </c>
      <c r="B1202" s="81" t="s">
        <v>43</v>
      </c>
      <c r="C1202" s="81" t="s">
        <v>1105</v>
      </c>
      <c r="D1202" s="81" t="s">
        <v>45</v>
      </c>
      <c r="E1202" s="81" t="s">
        <v>2227</v>
      </c>
      <c r="F1202" s="81" t="s">
        <v>2227</v>
      </c>
      <c r="G1202" s="81" t="s">
        <v>3680</v>
      </c>
      <c r="H1202" s="81" t="s">
        <v>2237</v>
      </c>
      <c r="I1202" s="81" t="s">
        <v>2760</v>
      </c>
      <c r="J1202" s="81" t="s">
        <v>2186</v>
      </c>
      <c r="K1202" s="81" t="s">
        <v>2760</v>
      </c>
      <c r="L1202" s="81" t="s">
        <v>2392</v>
      </c>
      <c r="M1202" s="81" t="s">
        <v>2760</v>
      </c>
      <c r="N1202" s="81" t="s">
        <v>2231</v>
      </c>
      <c r="O1202" s="81" t="s">
        <v>2187</v>
      </c>
      <c r="P1202" s="81" t="s">
        <v>2187</v>
      </c>
      <c r="Q1202" s="81" t="s">
        <v>43</v>
      </c>
      <c r="R1202" s="81" t="s">
        <v>46</v>
      </c>
      <c r="S1202" s="81" t="s">
        <v>47</v>
      </c>
      <c r="T1202" s="81" t="s">
        <v>48</v>
      </c>
      <c r="U1202" s="81" t="s">
        <v>48</v>
      </c>
      <c r="V1202" s="81" t="s">
        <v>48</v>
      </c>
      <c r="W1202" s="81" t="s">
        <v>49</v>
      </c>
      <c r="X1202" s="81" t="s">
        <v>48</v>
      </c>
      <c r="Y1202" s="81" t="s">
        <v>48</v>
      </c>
    </row>
    <row r="1203" spans="1:25" x14ac:dyDescent="0.3">
      <c r="A1203" s="16" t="s">
        <v>1106</v>
      </c>
      <c r="B1203" s="81" t="s">
        <v>43</v>
      </c>
      <c r="C1203" s="81" t="s">
        <v>1107</v>
      </c>
      <c r="D1203" s="81" t="s">
        <v>45</v>
      </c>
      <c r="E1203" s="81" t="s">
        <v>2227</v>
      </c>
      <c r="F1203" s="81" t="s">
        <v>2227</v>
      </c>
      <c r="G1203" s="81" t="s">
        <v>3681</v>
      </c>
      <c r="H1203" s="81" t="s">
        <v>6452</v>
      </c>
      <c r="I1203" s="81" t="s">
        <v>6453</v>
      </c>
      <c r="J1203" s="81" t="s">
        <v>2186</v>
      </c>
      <c r="K1203" s="81" t="s">
        <v>6453</v>
      </c>
      <c r="L1203" s="81" t="s">
        <v>2392</v>
      </c>
      <c r="M1203" s="81" t="s">
        <v>6453</v>
      </c>
      <c r="N1203" s="81" t="s">
        <v>2231</v>
      </c>
      <c r="O1203" s="81" t="s">
        <v>2187</v>
      </c>
      <c r="P1203" s="81" t="s">
        <v>2187</v>
      </c>
      <c r="Q1203" s="81" t="s">
        <v>43</v>
      </c>
      <c r="R1203" s="81" t="s">
        <v>524</v>
      </c>
      <c r="S1203" s="81" t="s">
        <v>525</v>
      </c>
      <c r="T1203" s="81" t="s">
        <v>48</v>
      </c>
      <c r="U1203" s="81" t="s">
        <v>48</v>
      </c>
      <c r="V1203" s="81" t="s">
        <v>49</v>
      </c>
      <c r="W1203" s="81" t="s">
        <v>48</v>
      </c>
      <c r="X1203" s="81" t="s">
        <v>48</v>
      </c>
      <c r="Y1203" s="81" t="s">
        <v>48</v>
      </c>
    </row>
    <row r="1204" spans="1:25" x14ac:dyDescent="0.3">
      <c r="A1204" s="16">
        <v>7506486800323</v>
      </c>
      <c r="B1204" s="81" t="s">
        <v>43</v>
      </c>
      <c r="C1204" s="81" t="s">
        <v>1108</v>
      </c>
      <c r="D1204" s="81" t="s">
        <v>45</v>
      </c>
      <c r="E1204" s="81" t="s">
        <v>2227</v>
      </c>
      <c r="F1204" s="81" t="s">
        <v>2227</v>
      </c>
      <c r="G1204" s="81" t="s">
        <v>3682</v>
      </c>
      <c r="H1204" s="81" t="s">
        <v>3346</v>
      </c>
      <c r="I1204" s="81" t="s">
        <v>6454</v>
      </c>
      <c r="J1204" s="81" t="s">
        <v>2186</v>
      </c>
      <c r="K1204" s="81" t="s">
        <v>6454</v>
      </c>
      <c r="L1204" s="81" t="s">
        <v>2392</v>
      </c>
      <c r="M1204" s="81" t="s">
        <v>6454</v>
      </c>
      <c r="N1204" s="81" t="s">
        <v>2231</v>
      </c>
      <c r="O1204" s="81" t="s">
        <v>2187</v>
      </c>
      <c r="P1204" s="81" t="s">
        <v>2187</v>
      </c>
      <c r="Q1204" s="81" t="s">
        <v>43</v>
      </c>
      <c r="R1204" s="81" t="s">
        <v>524</v>
      </c>
      <c r="S1204" s="81" t="s">
        <v>525</v>
      </c>
      <c r="T1204" s="81" t="s">
        <v>48</v>
      </c>
      <c r="U1204" s="81" t="s">
        <v>48</v>
      </c>
      <c r="V1204" s="81" t="s">
        <v>49</v>
      </c>
      <c r="W1204" s="81" t="s">
        <v>48</v>
      </c>
      <c r="X1204" s="81" t="s">
        <v>48</v>
      </c>
      <c r="Y1204" s="81" t="s">
        <v>48</v>
      </c>
    </row>
    <row r="1205" spans="1:25" x14ac:dyDescent="0.3">
      <c r="A1205" s="16">
        <v>7501122900504</v>
      </c>
      <c r="B1205" s="81" t="s">
        <v>43</v>
      </c>
      <c r="C1205" s="81" t="s">
        <v>1109</v>
      </c>
      <c r="D1205" s="81" t="s">
        <v>45</v>
      </c>
      <c r="E1205" s="81" t="s">
        <v>2227</v>
      </c>
      <c r="F1205" s="81" t="s">
        <v>2227</v>
      </c>
      <c r="G1205" s="81" t="s">
        <v>3683</v>
      </c>
      <c r="H1205" s="81" t="s">
        <v>3684</v>
      </c>
      <c r="I1205" s="81" t="s">
        <v>6455</v>
      </c>
      <c r="J1205" s="81" t="s">
        <v>2186</v>
      </c>
      <c r="K1205" s="81" t="s">
        <v>6455</v>
      </c>
      <c r="L1205" s="81" t="s">
        <v>2392</v>
      </c>
      <c r="M1205" s="81" t="s">
        <v>6455</v>
      </c>
      <c r="N1205" s="81" t="s">
        <v>2231</v>
      </c>
      <c r="O1205" s="81" t="s">
        <v>2187</v>
      </c>
      <c r="P1205" s="81" t="s">
        <v>2187</v>
      </c>
      <c r="Q1205" s="81" t="s">
        <v>43</v>
      </c>
      <c r="R1205" s="81" t="s">
        <v>374</v>
      </c>
      <c r="S1205" s="81" t="s">
        <v>374</v>
      </c>
      <c r="T1205" s="81" t="s">
        <v>48</v>
      </c>
      <c r="U1205" s="81" t="s">
        <v>48</v>
      </c>
      <c r="V1205" s="81" t="s">
        <v>48</v>
      </c>
      <c r="W1205" s="81" t="s">
        <v>49</v>
      </c>
      <c r="X1205" s="81" t="s">
        <v>48</v>
      </c>
      <c r="Y1205" s="81" t="s">
        <v>48</v>
      </c>
    </row>
    <row r="1206" spans="1:25" x14ac:dyDescent="0.3">
      <c r="A1206" s="16">
        <v>7502214984303</v>
      </c>
      <c r="B1206" s="81" t="s">
        <v>43</v>
      </c>
      <c r="C1206" s="81" t="s">
        <v>1110</v>
      </c>
      <c r="D1206" s="81" t="s">
        <v>45</v>
      </c>
      <c r="E1206" s="81" t="s">
        <v>2227</v>
      </c>
      <c r="F1206" s="81" t="s">
        <v>2227</v>
      </c>
      <c r="G1206" s="81" t="s">
        <v>3685</v>
      </c>
      <c r="H1206" s="81" t="s">
        <v>5272</v>
      </c>
      <c r="I1206" s="81" t="s">
        <v>6456</v>
      </c>
      <c r="J1206" s="81" t="s">
        <v>2186</v>
      </c>
      <c r="K1206" s="81" t="s">
        <v>6456</v>
      </c>
      <c r="L1206" s="81" t="s">
        <v>2392</v>
      </c>
      <c r="M1206" s="81" t="s">
        <v>6456</v>
      </c>
      <c r="N1206" s="81" t="s">
        <v>2231</v>
      </c>
      <c r="O1206" s="81" t="s">
        <v>2187</v>
      </c>
      <c r="P1206" s="81" t="s">
        <v>2187</v>
      </c>
      <c r="Q1206" s="81" t="s">
        <v>43</v>
      </c>
      <c r="R1206" s="81" t="s">
        <v>524</v>
      </c>
      <c r="S1206" s="81" t="s">
        <v>525</v>
      </c>
      <c r="T1206" s="81" t="s">
        <v>48</v>
      </c>
      <c r="U1206" s="81" t="s">
        <v>48</v>
      </c>
      <c r="V1206" s="81" t="s">
        <v>49</v>
      </c>
      <c r="W1206" s="81" t="s">
        <v>48</v>
      </c>
      <c r="X1206" s="81" t="s">
        <v>48</v>
      </c>
      <c r="Y1206" s="81" t="s">
        <v>48</v>
      </c>
    </row>
    <row r="1207" spans="1:25" x14ac:dyDescent="0.3">
      <c r="A1207" s="16">
        <v>780083140588</v>
      </c>
      <c r="B1207" s="81" t="s">
        <v>43</v>
      </c>
      <c r="C1207" s="81" t="s">
        <v>2157</v>
      </c>
      <c r="D1207" s="81" t="s">
        <v>45</v>
      </c>
      <c r="E1207" s="81" t="s">
        <v>2227</v>
      </c>
      <c r="F1207" s="81" t="s">
        <v>2227</v>
      </c>
      <c r="G1207" s="81" t="s">
        <v>4937</v>
      </c>
      <c r="H1207" s="81" t="s">
        <v>2190</v>
      </c>
      <c r="I1207" s="81" t="s">
        <v>6457</v>
      </c>
      <c r="J1207" s="81" t="s">
        <v>2186</v>
      </c>
      <c r="K1207" s="81" t="s">
        <v>6457</v>
      </c>
      <c r="L1207" s="81" t="s">
        <v>2392</v>
      </c>
      <c r="M1207" s="81" t="s">
        <v>6457</v>
      </c>
      <c r="N1207" s="81" t="s">
        <v>2231</v>
      </c>
      <c r="O1207" s="81" t="s">
        <v>2187</v>
      </c>
      <c r="P1207" s="81" t="s">
        <v>2187</v>
      </c>
      <c r="Q1207" s="81" t="s">
        <v>43</v>
      </c>
      <c r="R1207" s="81" t="s">
        <v>46</v>
      </c>
      <c r="S1207" s="81" t="s">
        <v>46</v>
      </c>
      <c r="T1207" s="81" t="s">
        <v>48</v>
      </c>
      <c r="U1207" s="81" t="s">
        <v>48</v>
      </c>
      <c r="V1207" s="81" t="s">
        <v>48</v>
      </c>
      <c r="W1207" s="81" t="s">
        <v>49</v>
      </c>
      <c r="X1207" s="81" t="s">
        <v>48</v>
      </c>
      <c r="Y1207" s="81" t="s">
        <v>48</v>
      </c>
    </row>
    <row r="1208" spans="1:25" x14ac:dyDescent="0.3">
      <c r="A1208" s="16">
        <v>7503002773130</v>
      </c>
      <c r="B1208" s="81" t="s">
        <v>43</v>
      </c>
      <c r="C1208" s="81" t="s">
        <v>1111</v>
      </c>
      <c r="D1208" s="81" t="s">
        <v>45</v>
      </c>
      <c r="E1208" s="81" t="s">
        <v>2227</v>
      </c>
      <c r="F1208" s="81" t="s">
        <v>2227</v>
      </c>
      <c r="G1208" s="81" t="s">
        <v>3686</v>
      </c>
      <c r="H1208" s="81" t="s">
        <v>2680</v>
      </c>
      <c r="I1208" s="81" t="s">
        <v>6458</v>
      </c>
      <c r="J1208" s="81" t="s">
        <v>2186</v>
      </c>
      <c r="K1208" s="81" t="s">
        <v>6458</v>
      </c>
      <c r="L1208" s="81" t="s">
        <v>2392</v>
      </c>
      <c r="M1208" s="81" t="s">
        <v>6458</v>
      </c>
      <c r="N1208" s="81" t="s">
        <v>2231</v>
      </c>
      <c r="O1208" s="81" t="s">
        <v>2187</v>
      </c>
      <c r="P1208" s="81" t="s">
        <v>2187</v>
      </c>
      <c r="Q1208" s="81" t="s">
        <v>43</v>
      </c>
      <c r="R1208" s="81" t="s">
        <v>374</v>
      </c>
      <c r="S1208" s="81" t="s">
        <v>374</v>
      </c>
      <c r="T1208" s="81" t="s">
        <v>48</v>
      </c>
      <c r="U1208" s="81" t="s">
        <v>48</v>
      </c>
      <c r="V1208" s="81" t="s">
        <v>48</v>
      </c>
      <c r="W1208" s="81" t="s">
        <v>49</v>
      </c>
      <c r="X1208" s="81" t="s">
        <v>48</v>
      </c>
      <c r="Y1208" s="81" t="s">
        <v>48</v>
      </c>
    </row>
    <row r="1209" spans="1:25" x14ac:dyDescent="0.3">
      <c r="A1209" s="16">
        <v>7501590281778</v>
      </c>
      <c r="B1209" s="81" t="s">
        <v>43</v>
      </c>
      <c r="C1209" s="81" t="s">
        <v>1742</v>
      </c>
      <c r="D1209" s="81" t="s">
        <v>45</v>
      </c>
      <c r="E1209" s="81" t="s">
        <v>2227</v>
      </c>
      <c r="F1209" s="81" t="s">
        <v>2227</v>
      </c>
      <c r="G1209" s="81" t="s">
        <v>3687</v>
      </c>
      <c r="H1209" s="81" t="s">
        <v>2467</v>
      </c>
      <c r="I1209" s="81" t="s">
        <v>6459</v>
      </c>
      <c r="J1209" s="81" t="s">
        <v>2186</v>
      </c>
      <c r="K1209" s="81" t="s">
        <v>6459</v>
      </c>
      <c r="L1209" s="81" t="s">
        <v>2392</v>
      </c>
      <c r="M1209" s="81" t="s">
        <v>6459</v>
      </c>
      <c r="N1209" s="81" t="s">
        <v>2231</v>
      </c>
      <c r="O1209" s="81" t="s">
        <v>2187</v>
      </c>
      <c r="P1209" s="81" t="s">
        <v>2187</v>
      </c>
      <c r="Q1209" s="81" t="s">
        <v>43</v>
      </c>
      <c r="R1209" s="81" t="s">
        <v>101</v>
      </c>
      <c r="S1209" s="81" t="s">
        <v>101</v>
      </c>
      <c r="T1209" s="81" t="s">
        <v>48</v>
      </c>
      <c r="U1209" s="81" t="s">
        <v>48</v>
      </c>
      <c r="V1209" s="81" t="s">
        <v>49</v>
      </c>
      <c r="W1209" s="81" t="s">
        <v>48</v>
      </c>
      <c r="X1209" s="81" t="s">
        <v>48</v>
      </c>
      <c r="Y1209" s="81" t="s">
        <v>48</v>
      </c>
    </row>
    <row r="1210" spans="1:25" x14ac:dyDescent="0.3">
      <c r="A1210" s="16">
        <v>7502216806337</v>
      </c>
      <c r="B1210" s="81" t="s">
        <v>43</v>
      </c>
      <c r="C1210" s="81" t="s">
        <v>1112</v>
      </c>
      <c r="D1210" s="81" t="s">
        <v>45</v>
      </c>
      <c r="E1210" s="81" t="s">
        <v>2227</v>
      </c>
      <c r="F1210" s="81" t="s">
        <v>2227</v>
      </c>
      <c r="G1210" s="81" t="s">
        <v>2875</v>
      </c>
      <c r="H1210" s="81" t="s">
        <v>2269</v>
      </c>
      <c r="I1210" s="81" t="s">
        <v>5294</v>
      </c>
      <c r="J1210" s="81" t="s">
        <v>2186</v>
      </c>
      <c r="K1210" s="81" t="s">
        <v>5294</v>
      </c>
      <c r="L1210" s="81" t="s">
        <v>2392</v>
      </c>
      <c r="M1210" s="81" t="s">
        <v>5294</v>
      </c>
      <c r="N1210" s="81" t="s">
        <v>2231</v>
      </c>
      <c r="O1210" s="81" t="s">
        <v>2187</v>
      </c>
      <c r="P1210" s="81" t="s">
        <v>2187</v>
      </c>
      <c r="Q1210" s="81" t="s">
        <v>43</v>
      </c>
      <c r="R1210" s="81" t="s">
        <v>46</v>
      </c>
      <c r="S1210" s="81" t="s">
        <v>47</v>
      </c>
      <c r="T1210" s="81" t="s">
        <v>48</v>
      </c>
      <c r="U1210" s="81" t="s">
        <v>48</v>
      </c>
      <c r="V1210" s="81" t="s">
        <v>48</v>
      </c>
      <c r="W1210" s="81" t="s">
        <v>49</v>
      </c>
      <c r="X1210" s="81" t="s">
        <v>48</v>
      </c>
      <c r="Y1210" s="81" t="s">
        <v>48</v>
      </c>
    </row>
    <row r="1211" spans="1:25" x14ac:dyDescent="0.3">
      <c r="A1211" s="16">
        <v>7501361111501</v>
      </c>
      <c r="B1211" s="81" t="s">
        <v>43</v>
      </c>
      <c r="C1211" s="81" t="s">
        <v>2008</v>
      </c>
      <c r="D1211" s="81" t="s">
        <v>45</v>
      </c>
      <c r="E1211" s="81" t="s">
        <v>2227</v>
      </c>
      <c r="F1211" s="81" t="s">
        <v>2227</v>
      </c>
      <c r="G1211" s="81" t="s">
        <v>3689</v>
      </c>
      <c r="H1211" s="81" t="s">
        <v>2867</v>
      </c>
      <c r="I1211" s="81" t="s">
        <v>6460</v>
      </c>
      <c r="J1211" s="81" t="s">
        <v>2186</v>
      </c>
      <c r="K1211" s="81" t="s">
        <v>6460</v>
      </c>
      <c r="L1211" s="81" t="s">
        <v>2392</v>
      </c>
      <c r="M1211" s="81" t="s">
        <v>6460</v>
      </c>
      <c r="N1211" s="81" t="s">
        <v>2231</v>
      </c>
      <c r="O1211" s="81" t="s">
        <v>2187</v>
      </c>
      <c r="P1211" s="81" t="s">
        <v>2187</v>
      </c>
      <c r="Q1211" s="81" t="s">
        <v>43</v>
      </c>
      <c r="R1211" s="81" t="s">
        <v>524</v>
      </c>
      <c r="S1211" s="81" t="s">
        <v>525</v>
      </c>
      <c r="T1211" s="81" t="s">
        <v>48</v>
      </c>
      <c r="U1211" s="81" t="s">
        <v>48</v>
      </c>
      <c r="V1211" s="81" t="s">
        <v>49</v>
      </c>
      <c r="W1211" s="81" t="s">
        <v>48</v>
      </c>
      <c r="X1211" s="81" t="s">
        <v>48</v>
      </c>
      <c r="Y1211" s="81" t="s">
        <v>48</v>
      </c>
    </row>
    <row r="1212" spans="1:25" x14ac:dyDescent="0.3">
      <c r="A1212" s="16">
        <v>650240066306</v>
      </c>
      <c r="B1212" s="81" t="s">
        <v>43</v>
      </c>
      <c r="C1212" s="81" t="s">
        <v>1113</v>
      </c>
      <c r="D1212" s="81" t="s">
        <v>45</v>
      </c>
      <c r="E1212" s="81" t="s">
        <v>2227</v>
      </c>
      <c r="F1212" s="81" t="s">
        <v>2227</v>
      </c>
      <c r="G1212" s="81" t="s">
        <v>4701</v>
      </c>
      <c r="H1212" s="81" t="s">
        <v>2843</v>
      </c>
      <c r="I1212" s="81" t="s">
        <v>2844</v>
      </c>
      <c r="J1212" s="81" t="s">
        <v>2186</v>
      </c>
      <c r="K1212" s="81" t="s">
        <v>2845</v>
      </c>
      <c r="L1212" s="81" t="s">
        <v>2392</v>
      </c>
      <c r="M1212" s="81" t="s">
        <v>2846</v>
      </c>
      <c r="N1212" s="81" t="s">
        <v>2231</v>
      </c>
      <c r="O1212" s="81" t="s">
        <v>2187</v>
      </c>
      <c r="P1212" s="81" t="s">
        <v>2187</v>
      </c>
      <c r="Q1212" s="81" t="s">
        <v>43</v>
      </c>
      <c r="R1212" s="81" t="s">
        <v>462</v>
      </c>
      <c r="S1212" s="81" t="s">
        <v>462</v>
      </c>
      <c r="T1212" s="81" t="s">
        <v>48</v>
      </c>
      <c r="U1212" s="81" t="s">
        <v>48</v>
      </c>
      <c r="V1212" s="81" t="s">
        <v>49</v>
      </c>
      <c r="W1212" s="81" t="s">
        <v>48</v>
      </c>
      <c r="X1212" s="81" t="s">
        <v>48</v>
      </c>
      <c r="Y1212" s="81" t="s">
        <v>48</v>
      </c>
    </row>
    <row r="1213" spans="1:25" x14ac:dyDescent="0.3">
      <c r="A1213" s="16">
        <v>7502009749148</v>
      </c>
      <c r="B1213" s="81" t="s">
        <v>43</v>
      </c>
      <c r="C1213" s="81" t="s">
        <v>2009</v>
      </c>
      <c r="D1213" s="81" t="s">
        <v>45</v>
      </c>
      <c r="E1213" s="81" t="s">
        <v>2227</v>
      </c>
      <c r="F1213" s="81" t="s">
        <v>2227</v>
      </c>
      <c r="G1213" s="81" t="s">
        <v>4938</v>
      </c>
      <c r="H1213" s="81" t="s">
        <v>2386</v>
      </c>
      <c r="I1213" s="81" t="s">
        <v>6461</v>
      </c>
      <c r="J1213" s="81" t="s">
        <v>2186</v>
      </c>
      <c r="K1213" s="81" t="s">
        <v>6461</v>
      </c>
      <c r="L1213" s="81" t="s">
        <v>2392</v>
      </c>
      <c r="M1213" s="81" t="s">
        <v>6461</v>
      </c>
      <c r="N1213" s="81" t="s">
        <v>2231</v>
      </c>
      <c r="O1213" s="81" t="s">
        <v>2187</v>
      </c>
      <c r="P1213" s="81" t="s">
        <v>2187</v>
      </c>
      <c r="Q1213" s="81" t="s">
        <v>43</v>
      </c>
      <c r="R1213" s="81" t="s">
        <v>46</v>
      </c>
      <c r="S1213" s="81" t="s">
        <v>46</v>
      </c>
      <c r="T1213" s="81" t="s">
        <v>48</v>
      </c>
      <c r="U1213" s="81" t="s">
        <v>48</v>
      </c>
      <c r="V1213" s="81" t="s">
        <v>48</v>
      </c>
      <c r="W1213" s="81" t="s">
        <v>49</v>
      </c>
      <c r="X1213" s="81" t="s">
        <v>48</v>
      </c>
      <c r="Y1213" s="81" t="s">
        <v>48</v>
      </c>
    </row>
    <row r="1214" spans="1:25" x14ac:dyDescent="0.3">
      <c r="A1214" s="16">
        <v>7502240450971</v>
      </c>
      <c r="B1214" s="81" t="s">
        <v>43</v>
      </c>
      <c r="C1214" s="81" t="s">
        <v>2010</v>
      </c>
      <c r="D1214" s="81" t="s">
        <v>45</v>
      </c>
      <c r="E1214" s="81" t="s">
        <v>2227</v>
      </c>
      <c r="F1214" s="81" t="s">
        <v>2227</v>
      </c>
      <c r="G1214" s="81" t="s">
        <v>3690</v>
      </c>
      <c r="H1214" s="81" t="s">
        <v>2464</v>
      </c>
      <c r="I1214" s="81" t="s">
        <v>6462</v>
      </c>
      <c r="J1214" s="81" t="s">
        <v>2186</v>
      </c>
      <c r="K1214" s="81" t="s">
        <v>6462</v>
      </c>
      <c r="L1214" s="81" t="s">
        <v>2392</v>
      </c>
      <c r="M1214" s="81" t="s">
        <v>6462</v>
      </c>
      <c r="N1214" s="81" t="s">
        <v>2231</v>
      </c>
      <c r="O1214" s="81" t="s">
        <v>2187</v>
      </c>
      <c r="P1214" s="81" t="s">
        <v>2187</v>
      </c>
      <c r="Q1214" s="81" t="s">
        <v>43</v>
      </c>
      <c r="R1214" s="81" t="s">
        <v>46</v>
      </c>
      <c r="S1214" s="81" t="s">
        <v>46</v>
      </c>
      <c r="T1214" s="81" t="s">
        <v>48</v>
      </c>
      <c r="U1214" s="81" t="s">
        <v>48</v>
      </c>
      <c r="V1214" s="81" t="s">
        <v>48</v>
      </c>
      <c r="W1214" s="81" t="s">
        <v>49</v>
      </c>
      <c r="X1214" s="81" t="s">
        <v>48</v>
      </c>
      <c r="Y1214" s="81" t="s">
        <v>48</v>
      </c>
    </row>
    <row r="1215" spans="1:25" x14ac:dyDescent="0.3">
      <c r="A1215" s="16">
        <v>7502282730017</v>
      </c>
      <c r="B1215" s="81" t="s">
        <v>43</v>
      </c>
      <c r="C1215" s="81" t="s">
        <v>1114</v>
      </c>
      <c r="D1215" s="81" t="s">
        <v>45</v>
      </c>
      <c r="E1215" s="81" t="s">
        <v>2227</v>
      </c>
      <c r="F1215" s="81" t="s">
        <v>2227</v>
      </c>
      <c r="G1215" s="81" t="s">
        <v>4676</v>
      </c>
      <c r="H1215" s="81" t="s">
        <v>3054</v>
      </c>
      <c r="I1215" s="81" t="s">
        <v>6463</v>
      </c>
      <c r="J1215" s="81" t="s">
        <v>2186</v>
      </c>
      <c r="K1215" s="81" t="s">
        <v>6463</v>
      </c>
      <c r="L1215" s="81" t="s">
        <v>2392</v>
      </c>
      <c r="M1215" s="81" t="s">
        <v>6463</v>
      </c>
      <c r="N1215" s="81" t="s">
        <v>2231</v>
      </c>
      <c r="O1215" s="81" t="s">
        <v>2187</v>
      </c>
      <c r="P1215" s="81" t="s">
        <v>2187</v>
      </c>
      <c r="Q1215" s="81" t="s">
        <v>43</v>
      </c>
      <c r="R1215" s="81" t="s">
        <v>524</v>
      </c>
      <c r="S1215" s="81" t="s">
        <v>525</v>
      </c>
      <c r="T1215" s="81" t="s">
        <v>48</v>
      </c>
      <c r="U1215" s="81" t="s">
        <v>48</v>
      </c>
      <c r="V1215" s="81" t="s">
        <v>49</v>
      </c>
      <c r="W1215" s="81" t="s">
        <v>48</v>
      </c>
      <c r="X1215" s="81" t="s">
        <v>48</v>
      </c>
      <c r="Y1215" s="81" t="s">
        <v>48</v>
      </c>
    </row>
    <row r="1216" spans="1:25" x14ac:dyDescent="0.3">
      <c r="A1216" s="16">
        <v>7502211788331</v>
      </c>
      <c r="B1216" s="81" t="s">
        <v>43</v>
      </c>
      <c r="C1216" s="81" t="s">
        <v>1115</v>
      </c>
      <c r="D1216" s="81" t="s">
        <v>45</v>
      </c>
      <c r="E1216" s="81" t="s">
        <v>2227</v>
      </c>
      <c r="F1216" s="81" t="s">
        <v>2227</v>
      </c>
      <c r="G1216" s="81" t="s">
        <v>3691</v>
      </c>
      <c r="H1216" s="81" t="s">
        <v>2237</v>
      </c>
      <c r="I1216" s="81" t="s">
        <v>6464</v>
      </c>
      <c r="J1216" s="81" t="s">
        <v>2186</v>
      </c>
      <c r="K1216" s="81" t="s">
        <v>6464</v>
      </c>
      <c r="L1216" s="81" t="s">
        <v>2392</v>
      </c>
      <c r="M1216" s="81" t="s">
        <v>6464</v>
      </c>
      <c r="N1216" s="81" t="s">
        <v>2231</v>
      </c>
      <c r="O1216" s="81" t="s">
        <v>2187</v>
      </c>
      <c r="P1216" s="81" t="s">
        <v>2187</v>
      </c>
      <c r="Q1216" s="81" t="s">
        <v>43</v>
      </c>
      <c r="R1216" s="81" t="s">
        <v>46</v>
      </c>
      <c r="S1216" s="81" t="s">
        <v>164</v>
      </c>
      <c r="T1216" s="81" t="s">
        <v>48</v>
      </c>
      <c r="U1216" s="81" t="s">
        <v>48</v>
      </c>
      <c r="V1216" s="81" t="s">
        <v>48</v>
      </c>
      <c r="W1216" s="81" t="s">
        <v>49</v>
      </c>
      <c r="X1216" s="81" t="s">
        <v>48</v>
      </c>
      <c r="Y1216" s="81" t="s">
        <v>48</v>
      </c>
    </row>
    <row r="1217" spans="1:25" x14ac:dyDescent="0.3">
      <c r="A1217" s="16">
        <v>7506428800251</v>
      </c>
      <c r="B1217" s="81" t="s">
        <v>43</v>
      </c>
      <c r="C1217" s="81" t="s">
        <v>1116</v>
      </c>
      <c r="D1217" s="81" t="s">
        <v>45</v>
      </c>
      <c r="E1217" s="81" t="s">
        <v>2227</v>
      </c>
      <c r="F1217" s="81" t="s">
        <v>2227</v>
      </c>
      <c r="G1217" s="81" t="s">
        <v>3692</v>
      </c>
      <c r="H1217" s="81" t="s">
        <v>3372</v>
      </c>
      <c r="I1217" s="81" t="s">
        <v>6465</v>
      </c>
      <c r="J1217" s="81" t="s">
        <v>2186</v>
      </c>
      <c r="K1217" s="81" t="s">
        <v>6465</v>
      </c>
      <c r="L1217" s="81" t="s">
        <v>2392</v>
      </c>
      <c r="M1217" s="81" t="s">
        <v>6465</v>
      </c>
      <c r="N1217" s="81" t="s">
        <v>2231</v>
      </c>
      <c r="O1217" s="81" t="s">
        <v>2187</v>
      </c>
      <c r="P1217" s="81" t="s">
        <v>2187</v>
      </c>
      <c r="Q1217" s="81" t="s">
        <v>43</v>
      </c>
      <c r="R1217" s="81" t="s">
        <v>122</v>
      </c>
      <c r="S1217" s="81" t="s">
        <v>122</v>
      </c>
      <c r="T1217" s="81" t="s">
        <v>48</v>
      </c>
      <c r="U1217" s="81" t="s">
        <v>48</v>
      </c>
      <c r="V1217" s="81" t="s">
        <v>49</v>
      </c>
      <c r="W1217" s="81" t="s">
        <v>48</v>
      </c>
      <c r="X1217" s="81" t="s">
        <v>48</v>
      </c>
      <c r="Y1217" s="81" t="s">
        <v>48</v>
      </c>
    </row>
    <row r="1218" spans="1:25" x14ac:dyDescent="0.3">
      <c r="A1218" s="16">
        <v>7506428800244</v>
      </c>
      <c r="B1218" s="81" t="s">
        <v>43</v>
      </c>
      <c r="C1218" s="81" t="s">
        <v>1117</v>
      </c>
      <c r="D1218" s="81" t="s">
        <v>45</v>
      </c>
      <c r="E1218" s="81" t="s">
        <v>2227</v>
      </c>
      <c r="F1218" s="81" t="s">
        <v>2227</v>
      </c>
      <c r="G1218" s="81" t="s">
        <v>3693</v>
      </c>
      <c r="H1218" s="81" t="s">
        <v>3623</v>
      </c>
      <c r="I1218" s="81" t="s">
        <v>3694</v>
      </c>
      <c r="J1218" s="81" t="s">
        <v>2186</v>
      </c>
      <c r="K1218" s="81" t="s">
        <v>3217</v>
      </c>
      <c r="L1218" s="81" t="s">
        <v>2392</v>
      </c>
      <c r="M1218" s="81" t="s">
        <v>3695</v>
      </c>
      <c r="N1218" s="81" t="s">
        <v>2231</v>
      </c>
      <c r="O1218" s="81" t="s">
        <v>2187</v>
      </c>
      <c r="P1218" s="81" t="s">
        <v>2187</v>
      </c>
      <c r="Q1218" s="81" t="s">
        <v>43</v>
      </c>
      <c r="R1218" s="81" t="s">
        <v>122</v>
      </c>
      <c r="S1218" s="81" t="s">
        <v>122</v>
      </c>
      <c r="T1218" s="81" t="s">
        <v>48</v>
      </c>
      <c r="U1218" s="81" t="s">
        <v>48</v>
      </c>
      <c r="V1218" s="81" t="s">
        <v>49</v>
      </c>
      <c r="W1218" s="81" t="s">
        <v>48</v>
      </c>
      <c r="X1218" s="81" t="s">
        <v>48</v>
      </c>
      <c r="Y1218" s="81" t="s">
        <v>48</v>
      </c>
    </row>
    <row r="1219" spans="1:25" x14ac:dyDescent="0.3">
      <c r="A1219" s="16">
        <v>7506428800299</v>
      </c>
      <c r="B1219" s="81" t="s">
        <v>43</v>
      </c>
      <c r="C1219" s="81" t="s">
        <v>1118</v>
      </c>
      <c r="D1219" s="81" t="s">
        <v>45</v>
      </c>
      <c r="E1219" s="81" t="s">
        <v>2227</v>
      </c>
      <c r="F1219" s="81" t="s">
        <v>2227</v>
      </c>
      <c r="G1219" s="81" t="s">
        <v>2184</v>
      </c>
      <c r="H1219" s="81" t="s">
        <v>3347</v>
      </c>
      <c r="I1219" s="81" t="s">
        <v>3696</v>
      </c>
      <c r="J1219" s="81" t="s">
        <v>2186</v>
      </c>
      <c r="K1219" s="81" t="s">
        <v>3697</v>
      </c>
      <c r="L1219" s="81" t="s">
        <v>2392</v>
      </c>
      <c r="M1219" s="81" t="s">
        <v>3533</v>
      </c>
      <c r="N1219" s="81" t="s">
        <v>2231</v>
      </c>
      <c r="O1219" s="81" t="s">
        <v>2187</v>
      </c>
      <c r="P1219" s="81" t="s">
        <v>2187</v>
      </c>
      <c r="Q1219" s="81" t="s">
        <v>43</v>
      </c>
      <c r="R1219" s="81" t="s">
        <v>122</v>
      </c>
      <c r="S1219" s="81" t="s">
        <v>122</v>
      </c>
      <c r="T1219" s="81" t="s">
        <v>48</v>
      </c>
      <c r="U1219" s="81" t="s">
        <v>48</v>
      </c>
      <c r="V1219" s="81" t="s">
        <v>49</v>
      </c>
      <c r="W1219" s="81" t="s">
        <v>48</v>
      </c>
      <c r="X1219" s="81" t="s">
        <v>48</v>
      </c>
      <c r="Y1219" s="81" t="s">
        <v>48</v>
      </c>
    </row>
    <row r="1220" spans="1:25" x14ac:dyDescent="0.3">
      <c r="A1220" s="16">
        <v>7502227874158</v>
      </c>
      <c r="B1220" s="81" t="s">
        <v>43</v>
      </c>
      <c r="C1220" s="81" t="s">
        <v>1119</v>
      </c>
      <c r="D1220" s="81" t="s">
        <v>45</v>
      </c>
      <c r="E1220" s="81" t="s">
        <v>2227</v>
      </c>
      <c r="F1220" s="81" t="s">
        <v>2227</v>
      </c>
      <c r="G1220" s="81" t="s">
        <v>3698</v>
      </c>
      <c r="H1220" s="81" t="s">
        <v>2251</v>
      </c>
      <c r="I1220" s="81" t="s">
        <v>6180</v>
      </c>
      <c r="J1220" s="81" t="s">
        <v>2186</v>
      </c>
      <c r="K1220" s="81" t="s">
        <v>6180</v>
      </c>
      <c r="L1220" s="81" t="s">
        <v>2392</v>
      </c>
      <c r="M1220" s="81" t="s">
        <v>6180</v>
      </c>
      <c r="N1220" s="81" t="s">
        <v>2231</v>
      </c>
      <c r="O1220" s="81" t="s">
        <v>2187</v>
      </c>
      <c r="P1220" s="81" t="s">
        <v>2187</v>
      </c>
      <c r="Q1220" s="81" t="s">
        <v>43</v>
      </c>
      <c r="R1220" s="81" t="s">
        <v>46</v>
      </c>
      <c r="S1220" s="81" t="s">
        <v>47</v>
      </c>
      <c r="T1220" s="81" t="s">
        <v>48</v>
      </c>
      <c r="U1220" s="81" t="s">
        <v>48</v>
      </c>
      <c r="V1220" s="81" t="s">
        <v>48</v>
      </c>
      <c r="W1220" s="81" t="s">
        <v>49</v>
      </c>
      <c r="X1220" s="81" t="s">
        <v>48</v>
      </c>
      <c r="Y1220" s="81" t="s">
        <v>48</v>
      </c>
    </row>
    <row r="1221" spans="1:25" x14ac:dyDescent="0.3">
      <c r="A1221" s="16">
        <v>7502009744563</v>
      </c>
      <c r="B1221" s="81" t="s">
        <v>43</v>
      </c>
      <c r="C1221" s="81" t="s">
        <v>1120</v>
      </c>
      <c r="D1221" s="81" t="s">
        <v>45</v>
      </c>
      <c r="E1221" s="81" t="s">
        <v>2227</v>
      </c>
      <c r="F1221" s="81" t="s">
        <v>2227</v>
      </c>
      <c r="G1221" s="81" t="s">
        <v>4307</v>
      </c>
      <c r="H1221" s="81" t="s">
        <v>2391</v>
      </c>
      <c r="I1221" s="81" t="s">
        <v>6466</v>
      </c>
      <c r="J1221" s="81" t="s">
        <v>2186</v>
      </c>
      <c r="K1221" s="81" t="s">
        <v>6466</v>
      </c>
      <c r="L1221" s="81" t="s">
        <v>2392</v>
      </c>
      <c r="M1221" s="81" t="s">
        <v>6466</v>
      </c>
      <c r="N1221" s="81" t="s">
        <v>2231</v>
      </c>
      <c r="O1221" s="81" t="s">
        <v>2187</v>
      </c>
      <c r="P1221" s="81" t="s">
        <v>2187</v>
      </c>
      <c r="Q1221" s="81" t="s">
        <v>43</v>
      </c>
      <c r="R1221" s="81" t="s">
        <v>46</v>
      </c>
      <c r="S1221" s="81" t="s">
        <v>47</v>
      </c>
      <c r="T1221" s="81" t="s">
        <v>48</v>
      </c>
      <c r="U1221" s="81" t="s">
        <v>48</v>
      </c>
      <c r="V1221" s="81" t="s">
        <v>48</v>
      </c>
      <c r="W1221" s="81" t="s">
        <v>49</v>
      </c>
      <c r="X1221" s="81" t="s">
        <v>48</v>
      </c>
      <c r="Y1221" s="81" t="s">
        <v>48</v>
      </c>
    </row>
    <row r="1222" spans="1:25" x14ac:dyDescent="0.3">
      <c r="A1222" s="16">
        <v>7509546029825</v>
      </c>
      <c r="B1222" s="81" t="s">
        <v>43</v>
      </c>
      <c r="C1222" s="81" t="s">
        <v>1121</v>
      </c>
      <c r="D1222" s="81" t="s">
        <v>45</v>
      </c>
      <c r="E1222" s="81" t="s">
        <v>2227</v>
      </c>
      <c r="F1222" s="81" t="s">
        <v>2227</v>
      </c>
      <c r="G1222" s="81" t="s">
        <v>3699</v>
      </c>
      <c r="H1222" s="81" t="s">
        <v>6467</v>
      </c>
      <c r="I1222" s="81" t="s">
        <v>6468</v>
      </c>
      <c r="J1222" s="81" t="s">
        <v>2186</v>
      </c>
      <c r="K1222" s="81" t="s">
        <v>6468</v>
      </c>
      <c r="L1222" s="81" t="s">
        <v>2392</v>
      </c>
      <c r="M1222" s="81" t="s">
        <v>6468</v>
      </c>
      <c r="N1222" s="81" t="s">
        <v>2231</v>
      </c>
      <c r="O1222" s="81" t="s">
        <v>2187</v>
      </c>
      <c r="P1222" s="81" t="s">
        <v>2187</v>
      </c>
      <c r="Q1222" s="81" t="s">
        <v>43</v>
      </c>
      <c r="R1222" s="81" t="s">
        <v>524</v>
      </c>
      <c r="S1222" s="81" t="s">
        <v>525</v>
      </c>
      <c r="T1222" s="81" t="s">
        <v>48</v>
      </c>
      <c r="U1222" s="81" t="s">
        <v>48</v>
      </c>
      <c r="V1222" s="81" t="s">
        <v>49</v>
      </c>
      <c r="W1222" s="81" t="s">
        <v>48</v>
      </c>
      <c r="X1222" s="81" t="s">
        <v>48</v>
      </c>
      <c r="Y1222" s="81" t="s">
        <v>48</v>
      </c>
    </row>
    <row r="1223" spans="1:25" x14ac:dyDescent="0.3">
      <c r="A1223" s="16">
        <v>75036508</v>
      </c>
      <c r="B1223" s="81" t="s">
        <v>43</v>
      </c>
      <c r="C1223" s="81" t="s">
        <v>1122</v>
      </c>
      <c r="D1223" s="81" t="s">
        <v>45</v>
      </c>
      <c r="E1223" s="81" t="s">
        <v>2227</v>
      </c>
      <c r="F1223" s="81" t="s">
        <v>2227</v>
      </c>
      <c r="G1223" s="81" t="s">
        <v>3700</v>
      </c>
      <c r="H1223" s="81" t="s">
        <v>3054</v>
      </c>
      <c r="I1223" s="81" t="s">
        <v>6469</v>
      </c>
      <c r="J1223" s="81" t="s">
        <v>2186</v>
      </c>
      <c r="K1223" s="81" t="s">
        <v>6469</v>
      </c>
      <c r="L1223" s="81" t="s">
        <v>2392</v>
      </c>
      <c r="M1223" s="81" t="s">
        <v>6469</v>
      </c>
      <c r="N1223" s="81" t="s">
        <v>2231</v>
      </c>
      <c r="O1223" s="81" t="s">
        <v>2187</v>
      </c>
      <c r="P1223" s="81" t="s">
        <v>2187</v>
      </c>
      <c r="Q1223" s="81" t="s">
        <v>43</v>
      </c>
      <c r="R1223" s="81" t="s">
        <v>524</v>
      </c>
      <c r="S1223" s="81" t="s">
        <v>525</v>
      </c>
      <c r="T1223" s="81" t="s">
        <v>48</v>
      </c>
      <c r="U1223" s="81" t="s">
        <v>48</v>
      </c>
      <c r="V1223" s="81" t="s">
        <v>49</v>
      </c>
      <c r="W1223" s="81" t="s">
        <v>48</v>
      </c>
      <c r="X1223" s="81" t="s">
        <v>48</v>
      </c>
      <c r="Y1223" s="81" t="s">
        <v>48</v>
      </c>
    </row>
    <row r="1224" spans="1:25" x14ac:dyDescent="0.3">
      <c r="A1224" s="16">
        <v>7509546688831</v>
      </c>
      <c r="B1224" s="81" t="s">
        <v>43</v>
      </c>
      <c r="C1224" s="81" t="s">
        <v>1123</v>
      </c>
      <c r="D1224" s="81" t="s">
        <v>45</v>
      </c>
      <c r="E1224" s="81" t="s">
        <v>2227</v>
      </c>
      <c r="F1224" s="81" t="s">
        <v>2227</v>
      </c>
      <c r="G1224" s="81" t="s">
        <v>3701</v>
      </c>
      <c r="H1224" s="81" t="s">
        <v>2843</v>
      </c>
      <c r="I1224" s="81" t="s">
        <v>6166</v>
      </c>
      <c r="J1224" s="81" t="s">
        <v>2186</v>
      </c>
      <c r="K1224" s="81" t="s">
        <v>6166</v>
      </c>
      <c r="L1224" s="81" t="s">
        <v>2392</v>
      </c>
      <c r="M1224" s="81" t="s">
        <v>6166</v>
      </c>
      <c r="N1224" s="81" t="s">
        <v>2231</v>
      </c>
      <c r="O1224" s="81" t="s">
        <v>2187</v>
      </c>
      <c r="P1224" s="81" t="s">
        <v>2187</v>
      </c>
      <c r="Q1224" s="81" t="s">
        <v>43</v>
      </c>
      <c r="R1224" s="81" t="s">
        <v>524</v>
      </c>
      <c r="S1224" s="81" t="s">
        <v>525</v>
      </c>
      <c r="T1224" s="81" t="s">
        <v>48</v>
      </c>
      <c r="U1224" s="81" t="s">
        <v>48</v>
      </c>
      <c r="V1224" s="81" t="s">
        <v>49</v>
      </c>
      <c r="W1224" s="81" t="s">
        <v>48</v>
      </c>
      <c r="X1224" s="81" t="s">
        <v>48</v>
      </c>
      <c r="Y1224" s="81" t="s">
        <v>48</v>
      </c>
    </row>
    <row r="1225" spans="1:25" x14ac:dyDescent="0.3">
      <c r="A1225" s="16">
        <v>7501258215947</v>
      </c>
      <c r="B1225" s="81" t="s">
        <v>43</v>
      </c>
      <c r="C1225" s="81" t="s">
        <v>1124</v>
      </c>
      <c r="D1225" s="81" t="s">
        <v>45</v>
      </c>
      <c r="E1225" s="81" t="s">
        <v>2227</v>
      </c>
      <c r="F1225" s="81" t="s">
        <v>2227</v>
      </c>
      <c r="G1225" s="81" t="s">
        <v>4973</v>
      </c>
      <c r="H1225" s="81" t="s">
        <v>3702</v>
      </c>
      <c r="I1225" s="81" t="s">
        <v>6470</v>
      </c>
      <c r="J1225" s="81" t="s">
        <v>2186</v>
      </c>
      <c r="K1225" s="81" t="s">
        <v>6470</v>
      </c>
      <c r="L1225" s="81" t="s">
        <v>2392</v>
      </c>
      <c r="M1225" s="81" t="s">
        <v>6470</v>
      </c>
      <c r="N1225" s="81" t="s">
        <v>2231</v>
      </c>
      <c r="O1225" s="81" t="s">
        <v>2187</v>
      </c>
      <c r="P1225" s="81" t="s">
        <v>2187</v>
      </c>
      <c r="Q1225" s="81" t="s">
        <v>43</v>
      </c>
      <c r="R1225" s="81" t="s">
        <v>374</v>
      </c>
      <c r="S1225" s="81" t="s">
        <v>374</v>
      </c>
      <c r="T1225" s="81" t="s">
        <v>48</v>
      </c>
      <c r="U1225" s="81" t="s">
        <v>48</v>
      </c>
      <c r="V1225" s="81" t="s">
        <v>48</v>
      </c>
      <c r="W1225" s="81" t="s">
        <v>49</v>
      </c>
      <c r="X1225" s="81" t="s">
        <v>48</v>
      </c>
      <c r="Y1225" s="81" t="s">
        <v>48</v>
      </c>
    </row>
    <row r="1226" spans="1:25" x14ac:dyDescent="0.3">
      <c r="A1226" s="16">
        <v>7502282730024</v>
      </c>
      <c r="B1226" s="81" t="s">
        <v>43</v>
      </c>
      <c r="C1226" s="81" t="s">
        <v>1125</v>
      </c>
      <c r="D1226" s="81" t="s">
        <v>45</v>
      </c>
      <c r="E1226" s="81" t="s">
        <v>2227</v>
      </c>
      <c r="F1226" s="81" t="s">
        <v>2227</v>
      </c>
      <c r="G1226" s="81" t="s">
        <v>3693</v>
      </c>
      <c r="H1226" s="81" t="s">
        <v>2943</v>
      </c>
      <c r="I1226" s="81" t="s">
        <v>6310</v>
      </c>
      <c r="J1226" s="81" t="s">
        <v>2186</v>
      </c>
      <c r="K1226" s="81" t="s">
        <v>6310</v>
      </c>
      <c r="L1226" s="81" t="s">
        <v>2392</v>
      </c>
      <c r="M1226" s="81" t="s">
        <v>6310</v>
      </c>
      <c r="N1226" s="81" t="s">
        <v>2231</v>
      </c>
      <c r="O1226" s="81" t="s">
        <v>2187</v>
      </c>
      <c r="P1226" s="81" t="s">
        <v>2187</v>
      </c>
      <c r="Q1226" s="81" t="s">
        <v>43</v>
      </c>
      <c r="R1226" s="81" t="s">
        <v>524</v>
      </c>
      <c r="S1226" s="81" t="s">
        <v>525</v>
      </c>
      <c r="T1226" s="81" t="s">
        <v>48</v>
      </c>
      <c r="U1226" s="81" t="s">
        <v>48</v>
      </c>
      <c r="V1226" s="81" t="s">
        <v>49</v>
      </c>
      <c r="W1226" s="81" t="s">
        <v>48</v>
      </c>
      <c r="X1226" s="81" t="s">
        <v>48</v>
      </c>
      <c r="Y1226" s="81" t="s">
        <v>48</v>
      </c>
    </row>
    <row r="1227" spans="1:25" x14ac:dyDescent="0.3">
      <c r="A1227" s="16">
        <v>7501943418509</v>
      </c>
      <c r="B1227" s="81" t="s">
        <v>43</v>
      </c>
      <c r="C1227" s="81" t="s">
        <v>1126</v>
      </c>
      <c r="D1227" s="81" t="s">
        <v>45</v>
      </c>
      <c r="E1227" s="81" t="s">
        <v>2227</v>
      </c>
      <c r="F1227" s="81" t="s">
        <v>2227</v>
      </c>
      <c r="G1227" s="81" t="s">
        <v>3703</v>
      </c>
      <c r="H1227" s="81" t="s">
        <v>3226</v>
      </c>
      <c r="I1227" s="81" t="s">
        <v>6471</v>
      </c>
      <c r="J1227" s="81" t="s">
        <v>2186</v>
      </c>
      <c r="K1227" s="81" t="s">
        <v>6471</v>
      </c>
      <c r="L1227" s="81" t="s">
        <v>2392</v>
      </c>
      <c r="M1227" s="81" t="s">
        <v>6471</v>
      </c>
      <c r="N1227" s="81" t="s">
        <v>2231</v>
      </c>
      <c r="O1227" s="81" t="s">
        <v>2187</v>
      </c>
      <c r="P1227" s="81" t="s">
        <v>2187</v>
      </c>
      <c r="Q1227" s="81" t="s">
        <v>43</v>
      </c>
      <c r="R1227" s="81" t="s">
        <v>524</v>
      </c>
      <c r="S1227" s="81" t="s">
        <v>525</v>
      </c>
      <c r="T1227" s="81" t="s">
        <v>48</v>
      </c>
      <c r="U1227" s="81" t="s">
        <v>48</v>
      </c>
      <c r="V1227" s="81" t="s">
        <v>49</v>
      </c>
      <c r="W1227" s="81" t="s">
        <v>48</v>
      </c>
      <c r="X1227" s="81" t="s">
        <v>48</v>
      </c>
      <c r="Y1227" s="81" t="s">
        <v>48</v>
      </c>
    </row>
    <row r="1228" spans="1:25" x14ac:dyDescent="0.3">
      <c r="A1228" s="16">
        <v>7509546651743</v>
      </c>
      <c r="B1228" s="81" t="s">
        <v>43</v>
      </c>
      <c r="C1228" s="81" t="s">
        <v>1127</v>
      </c>
      <c r="D1228" s="81" t="s">
        <v>45</v>
      </c>
      <c r="E1228" s="81" t="s">
        <v>2227</v>
      </c>
      <c r="F1228" s="81" t="s">
        <v>2227</v>
      </c>
      <c r="G1228" s="81" t="s">
        <v>3477</v>
      </c>
      <c r="H1228" s="81" t="s">
        <v>3052</v>
      </c>
      <c r="I1228" s="81" t="s">
        <v>6472</v>
      </c>
      <c r="J1228" s="81" t="s">
        <v>2186</v>
      </c>
      <c r="K1228" s="81" t="s">
        <v>6472</v>
      </c>
      <c r="L1228" s="81" t="s">
        <v>2392</v>
      </c>
      <c r="M1228" s="81" t="s">
        <v>6472</v>
      </c>
      <c r="N1228" s="81" t="s">
        <v>2231</v>
      </c>
      <c r="O1228" s="81" t="s">
        <v>2187</v>
      </c>
      <c r="P1228" s="81" t="s">
        <v>2187</v>
      </c>
      <c r="Q1228" s="81" t="s">
        <v>43</v>
      </c>
      <c r="R1228" s="81" t="s">
        <v>524</v>
      </c>
      <c r="S1228" s="81" t="s">
        <v>525</v>
      </c>
      <c r="T1228" s="81" t="s">
        <v>48</v>
      </c>
      <c r="U1228" s="81" t="s">
        <v>48</v>
      </c>
      <c r="V1228" s="81" t="s">
        <v>49</v>
      </c>
      <c r="W1228" s="81" t="s">
        <v>48</v>
      </c>
      <c r="X1228" s="81" t="s">
        <v>48</v>
      </c>
      <c r="Y1228" s="81" t="s">
        <v>48</v>
      </c>
    </row>
    <row r="1229" spans="1:25" x14ac:dyDescent="0.3">
      <c r="A1229" s="16">
        <v>7509546064697</v>
      </c>
      <c r="B1229" s="81" t="s">
        <v>43</v>
      </c>
      <c r="C1229" s="81" t="s">
        <v>1128</v>
      </c>
      <c r="D1229" s="81" t="s">
        <v>45</v>
      </c>
      <c r="E1229" s="81" t="s">
        <v>2227</v>
      </c>
      <c r="F1229" s="81" t="s">
        <v>2227</v>
      </c>
      <c r="G1229" s="81" t="s">
        <v>3477</v>
      </c>
      <c r="H1229" s="81" t="s">
        <v>3052</v>
      </c>
      <c r="I1229" s="81" t="s">
        <v>6472</v>
      </c>
      <c r="J1229" s="81" t="s">
        <v>2186</v>
      </c>
      <c r="K1229" s="81" t="s">
        <v>6472</v>
      </c>
      <c r="L1229" s="81" t="s">
        <v>2392</v>
      </c>
      <c r="M1229" s="81" t="s">
        <v>6472</v>
      </c>
      <c r="N1229" s="81" t="s">
        <v>2231</v>
      </c>
      <c r="O1229" s="81" t="s">
        <v>2187</v>
      </c>
      <c r="P1229" s="81" t="s">
        <v>2187</v>
      </c>
      <c r="Q1229" s="81" t="s">
        <v>43</v>
      </c>
      <c r="R1229" s="81" t="s">
        <v>524</v>
      </c>
      <c r="S1229" s="81" t="s">
        <v>525</v>
      </c>
      <c r="T1229" s="81" t="s">
        <v>48</v>
      </c>
      <c r="U1229" s="81" t="s">
        <v>48</v>
      </c>
      <c r="V1229" s="81" t="s">
        <v>49</v>
      </c>
      <c r="W1229" s="81" t="s">
        <v>48</v>
      </c>
      <c r="X1229" s="81" t="s">
        <v>48</v>
      </c>
      <c r="Y1229" s="81" t="s">
        <v>48</v>
      </c>
    </row>
    <row r="1230" spans="1:25" x14ac:dyDescent="0.3">
      <c r="A1230" s="16">
        <v>7509546073781</v>
      </c>
      <c r="B1230" s="81" t="s">
        <v>43</v>
      </c>
      <c r="C1230" s="81" t="s">
        <v>1129</v>
      </c>
      <c r="D1230" s="81" t="s">
        <v>45</v>
      </c>
      <c r="E1230" s="81" t="s">
        <v>2227</v>
      </c>
      <c r="F1230" s="81" t="s">
        <v>2227</v>
      </c>
      <c r="G1230" s="81" t="s">
        <v>3478</v>
      </c>
      <c r="H1230" s="81" t="s">
        <v>6473</v>
      </c>
      <c r="I1230" s="81" t="s">
        <v>5278</v>
      </c>
      <c r="J1230" s="81" t="s">
        <v>2186</v>
      </c>
      <c r="K1230" s="81" t="s">
        <v>5278</v>
      </c>
      <c r="L1230" s="81" t="s">
        <v>2392</v>
      </c>
      <c r="M1230" s="81" t="s">
        <v>5278</v>
      </c>
      <c r="N1230" s="81" t="s">
        <v>2231</v>
      </c>
      <c r="O1230" s="81" t="s">
        <v>2187</v>
      </c>
      <c r="P1230" s="81" t="s">
        <v>2187</v>
      </c>
      <c r="Q1230" s="81" t="s">
        <v>43</v>
      </c>
      <c r="R1230" s="81" t="s">
        <v>524</v>
      </c>
      <c r="S1230" s="81" t="s">
        <v>525</v>
      </c>
      <c r="T1230" s="81" t="s">
        <v>48</v>
      </c>
      <c r="U1230" s="81" t="s">
        <v>48</v>
      </c>
      <c r="V1230" s="81" t="s">
        <v>49</v>
      </c>
      <c r="W1230" s="81" t="s">
        <v>48</v>
      </c>
      <c r="X1230" s="81" t="s">
        <v>48</v>
      </c>
      <c r="Y1230" s="81" t="s">
        <v>48</v>
      </c>
    </row>
    <row r="1231" spans="1:25" x14ac:dyDescent="0.3">
      <c r="A1231" s="16">
        <v>7502253601155</v>
      </c>
      <c r="B1231" s="81" t="s">
        <v>43</v>
      </c>
      <c r="C1231" s="81" t="s">
        <v>1130</v>
      </c>
      <c r="D1231" s="81" t="s">
        <v>45</v>
      </c>
      <c r="E1231" s="81" t="s">
        <v>2227</v>
      </c>
      <c r="F1231" s="81" t="s">
        <v>2227</v>
      </c>
      <c r="G1231" s="81" t="s">
        <v>3704</v>
      </c>
      <c r="H1231" s="81" t="s">
        <v>3187</v>
      </c>
      <c r="I1231" s="81" t="s">
        <v>6474</v>
      </c>
      <c r="J1231" s="81" t="s">
        <v>2186</v>
      </c>
      <c r="K1231" s="81" t="s">
        <v>6474</v>
      </c>
      <c r="L1231" s="81" t="s">
        <v>2392</v>
      </c>
      <c r="M1231" s="81" t="s">
        <v>6474</v>
      </c>
      <c r="N1231" s="81" t="s">
        <v>2231</v>
      </c>
      <c r="O1231" s="81" t="s">
        <v>2187</v>
      </c>
      <c r="P1231" s="81" t="s">
        <v>2187</v>
      </c>
      <c r="Q1231" s="81" t="s">
        <v>43</v>
      </c>
      <c r="R1231" s="81" t="s">
        <v>203</v>
      </c>
      <c r="S1231" s="81" t="s">
        <v>203</v>
      </c>
      <c r="T1231" s="81" t="s">
        <v>48</v>
      </c>
      <c r="U1231" s="81" t="s">
        <v>48</v>
      </c>
      <c r="V1231" s="81" t="s">
        <v>49</v>
      </c>
      <c r="W1231" s="81" t="s">
        <v>48</v>
      </c>
      <c r="X1231" s="81" t="s">
        <v>48</v>
      </c>
      <c r="Y1231" s="81" t="s">
        <v>48</v>
      </c>
    </row>
    <row r="1232" spans="1:25" x14ac:dyDescent="0.3">
      <c r="A1232" s="16">
        <v>7501056360412</v>
      </c>
      <c r="B1232" s="81" t="s">
        <v>43</v>
      </c>
      <c r="C1232" s="81" t="s">
        <v>1131</v>
      </c>
      <c r="D1232" s="81" t="s">
        <v>45</v>
      </c>
      <c r="E1232" s="81" t="s">
        <v>2227</v>
      </c>
      <c r="F1232" s="81" t="s">
        <v>2227</v>
      </c>
      <c r="G1232" s="81" t="s">
        <v>4804</v>
      </c>
      <c r="H1232" s="81" t="s">
        <v>3241</v>
      </c>
      <c r="I1232" s="81" t="s">
        <v>6475</v>
      </c>
      <c r="J1232" s="81" t="s">
        <v>2186</v>
      </c>
      <c r="K1232" s="81" t="s">
        <v>6475</v>
      </c>
      <c r="L1232" s="81" t="s">
        <v>2392</v>
      </c>
      <c r="M1232" s="81" t="s">
        <v>6475</v>
      </c>
      <c r="N1232" s="81" t="s">
        <v>2231</v>
      </c>
      <c r="O1232" s="81" t="s">
        <v>2187</v>
      </c>
      <c r="P1232" s="81" t="s">
        <v>2187</v>
      </c>
      <c r="Q1232" s="81" t="s">
        <v>43</v>
      </c>
      <c r="R1232" s="81" t="s">
        <v>524</v>
      </c>
      <c r="S1232" s="81" t="s">
        <v>525</v>
      </c>
      <c r="T1232" s="81" t="s">
        <v>48</v>
      </c>
      <c r="U1232" s="81" t="s">
        <v>48</v>
      </c>
      <c r="V1232" s="81" t="s">
        <v>49</v>
      </c>
      <c r="W1232" s="81" t="s">
        <v>48</v>
      </c>
      <c r="X1232" s="81" t="s">
        <v>48</v>
      </c>
      <c r="Y1232" s="81" t="s">
        <v>48</v>
      </c>
    </row>
    <row r="1233" spans="1:25" x14ac:dyDescent="0.3">
      <c r="A1233" s="16">
        <v>7501027514103</v>
      </c>
      <c r="B1233" s="81" t="s">
        <v>43</v>
      </c>
      <c r="C1233" s="81" t="s">
        <v>1132</v>
      </c>
      <c r="D1233" s="81" t="s">
        <v>45</v>
      </c>
      <c r="E1233" s="81" t="s">
        <v>2227</v>
      </c>
      <c r="F1233" s="81" t="s">
        <v>2227</v>
      </c>
      <c r="G1233" s="81" t="s">
        <v>3705</v>
      </c>
      <c r="H1233" s="81" t="s">
        <v>6476</v>
      </c>
      <c r="I1233" s="81" t="s">
        <v>6477</v>
      </c>
      <c r="J1233" s="81" t="s">
        <v>2186</v>
      </c>
      <c r="K1233" s="81" t="s">
        <v>6477</v>
      </c>
      <c r="L1233" s="81" t="s">
        <v>2392</v>
      </c>
      <c r="M1233" s="81" t="s">
        <v>6477</v>
      </c>
      <c r="N1233" s="81" t="s">
        <v>2231</v>
      </c>
      <c r="O1233" s="81" t="s">
        <v>2187</v>
      </c>
      <c r="P1233" s="81" t="s">
        <v>2187</v>
      </c>
      <c r="Q1233" s="81" t="s">
        <v>43</v>
      </c>
      <c r="R1233" s="81" t="s">
        <v>46</v>
      </c>
      <c r="S1233" s="81" t="s">
        <v>46</v>
      </c>
      <c r="T1233" s="81" t="s">
        <v>48</v>
      </c>
      <c r="U1233" s="81" t="s">
        <v>48</v>
      </c>
      <c r="V1233" s="81" t="s">
        <v>49</v>
      </c>
      <c r="W1233" s="81" t="s">
        <v>48</v>
      </c>
      <c r="X1233" s="81" t="s">
        <v>48</v>
      </c>
      <c r="Y1233" s="81" t="s">
        <v>48</v>
      </c>
    </row>
    <row r="1234" spans="1:25" x14ac:dyDescent="0.3">
      <c r="A1234" s="16">
        <v>7501054549796</v>
      </c>
      <c r="B1234" s="81" t="s">
        <v>43</v>
      </c>
      <c r="C1234" s="81" t="s">
        <v>1133</v>
      </c>
      <c r="D1234" s="81" t="s">
        <v>45</v>
      </c>
      <c r="E1234" s="81" t="s">
        <v>2227</v>
      </c>
      <c r="F1234" s="81" t="s">
        <v>2227</v>
      </c>
      <c r="G1234" s="81" t="s">
        <v>3641</v>
      </c>
      <c r="H1234" s="81" t="s">
        <v>3249</v>
      </c>
      <c r="I1234" s="81" t="s">
        <v>6478</v>
      </c>
      <c r="J1234" s="81" t="s">
        <v>2186</v>
      </c>
      <c r="K1234" s="81" t="s">
        <v>6478</v>
      </c>
      <c r="L1234" s="81" t="s">
        <v>2392</v>
      </c>
      <c r="M1234" s="81" t="s">
        <v>6478</v>
      </c>
      <c r="N1234" s="81" t="s">
        <v>2231</v>
      </c>
      <c r="O1234" s="81" t="s">
        <v>2187</v>
      </c>
      <c r="P1234" s="81" t="s">
        <v>2187</v>
      </c>
      <c r="Q1234" s="81" t="s">
        <v>43</v>
      </c>
      <c r="R1234" s="81" t="s">
        <v>524</v>
      </c>
      <c r="S1234" s="81" t="s">
        <v>525</v>
      </c>
      <c r="T1234" s="81" t="s">
        <v>48</v>
      </c>
      <c r="U1234" s="81" t="s">
        <v>48</v>
      </c>
      <c r="V1234" s="81" t="s">
        <v>49</v>
      </c>
      <c r="W1234" s="81" t="s">
        <v>48</v>
      </c>
      <c r="X1234" s="81" t="s">
        <v>48</v>
      </c>
      <c r="Y1234" s="81" t="s">
        <v>48</v>
      </c>
    </row>
    <row r="1235" spans="1:25" x14ac:dyDescent="0.3">
      <c r="A1235" s="16">
        <v>7502214985805</v>
      </c>
      <c r="B1235" s="81" t="s">
        <v>43</v>
      </c>
      <c r="C1235" s="81" t="s">
        <v>1134</v>
      </c>
      <c r="D1235" s="81" t="s">
        <v>45</v>
      </c>
      <c r="E1235" s="81" t="s">
        <v>2227</v>
      </c>
      <c r="F1235" s="81" t="s">
        <v>2227</v>
      </c>
      <c r="G1235" s="81" t="s">
        <v>3706</v>
      </c>
      <c r="H1235" s="81" t="s">
        <v>2209</v>
      </c>
      <c r="I1235" s="81" t="s">
        <v>6479</v>
      </c>
      <c r="J1235" s="81" t="s">
        <v>2186</v>
      </c>
      <c r="K1235" s="81" t="s">
        <v>6479</v>
      </c>
      <c r="L1235" s="81" t="s">
        <v>2392</v>
      </c>
      <c r="M1235" s="81" t="s">
        <v>6479</v>
      </c>
      <c r="N1235" s="81" t="s">
        <v>2231</v>
      </c>
      <c r="O1235" s="81" t="s">
        <v>2187</v>
      </c>
      <c r="P1235" s="81" t="s">
        <v>2187</v>
      </c>
      <c r="Q1235" s="81" t="s">
        <v>43</v>
      </c>
      <c r="R1235" s="81" t="s">
        <v>524</v>
      </c>
      <c r="S1235" s="81" t="s">
        <v>525</v>
      </c>
      <c r="T1235" s="81" t="s">
        <v>48</v>
      </c>
      <c r="U1235" s="81" t="s">
        <v>48</v>
      </c>
      <c r="V1235" s="81" t="s">
        <v>49</v>
      </c>
      <c r="W1235" s="81" t="s">
        <v>48</v>
      </c>
      <c r="X1235" s="81" t="s">
        <v>48</v>
      </c>
      <c r="Y1235" s="81" t="s">
        <v>48</v>
      </c>
    </row>
    <row r="1236" spans="1:25" x14ac:dyDescent="0.3">
      <c r="A1236" s="16">
        <v>7501022183618</v>
      </c>
      <c r="B1236" s="81" t="s">
        <v>43</v>
      </c>
      <c r="C1236" s="81" t="s">
        <v>1135</v>
      </c>
      <c r="D1236" s="81" t="s">
        <v>45</v>
      </c>
      <c r="E1236" s="81" t="s">
        <v>2227</v>
      </c>
      <c r="F1236" s="81" t="s">
        <v>2227</v>
      </c>
      <c r="G1236" s="81" t="s">
        <v>2569</v>
      </c>
      <c r="H1236" s="81" t="s">
        <v>3289</v>
      </c>
      <c r="I1236" s="81" t="s">
        <v>6480</v>
      </c>
      <c r="J1236" s="81" t="s">
        <v>2186</v>
      </c>
      <c r="K1236" s="81" t="s">
        <v>6480</v>
      </c>
      <c r="L1236" s="81" t="s">
        <v>2392</v>
      </c>
      <c r="M1236" s="81" t="s">
        <v>6480</v>
      </c>
      <c r="N1236" s="81" t="s">
        <v>2231</v>
      </c>
      <c r="O1236" s="81" t="s">
        <v>2187</v>
      </c>
      <c r="P1236" s="81" t="s">
        <v>2187</v>
      </c>
      <c r="Q1236" s="81" t="s">
        <v>43</v>
      </c>
      <c r="R1236" s="81" t="s">
        <v>524</v>
      </c>
      <c r="S1236" s="81" t="s">
        <v>525</v>
      </c>
      <c r="T1236" s="81" t="s">
        <v>48</v>
      </c>
      <c r="U1236" s="81" t="s">
        <v>48</v>
      </c>
      <c r="V1236" s="81" t="s">
        <v>49</v>
      </c>
      <c r="W1236" s="81" t="s">
        <v>48</v>
      </c>
      <c r="X1236" s="81" t="s">
        <v>48</v>
      </c>
      <c r="Y1236" s="81" t="s">
        <v>48</v>
      </c>
    </row>
    <row r="1237" spans="1:25" x14ac:dyDescent="0.3">
      <c r="A1237" s="16">
        <v>7501022130063</v>
      </c>
      <c r="B1237" s="81" t="s">
        <v>43</v>
      </c>
      <c r="C1237" s="81" t="s">
        <v>1136</v>
      </c>
      <c r="D1237" s="81" t="s">
        <v>45</v>
      </c>
      <c r="E1237" s="81" t="s">
        <v>2227</v>
      </c>
      <c r="F1237" s="81" t="s">
        <v>2227</v>
      </c>
      <c r="G1237" s="81" t="s">
        <v>3707</v>
      </c>
      <c r="H1237" s="81" t="s">
        <v>5273</v>
      </c>
      <c r="I1237" s="81" t="s">
        <v>6481</v>
      </c>
      <c r="J1237" s="81" t="s">
        <v>2186</v>
      </c>
      <c r="K1237" s="81" t="s">
        <v>6481</v>
      </c>
      <c r="L1237" s="81" t="s">
        <v>2392</v>
      </c>
      <c r="M1237" s="81" t="s">
        <v>6481</v>
      </c>
      <c r="N1237" s="81" t="s">
        <v>2231</v>
      </c>
      <c r="O1237" s="81" t="s">
        <v>2187</v>
      </c>
      <c r="P1237" s="81" t="s">
        <v>2187</v>
      </c>
      <c r="Q1237" s="81" t="s">
        <v>43</v>
      </c>
      <c r="R1237" s="81" t="s">
        <v>524</v>
      </c>
      <c r="S1237" s="81" t="s">
        <v>525</v>
      </c>
      <c r="T1237" s="81" t="s">
        <v>48</v>
      </c>
      <c r="U1237" s="81" t="s">
        <v>48</v>
      </c>
      <c r="V1237" s="81" t="s">
        <v>49</v>
      </c>
      <c r="W1237" s="81" t="s">
        <v>48</v>
      </c>
      <c r="X1237" s="81" t="s">
        <v>48</v>
      </c>
      <c r="Y1237" s="81" t="s">
        <v>48</v>
      </c>
    </row>
    <row r="1238" spans="1:25" x14ac:dyDescent="0.3">
      <c r="A1238" s="16">
        <v>7501027512574</v>
      </c>
      <c r="B1238" s="81" t="s">
        <v>43</v>
      </c>
      <c r="C1238" s="81" t="s">
        <v>1137</v>
      </c>
      <c r="D1238" s="81" t="s">
        <v>45</v>
      </c>
      <c r="E1238" s="81" t="s">
        <v>2227</v>
      </c>
      <c r="F1238" s="81" t="s">
        <v>2227</v>
      </c>
      <c r="G1238" s="81" t="s">
        <v>3708</v>
      </c>
      <c r="H1238" s="81" t="s">
        <v>6482</v>
      </c>
      <c r="I1238" s="81" t="s">
        <v>6483</v>
      </c>
      <c r="J1238" s="81" t="s">
        <v>2186</v>
      </c>
      <c r="K1238" s="81" t="s">
        <v>6483</v>
      </c>
      <c r="L1238" s="81" t="s">
        <v>2392</v>
      </c>
      <c r="M1238" s="81" t="s">
        <v>6483</v>
      </c>
      <c r="N1238" s="81" t="s">
        <v>2231</v>
      </c>
      <c r="O1238" s="81" t="s">
        <v>2187</v>
      </c>
      <c r="P1238" s="81" t="s">
        <v>2187</v>
      </c>
      <c r="Q1238" s="81" t="s">
        <v>43</v>
      </c>
      <c r="R1238" s="81" t="s">
        <v>122</v>
      </c>
      <c r="S1238" s="81" t="s">
        <v>122</v>
      </c>
      <c r="T1238" s="81" t="s">
        <v>48</v>
      </c>
      <c r="U1238" s="81" t="s">
        <v>48</v>
      </c>
      <c r="V1238" s="81" t="s">
        <v>49</v>
      </c>
      <c r="W1238" s="81" t="s">
        <v>48</v>
      </c>
      <c r="X1238" s="81" t="s">
        <v>48</v>
      </c>
      <c r="Y1238" s="81" t="s">
        <v>48</v>
      </c>
    </row>
    <row r="1239" spans="1:25" x14ac:dyDescent="0.3">
      <c r="A1239" s="16">
        <v>7501384541163</v>
      </c>
      <c r="B1239" s="81" t="s">
        <v>43</v>
      </c>
      <c r="C1239" s="81" t="s">
        <v>1138</v>
      </c>
      <c r="D1239" s="81" t="s">
        <v>45</v>
      </c>
      <c r="E1239" s="81" t="s">
        <v>2227</v>
      </c>
      <c r="F1239" s="81" t="s">
        <v>2227</v>
      </c>
      <c r="G1239" s="81" t="s">
        <v>4909</v>
      </c>
      <c r="H1239" s="81" t="s">
        <v>2218</v>
      </c>
      <c r="I1239" s="81" t="s">
        <v>5602</v>
      </c>
      <c r="J1239" s="81" t="s">
        <v>2186</v>
      </c>
      <c r="K1239" s="81" t="s">
        <v>5602</v>
      </c>
      <c r="L1239" s="81" t="s">
        <v>2392</v>
      </c>
      <c r="M1239" s="81" t="s">
        <v>5602</v>
      </c>
      <c r="N1239" s="81" t="s">
        <v>2231</v>
      </c>
      <c r="O1239" s="81" t="s">
        <v>2187</v>
      </c>
      <c r="P1239" s="81" t="s">
        <v>2187</v>
      </c>
      <c r="Q1239" s="81" t="s">
        <v>43</v>
      </c>
      <c r="R1239" s="81" t="s">
        <v>46</v>
      </c>
      <c r="S1239" s="81" t="s">
        <v>46</v>
      </c>
      <c r="T1239" s="81" t="s">
        <v>48</v>
      </c>
      <c r="U1239" s="81" t="s">
        <v>48</v>
      </c>
      <c r="V1239" s="81" t="s">
        <v>48</v>
      </c>
      <c r="W1239" s="81" t="s">
        <v>49</v>
      </c>
      <c r="X1239" s="81" t="s">
        <v>48</v>
      </c>
      <c r="Y1239" s="81" t="s">
        <v>48</v>
      </c>
    </row>
    <row r="1240" spans="1:25" x14ac:dyDescent="0.3">
      <c r="A1240" s="16">
        <v>7501065053138</v>
      </c>
      <c r="B1240" s="81" t="s">
        <v>43</v>
      </c>
      <c r="C1240" s="81" t="s">
        <v>3709</v>
      </c>
      <c r="D1240" s="81" t="s">
        <v>45</v>
      </c>
      <c r="E1240" s="81" t="s">
        <v>2227</v>
      </c>
      <c r="F1240" s="81" t="s">
        <v>2227</v>
      </c>
      <c r="G1240" s="81" t="s">
        <v>3710</v>
      </c>
      <c r="H1240" s="81" t="s">
        <v>3711</v>
      </c>
      <c r="I1240" s="81" t="s">
        <v>3712</v>
      </c>
      <c r="J1240" s="81" t="s">
        <v>2186</v>
      </c>
      <c r="K1240" s="81" t="s">
        <v>3713</v>
      </c>
      <c r="L1240" s="81" t="s">
        <v>2392</v>
      </c>
      <c r="M1240" s="81" t="s">
        <v>2573</v>
      </c>
      <c r="N1240" s="81" t="s">
        <v>2231</v>
      </c>
      <c r="O1240" s="81" t="s">
        <v>2187</v>
      </c>
      <c r="P1240" s="81" t="s">
        <v>2187</v>
      </c>
      <c r="Q1240" s="81" t="s">
        <v>43</v>
      </c>
      <c r="R1240" s="81" t="s">
        <v>203</v>
      </c>
      <c r="S1240" s="81" t="s">
        <v>203</v>
      </c>
      <c r="T1240" s="81" t="s">
        <v>48</v>
      </c>
      <c r="U1240" s="81" t="s">
        <v>48</v>
      </c>
      <c r="V1240" s="81" t="s">
        <v>48</v>
      </c>
      <c r="W1240" s="81" t="s">
        <v>49</v>
      </c>
      <c r="X1240" s="81" t="s">
        <v>48</v>
      </c>
      <c r="Y1240" s="81" t="s">
        <v>48</v>
      </c>
    </row>
    <row r="1241" spans="1:25" x14ac:dyDescent="0.3">
      <c r="A1241" s="16">
        <v>7501361121500</v>
      </c>
      <c r="B1241" s="81" t="s">
        <v>43</v>
      </c>
      <c r="C1241" s="81" t="s">
        <v>2011</v>
      </c>
      <c r="D1241" s="81" t="s">
        <v>45</v>
      </c>
      <c r="E1241" s="81" t="s">
        <v>2227</v>
      </c>
      <c r="F1241" s="81" t="s">
        <v>2227</v>
      </c>
      <c r="G1241" s="81" t="s">
        <v>3689</v>
      </c>
      <c r="H1241" s="81" t="s">
        <v>2867</v>
      </c>
      <c r="I1241" s="81" t="s">
        <v>6460</v>
      </c>
      <c r="J1241" s="81" t="s">
        <v>2186</v>
      </c>
      <c r="K1241" s="81" t="s">
        <v>6460</v>
      </c>
      <c r="L1241" s="81" t="s">
        <v>2392</v>
      </c>
      <c r="M1241" s="81" t="s">
        <v>6460</v>
      </c>
      <c r="N1241" s="81" t="s">
        <v>2231</v>
      </c>
      <c r="O1241" s="81" t="s">
        <v>2187</v>
      </c>
      <c r="P1241" s="81" t="s">
        <v>2187</v>
      </c>
      <c r="Q1241" s="81" t="s">
        <v>43</v>
      </c>
      <c r="R1241" s="81" t="s">
        <v>524</v>
      </c>
      <c r="S1241" s="81" t="s">
        <v>525</v>
      </c>
      <c r="T1241" s="81" t="s">
        <v>48</v>
      </c>
      <c r="U1241" s="81" t="s">
        <v>48</v>
      </c>
      <c r="V1241" s="81" t="s">
        <v>49</v>
      </c>
      <c r="W1241" s="81" t="s">
        <v>48</v>
      </c>
      <c r="X1241" s="81" t="s">
        <v>48</v>
      </c>
      <c r="Y1241" s="81" t="s">
        <v>48</v>
      </c>
    </row>
    <row r="1242" spans="1:25" x14ac:dyDescent="0.3">
      <c r="A1242" s="16">
        <v>7509546071558</v>
      </c>
      <c r="B1242" s="81" t="s">
        <v>43</v>
      </c>
      <c r="C1242" s="81" t="s">
        <v>1139</v>
      </c>
      <c r="D1242" s="81" t="s">
        <v>45</v>
      </c>
      <c r="E1242" s="81" t="s">
        <v>2227</v>
      </c>
      <c r="F1242" s="81" t="s">
        <v>2227</v>
      </c>
      <c r="G1242" s="81" t="s">
        <v>3714</v>
      </c>
      <c r="H1242" s="81" t="s">
        <v>3161</v>
      </c>
      <c r="I1242" s="81" t="s">
        <v>3715</v>
      </c>
      <c r="J1242" s="81" t="s">
        <v>2186</v>
      </c>
      <c r="K1242" s="81" t="s">
        <v>3716</v>
      </c>
      <c r="L1242" s="81" t="s">
        <v>2392</v>
      </c>
      <c r="M1242" s="81" t="s">
        <v>3717</v>
      </c>
      <c r="N1242" s="81" t="s">
        <v>2231</v>
      </c>
      <c r="O1242" s="81" t="s">
        <v>2187</v>
      </c>
      <c r="P1242" s="81" t="s">
        <v>2187</v>
      </c>
      <c r="Q1242" s="81" t="s">
        <v>43</v>
      </c>
      <c r="R1242" s="81" t="s">
        <v>524</v>
      </c>
      <c r="S1242" s="81" t="s">
        <v>525</v>
      </c>
      <c r="T1242" s="81" t="s">
        <v>48</v>
      </c>
      <c r="U1242" s="81" t="s">
        <v>48</v>
      </c>
      <c r="V1242" s="81" t="s">
        <v>49</v>
      </c>
      <c r="W1242" s="81" t="s">
        <v>48</v>
      </c>
      <c r="X1242" s="81" t="s">
        <v>48</v>
      </c>
      <c r="Y1242" s="81" t="s">
        <v>48</v>
      </c>
    </row>
    <row r="1243" spans="1:25" x14ac:dyDescent="0.3">
      <c r="A1243" s="16">
        <v>7501342803418</v>
      </c>
      <c r="B1243" s="81" t="s">
        <v>43</v>
      </c>
      <c r="C1243" s="81" t="s">
        <v>1140</v>
      </c>
      <c r="D1243" s="81" t="s">
        <v>45</v>
      </c>
      <c r="E1243" s="81" t="s">
        <v>2227</v>
      </c>
      <c r="F1243" s="81" t="s">
        <v>2227</v>
      </c>
      <c r="G1243" s="81" t="s">
        <v>4939</v>
      </c>
      <c r="H1243" s="81" t="s">
        <v>2236</v>
      </c>
      <c r="I1243" s="81" t="s">
        <v>6484</v>
      </c>
      <c r="J1243" s="81" t="s">
        <v>2186</v>
      </c>
      <c r="K1243" s="81" t="s">
        <v>6484</v>
      </c>
      <c r="L1243" s="81" t="s">
        <v>2392</v>
      </c>
      <c r="M1243" s="81" t="s">
        <v>6484</v>
      </c>
      <c r="N1243" s="81" t="s">
        <v>2231</v>
      </c>
      <c r="O1243" s="81" t="s">
        <v>2187</v>
      </c>
      <c r="P1243" s="81" t="s">
        <v>2187</v>
      </c>
      <c r="Q1243" s="81" t="s">
        <v>43</v>
      </c>
      <c r="R1243" s="81" t="s">
        <v>46</v>
      </c>
      <c r="S1243" s="81" t="s">
        <v>47</v>
      </c>
      <c r="T1243" s="81" t="s">
        <v>48</v>
      </c>
      <c r="U1243" s="81" t="s">
        <v>48</v>
      </c>
      <c r="V1243" s="81" t="s">
        <v>48</v>
      </c>
      <c r="W1243" s="81" t="s">
        <v>49</v>
      </c>
      <c r="X1243" s="81" t="s">
        <v>48</v>
      </c>
      <c r="Y1243" s="81" t="s">
        <v>48</v>
      </c>
    </row>
    <row r="1244" spans="1:25" x14ac:dyDescent="0.3">
      <c r="A1244" s="16">
        <v>7501342803067</v>
      </c>
      <c r="B1244" s="81" t="s">
        <v>43</v>
      </c>
      <c r="C1244" s="81" t="s">
        <v>1141</v>
      </c>
      <c r="D1244" s="81" t="s">
        <v>45</v>
      </c>
      <c r="E1244" s="81" t="s">
        <v>2227</v>
      </c>
      <c r="F1244" s="81" t="s">
        <v>2227</v>
      </c>
      <c r="G1244" s="81" t="s">
        <v>5073</v>
      </c>
      <c r="H1244" s="81" t="s">
        <v>2220</v>
      </c>
      <c r="I1244" s="81" t="s">
        <v>6485</v>
      </c>
      <c r="J1244" s="81" t="s">
        <v>2186</v>
      </c>
      <c r="K1244" s="81" t="s">
        <v>6485</v>
      </c>
      <c r="L1244" s="81" t="s">
        <v>2392</v>
      </c>
      <c r="M1244" s="81" t="s">
        <v>6485</v>
      </c>
      <c r="N1244" s="81" t="s">
        <v>2231</v>
      </c>
      <c r="O1244" s="81" t="s">
        <v>2187</v>
      </c>
      <c r="P1244" s="81" t="s">
        <v>2187</v>
      </c>
      <c r="Q1244" s="81" t="s">
        <v>43</v>
      </c>
      <c r="R1244" s="81" t="s">
        <v>46</v>
      </c>
      <c r="S1244" s="81" t="s">
        <v>47</v>
      </c>
      <c r="T1244" s="81" t="s">
        <v>48</v>
      </c>
      <c r="U1244" s="81" t="s">
        <v>48</v>
      </c>
      <c r="V1244" s="81" t="s">
        <v>48</v>
      </c>
      <c r="W1244" s="81" t="s">
        <v>49</v>
      </c>
      <c r="X1244" s="81" t="s">
        <v>48</v>
      </c>
      <c r="Y1244" s="81" t="s">
        <v>48</v>
      </c>
    </row>
    <row r="1245" spans="1:25" x14ac:dyDescent="0.3">
      <c r="A1245" s="16">
        <v>7502009745423</v>
      </c>
      <c r="B1245" s="81" t="s">
        <v>43</v>
      </c>
      <c r="C1245" s="81" t="s">
        <v>4772</v>
      </c>
      <c r="D1245" s="81" t="s">
        <v>45</v>
      </c>
      <c r="E1245" s="81" t="s">
        <v>2227</v>
      </c>
      <c r="F1245" s="81" t="s">
        <v>2227</v>
      </c>
      <c r="G1245" s="81" t="s">
        <v>4773</v>
      </c>
      <c r="H1245" s="81" t="s">
        <v>2365</v>
      </c>
      <c r="I1245" s="81" t="s">
        <v>6486</v>
      </c>
      <c r="J1245" s="81" t="s">
        <v>2186</v>
      </c>
      <c r="K1245" s="81" t="s">
        <v>6486</v>
      </c>
      <c r="L1245" s="81" t="s">
        <v>2392</v>
      </c>
      <c r="M1245" s="81" t="s">
        <v>6486</v>
      </c>
      <c r="N1245" s="81" t="s">
        <v>2231</v>
      </c>
      <c r="O1245" s="81" t="s">
        <v>2187</v>
      </c>
      <c r="P1245" s="81" t="s">
        <v>2187</v>
      </c>
      <c r="Q1245" s="81" t="s">
        <v>43</v>
      </c>
      <c r="R1245" s="81" t="s">
        <v>46</v>
      </c>
      <c r="S1245" s="81" t="s">
        <v>46</v>
      </c>
      <c r="T1245" s="81" t="s">
        <v>48</v>
      </c>
      <c r="U1245" s="81" t="s">
        <v>48</v>
      </c>
      <c r="V1245" s="81" t="s">
        <v>48</v>
      </c>
      <c r="W1245" s="81" t="s">
        <v>49</v>
      </c>
      <c r="X1245" s="81" t="s">
        <v>48</v>
      </c>
      <c r="Y1245" s="81" t="s">
        <v>48</v>
      </c>
    </row>
    <row r="1246" spans="1:25" x14ac:dyDescent="0.3">
      <c r="A1246" s="16">
        <v>7503006698316</v>
      </c>
      <c r="B1246" s="81" t="s">
        <v>43</v>
      </c>
      <c r="C1246" s="81" t="s">
        <v>3718</v>
      </c>
      <c r="D1246" s="81" t="s">
        <v>45</v>
      </c>
      <c r="E1246" s="81" t="s">
        <v>2227</v>
      </c>
      <c r="F1246" s="81" t="s">
        <v>2227</v>
      </c>
      <c r="G1246" s="81" t="s">
        <v>4458</v>
      </c>
      <c r="H1246" s="81" t="s">
        <v>3719</v>
      </c>
      <c r="I1246" s="81" t="s">
        <v>5284</v>
      </c>
      <c r="J1246" s="81" t="s">
        <v>2186</v>
      </c>
      <c r="K1246" s="81" t="s">
        <v>5284</v>
      </c>
      <c r="L1246" s="81" t="s">
        <v>2392</v>
      </c>
      <c r="M1246" s="81" t="s">
        <v>5284</v>
      </c>
      <c r="N1246" s="81" t="s">
        <v>2231</v>
      </c>
      <c r="O1246" s="81" t="s">
        <v>2187</v>
      </c>
      <c r="P1246" s="81" t="s">
        <v>2187</v>
      </c>
      <c r="Q1246" s="81" t="s">
        <v>43</v>
      </c>
      <c r="R1246" s="81" t="s">
        <v>1142</v>
      </c>
      <c r="S1246" s="81" t="s">
        <v>1142</v>
      </c>
      <c r="T1246" s="81" t="s">
        <v>48</v>
      </c>
      <c r="U1246" s="81" t="s">
        <v>48</v>
      </c>
      <c r="V1246" s="81" t="s">
        <v>49</v>
      </c>
      <c r="W1246" s="81" t="s">
        <v>48</v>
      </c>
      <c r="X1246" s="81" t="s">
        <v>48</v>
      </c>
      <c r="Y1246" s="81" t="s">
        <v>48</v>
      </c>
    </row>
    <row r="1247" spans="1:25" x14ac:dyDescent="0.3">
      <c r="A1247" s="16">
        <v>7501943441767</v>
      </c>
      <c r="B1247" s="81" t="s">
        <v>43</v>
      </c>
      <c r="C1247" s="81" t="s">
        <v>1143</v>
      </c>
      <c r="D1247" s="81" t="s">
        <v>45</v>
      </c>
      <c r="E1247" s="81" t="s">
        <v>2227</v>
      </c>
      <c r="F1247" s="81" t="s">
        <v>2227</v>
      </c>
      <c r="G1247" s="81" t="s">
        <v>3720</v>
      </c>
      <c r="H1247" s="81" t="s">
        <v>3721</v>
      </c>
      <c r="I1247" s="81" t="s">
        <v>3722</v>
      </c>
      <c r="J1247" s="81" t="s">
        <v>2186</v>
      </c>
      <c r="K1247" s="81" t="s">
        <v>3723</v>
      </c>
      <c r="L1247" s="81" t="s">
        <v>2392</v>
      </c>
      <c r="M1247" s="81" t="s">
        <v>3315</v>
      </c>
      <c r="N1247" s="81" t="s">
        <v>2231</v>
      </c>
      <c r="O1247" s="81" t="s">
        <v>2187</v>
      </c>
      <c r="P1247" s="81" t="s">
        <v>2187</v>
      </c>
      <c r="Q1247" s="81" t="s">
        <v>43</v>
      </c>
      <c r="R1247" s="81" t="s">
        <v>524</v>
      </c>
      <c r="S1247" s="81" t="s">
        <v>525</v>
      </c>
      <c r="T1247" s="81" t="s">
        <v>48</v>
      </c>
      <c r="U1247" s="81" t="s">
        <v>48</v>
      </c>
      <c r="V1247" s="81" t="s">
        <v>49</v>
      </c>
      <c r="W1247" s="81" t="s">
        <v>48</v>
      </c>
      <c r="X1247" s="81" t="s">
        <v>48</v>
      </c>
      <c r="Y1247" s="81" t="s">
        <v>48</v>
      </c>
    </row>
    <row r="1248" spans="1:25" x14ac:dyDescent="0.3">
      <c r="A1248" s="16">
        <v>7501943441804</v>
      </c>
      <c r="B1248" s="81" t="s">
        <v>43</v>
      </c>
      <c r="C1248" s="81" t="s">
        <v>1144</v>
      </c>
      <c r="D1248" s="81" t="s">
        <v>45</v>
      </c>
      <c r="E1248" s="81" t="s">
        <v>2227</v>
      </c>
      <c r="F1248" s="81" t="s">
        <v>2227</v>
      </c>
      <c r="G1248" s="81" t="s">
        <v>3724</v>
      </c>
      <c r="H1248" s="81" t="s">
        <v>6487</v>
      </c>
      <c r="I1248" s="81" t="s">
        <v>6488</v>
      </c>
      <c r="J1248" s="81" t="s">
        <v>2186</v>
      </c>
      <c r="K1248" s="81" t="s">
        <v>6488</v>
      </c>
      <c r="L1248" s="81" t="s">
        <v>2392</v>
      </c>
      <c r="M1248" s="81" t="s">
        <v>6488</v>
      </c>
      <c r="N1248" s="81" t="s">
        <v>2231</v>
      </c>
      <c r="O1248" s="81" t="s">
        <v>2187</v>
      </c>
      <c r="P1248" s="81" t="s">
        <v>2187</v>
      </c>
      <c r="Q1248" s="81" t="s">
        <v>43</v>
      </c>
      <c r="R1248" s="81" t="s">
        <v>524</v>
      </c>
      <c r="S1248" s="81" t="s">
        <v>525</v>
      </c>
      <c r="T1248" s="81" t="s">
        <v>48</v>
      </c>
      <c r="U1248" s="81" t="s">
        <v>48</v>
      </c>
      <c r="V1248" s="81" t="s">
        <v>49</v>
      </c>
      <c r="W1248" s="81" t="s">
        <v>48</v>
      </c>
      <c r="X1248" s="81" t="s">
        <v>48</v>
      </c>
      <c r="Y1248" s="81" t="s">
        <v>48</v>
      </c>
    </row>
    <row r="1249" spans="1:25" x14ac:dyDescent="0.3">
      <c r="A1249" s="16">
        <v>7506425604340</v>
      </c>
      <c r="B1249" s="81" t="s">
        <v>43</v>
      </c>
      <c r="C1249" s="81" t="s">
        <v>1145</v>
      </c>
      <c r="D1249" s="81" t="s">
        <v>45</v>
      </c>
      <c r="E1249" s="81" t="s">
        <v>2227</v>
      </c>
      <c r="F1249" s="81" t="s">
        <v>2227</v>
      </c>
      <c r="G1249" s="81" t="s">
        <v>3725</v>
      </c>
      <c r="H1249" s="81" t="s">
        <v>6489</v>
      </c>
      <c r="I1249" s="81" t="s">
        <v>6490</v>
      </c>
      <c r="J1249" s="81" t="s">
        <v>2186</v>
      </c>
      <c r="K1249" s="81" t="s">
        <v>6490</v>
      </c>
      <c r="L1249" s="81" t="s">
        <v>2392</v>
      </c>
      <c r="M1249" s="81" t="s">
        <v>6490</v>
      </c>
      <c r="N1249" s="81" t="s">
        <v>2231</v>
      </c>
      <c r="O1249" s="81" t="s">
        <v>2187</v>
      </c>
      <c r="P1249" s="81" t="s">
        <v>2187</v>
      </c>
      <c r="Q1249" s="81" t="s">
        <v>43</v>
      </c>
      <c r="R1249" s="81" t="s">
        <v>524</v>
      </c>
      <c r="S1249" s="81" t="s">
        <v>525</v>
      </c>
      <c r="T1249" s="81" t="s">
        <v>48</v>
      </c>
      <c r="U1249" s="81" t="s">
        <v>48</v>
      </c>
      <c r="V1249" s="81" t="s">
        <v>49</v>
      </c>
      <c r="W1249" s="81" t="s">
        <v>48</v>
      </c>
      <c r="X1249" s="81" t="s">
        <v>48</v>
      </c>
      <c r="Y1249" s="81" t="s">
        <v>48</v>
      </c>
    </row>
    <row r="1250" spans="1:25" x14ac:dyDescent="0.3">
      <c r="A1250" s="16">
        <v>7506425604241</v>
      </c>
      <c r="B1250" s="81" t="s">
        <v>43</v>
      </c>
      <c r="C1250" s="81" t="s">
        <v>1146</v>
      </c>
      <c r="D1250" s="81" t="s">
        <v>45</v>
      </c>
      <c r="E1250" s="81" t="s">
        <v>2227</v>
      </c>
      <c r="F1250" s="81" t="s">
        <v>2227</v>
      </c>
      <c r="G1250" s="81" t="s">
        <v>3726</v>
      </c>
      <c r="H1250" s="81" t="s">
        <v>6491</v>
      </c>
      <c r="I1250" s="81" t="s">
        <v>6492</v>
      </c>
      <c r="J1250" s="81" t="s">
        <v>2186</v>
      </c>
      <c r="K1250" s="81" t="s">
        <v>6492</v>
      </c>
      <c r="L1250" s="81" t="s">
        <v>2392</v>
      </c>
      <c r="M1250" s="81" t="s">
        <v>6492</v>
      </c>
      <c r="N1250" s="81" t="s">
        <v>2231</v>
      </c>
      <c r="O1250" s="81" t="s">
        <v>2187</v>
      </c>
      <c r="P1250" s="81" t="s">
        <v>2187</v>
      </c>
      <c r="Q1250" s="81" t="s">
        <v>43</v>
      </c>
      <c r="R1250" s="81" t="s">
        <v>122</v>
      </c>
      <c r="S1250" s="81" t="s">
        <v>123</v>
      </c>
      <c r="T1250" s="81" t="s">
        <v>48</v>
      </c>
      <c r="U1250" s="81" t="s">
        <v>48</v>
      </c>
      <c r="V1250" s="81" t="s">
        <v>49</v>
      </c>
      <c r="W1250" s="81" t="s">
        <v>48</v>
      </c>
      <c r="X1250" s="81" t="s">
        <v>48</v>
      </c>
      <c r="Y1250" s="81" t="s">
        <v>48</v>
      </c>
    </row>
    <row r="1251" spans="1:25" x14ac:dyDescent="0.3">
      <c r="A1251" s="16">
        <v>7506425604326</v>
      </c>
      <c r="B1251" s="81" t="s">
        <v>43</v>
      </c>
      <c r="C1251" s="81" t="s">
        <v>1147</v>
      </c>
      <c r="D1251" s="81" t="s">
        <v>45</v>
      </c>
      <c r="E1251" s="81" t="s">
        <v>2227</v>
      </c>
      <c r="F1251" s="81" t="s">
        <v>2227</v>
      </c>
      <c r="G1251" s="81" t="s">
        <v>3725</v>
      </c>
      <c r="H1251" s="81" t="s">
        <v>3727</v>
      </c>
      <c r="I1251" s="81" t="s">
        <v>3728</v>
      </c>
      <c r="J1251" s="81" t="s">
        <v>2186</v>
      </c>
      <c r="K1251" s="81" t="s">
        <v>3729</v>
      </c>
      <c r="L1251" s="81" t="s">
        <v>2392</v>
      </c>
      <c r="M1251" s="81" t="s">
        <v>3730</v>
      </c>
      <c r="N1251" s="81" t="s">
        <v>2231</v>
      </c>
      <c r="O1251" s="81" t="s">
        <v>2187</v>
      </c>
      <c r="P1251" s="81" t="s">
        <v>2187</v>
      </c>
      <c r="Q1251" s="81" t="s">
        <v>43</v>
      </c>
      <c r="R1251" s="81" t="s">
        <v>524</v>
      </c>
      <c r="S1251" s="81" t="s">
        <v>525</v>
      </c>
      <c r="T1251" s="81" t="s">
        <v>48</v>
      </c>
      <c r="U1251" s="81" t="s">
        <v>48</v>
      </c>
      <c r="V1251" s="81" t="s">
        <v>49</v>
      </c>
      <c r="W1251" s="81" t="s">
        <v>48</v>
      </c>
      <c r="X1251" s="81" t="s">
        <v>48</v>
      </c>
      <c r="Y1251" s="81" t="s">
        <v>48</v>
      </c>
    </row>
    <row r="1252" spans="1:25" x14ac:dyDescent="0.3">
      <c r="A1252" s="16">
        <v>7502213042882</v>
      </c>
      <c r="B1252" s="81" t="s">
        <v>43</v>
      </c>
      <c r="C1252" s="81" t="s">
        <v>2012</v>
      </c>
      <c r="D1252" s="81" t="s">
        <v>45</v>
      </c>
      <c r="E1252" s="81" t="s">
        <v>2227</v>
      </c>
      <c r="F1252" s="81" t="s">
        <v>2227</v>
      </c>
      <c r="G1252" s="81" t="s">
        <v>5122</v>
      </c>
      <c r="H1252" s="81" t="s">
        <v>2671</v>
      </c>
      <c r="I1252" s="81" t="s">
        <v>6493</v>
      </c>
      <c r="J1252" s="81" t="s">
        <v>2186</v>
      </c>
      <c r="K1252" s="81" t="s">
        <v>6493</v>
      </c>
      <c r="L1252" s="81" t="s">
        <v>2392</v>
      </c>
      <c r="M1252" s="81" t="s">
        <v>6493</v>
      </c>
      <c r="N1252" s="81" t="s">
        <v>2231</v>
      </c>
      <c r="O1252" s="81" t="s">
        <v>2187</v>
      </c>
      <c r="P1252" s="81" t="s">
        <v>2187</v>
      </c>
      <c r="Q1252" s="81" t="s">
        <v>43</v>
      </c>
      <c r="R1252" s="81" t="s">
        <v>46</v>
      </c>
      <c r="S1252" s="81" t="s">
        <v>46</v>
      </c>
      <c r="T1252" s="81" t="s">
        <v>48</v>
      </c>
      <c r="U1252" s="81" t="s">
        <v>48</v>
      </c>
      <c r="V1252" s="81" t="s">
        <v>48</v>
      </c>
      <c r="W1252" s="81" t="s">
        <v>49</v>
      </c>
      <c r="X1252" s="81" t="s">
        <v>48</v>
      </c>
      <c r="Y1252" s="81" t="s">
        <v>48</v>
      </c>
    </row>
    <row r="1253" spans="1:25" x14ac:dyDescent="0.3">
      <c r="A1253" s="16">
        <v>7502213042325</v>
      </c>
      <c r="B1253" s="81" t="s">
        <v>43</v>
      </c>
      <c r="C1253" s="81" t="s">
        <v>1148</v>
      </c>
      <c r="D1253" s="81" t="s">
        <v>45</v>
      </c>
      <c r="E1253" s="81" t="s">
        <v>2227</v>
      </c>
      <c r="F1253" s="81" t="s">
        <v>2227</v>
      </c>
      <c r="G1253" s="81" t="s">
        <v>3731</v>
      </c>
      <c r="H1253" s="81" t="s">
        <v>2190</v>
      </c>
      <c r="I1253" s="81" t="s">
        <v>6027</v>
      </c>
      <c r="J1253" s="81" t="s">
        <v>2186</v>
      </c>
      <c r="K1253" s="81" t="s">
        <v>6027</v>
      </c>
      <c r="L1253" s="81" t="s">
        <v>2392</v>
      </c>
      <c r="M1253" s="81" t="s">
        <v>6027</v>
      </c>
      <c r="N1253" s="81" t="s">
        <v>2231</v>
      </c>
      <c r="O1253" s="81" t="s">
        <v>2187</v>
      </c>
      <c r="P1253" s="81" t="s">
        <v>2187</v>
      </c>
      <c r="Q1253" s="81" t="s">
        <v>43</v>
      </c>
      <c r="R1253" s="81" t="s">
        <v>46</v>
      </c>
      <c r="S1253" s="81" t="s">
        <v>46</v>
      </c>
      <c r="T1253" s="81" t="s">
        <v>48</v>
      </c>
      <c r="U1253" s="81" t="s">
        <v>48</v>
      </c>
      <c r="V1253" s="81" t="s">
        <v>48</v>
      </c>
      <c r="W1253" s="81" t="s">
        <v>49</v>
      </c>
      <c r="X1253" s="81" t="s">
        <v>48</v>
      </c>
      <c r="Y1253" s="81" t="s">
        <v>48</v>
      </c>
    </row>
    <row r="1254" spans="1:25" x14ac:dyDescent="0.3">
      <c r="A1254" s="16">
        <v>7502216807914</v>
      </c>
      <c r="B1254" s="81" t="s">
        <v>43</v>
      </c>
      <c r="C1254" s="81" t="s">
        <v>1149</v>
      </c>
      <c r="D1254" s="81" t="s">
        <v>45</v>
      </c>
      <c r="E1254" s="81" t="s">
        <v>2227</v>
      </c>
      <c r="F1254" s="81" t="s">
        <v>2227</v>
      </c>
      <c r="G1254" s="81" t="s">
        <v>2575</v>
      </c>
      <c r="H1254" s="81" t="s">
        <v>2337</v>
      </c>
      <c r="I1254" s="81" t="s">
        <v>5604</v>
      </c>
      <c r="J1254" s="81" t="s">
        <v>2186</v>
      </c>
      <c r="K1254" s="81" t="s">
        <v>5604</v>
      </c>
      <c r="L1254" s="81" t="s">
        <v>2392</v>
      </c>
      <c r="M1254" s="81" t="s">
        <v>5604</v>
      </c>
      <c r="N1254" s="81" t="s">
        <v>2231</v>
      </c>
      <c r="O1254" s="81" t="s">
        <v>2187</v>
      </c>
      <c r="P1254" s="81" t="s">
        <v>2187</v>
      </c>
      <c r="Q1254" s="81" t="s">
        <v>43</v>
      </c>
      <c r="R1254" s="81" t="s">
        <v>46</v>
      </c>
      <c r="S1254" s="81" t="s">
        <v>46</v>
      </c>
      <c r="T1254" s="81" t="s">
        <v>48</v>
      </c>
      <c r="U1254" s="81" t="s">
        <v>48</v>
      </c>
      <c r="V1254" s="81" t="s">
        <v>48</v>
      </c>
      <c r="W1254" s="81" t="s">
        <v>49</v>
      </c>
      <c r="X1254" s="81" t="s">
        <v>48</v>
      </c>
      <c r="Y1254" s="81" t="s">
        <v>48</v>
      </c>
    </row>
    <row r="1255" spans="1:25" x14ac:dyDescent="0.3">
      <c r="A1255" s="16">
        <v>7502216809765</v>
      </c>
      <c r="B1255" s="81" t="s">
        <v>43</v>
      </c>
      <c r="C1255" s="81" t="s">
        <v>1150</v>
      </c>
      <c r="D1255" s="81" t="s">
        <v>45</v>
      </c>
      <c r="E1255" s="81" t="s">
        <v>2227</v>
      </c>
      <c r="F1255" s="81" t="s">
        <v>2227</v>
      </c>
      <c r="G1255" s="81" t="s">
        <v>3732</v>
      </c>
      <c r="H1255" s="81" t="s">
        <v>3733</v>
      </c>
      <c r="I1255" s="81" t="s">
        <v>6494</v>
      </c>
      <c r="J1255" s="81" t="s">
        <v>2186</v>
      </c>
      <c r="K1255" s="81" t="s">
        <v>6494</v>
      </c>
      <c r="L1255" s="81" t="s">
        <v>2392</v>
      </c>
      <c r="M1255" s="81" t="s">
        <v>6494</v>
      </c>
      <c r="N1255" s="81" t="s">
        <v>2231</v>
      </c>
      <c r="O1255" s="81" t="s">
        <v>2187</v>
      </c>
      <c r="P1255" s="81" t="s">
        <v>2187</v>
      </c>
      <c r="Q1255" s="81" t="s">
        <v>43</v>
      </c>
      <c r="R1255" s="81" t="s">
        <v>101</v>
      </c>
      <c r="S1255" s="81" t="s">
        <v>101</v>
      </c>
      <c r="T1255" s="81" t="s">
        <v>48</v>
      </c>
      <c r="U1255" s="81" t="s">
        <v>48</v>
      </c>
      <c r="V1255" s="81" t="s">
        <v>48</v>
      </c>
      <c r="W1255" s="81" t="s">
        <v>49</v>
      </c>
      <c r="X1255" s="81" t="s">
        <v>48</v>
      </c>
      <c r="Y1255" s="81" t="s">
        <v>48</v>
      </c>
    </row>
    <row r="1256" spans="1:25" x14ac:dyDescent="0.3">
      <c r="A1256" s="16">
        <v>7502208894779</v>
      </c>
      <c r="B1256" s="81" t="s">
        <v>43</v>
      </c>
      <c r="C1256" s="81" t="s">
        <v>2158</v>
      </c>
      <c r="D1256" s="81" t="s">
        <v>45</v>
      </c>
      <c r="E1256" s="81" t="s">
        <v>2227</v>
      </c>
      <c r="F1256" s="81" t="s">
        <v>2227</v>
      </c>
      <c r="G1256" s="81" t="s">
        <v>5274</v>
      </c>
      <c r="H1256" s="81" t="s">
        <v>2291</v>
      </c>
      <c r="I1256" s="81" t="s">
        <v>5765</v>
      </c>
      <c r="J1256" s="81" t="s">
        <v>2186</v>
      </c>
      <c r="K1256" s="81" t="s">
        <v>5765</v>
      </c>
      <c r="L1256" s="81" t="s">
        <v>2392</v>
      </c>
      <c r="M1256" s="81" t="s">
        <v>5765</v>
      </c>
      <c r="N1256" s="81" t="s">
        <v>2231</v>
      </c>
      <c r="O1256" s="81" t="s">
        <v>2187</v>
      </c>
      <c r="P1256" s="81" t="s">
        <v>2187</v>
      </c>
      <c r="Q1256" s="81" t="s">
        <v>1151</v>
      </c>
      <c r="R1256" s="81" t="s">
        <v>46</v>
      </c>
      <c r="S1256" s="81" t="s">
        <v>46</v>
      </c>
      <c r="T1256" s="81" t="s">
        <v>48</v>
      </c>
      <c r="U1256" s="81" t="s">
        <v>48</v>
      </c>
      <c r="V1256" s="81" t="s">
        <v>48</v>
      </c>
      <c r="W1256" s="81" t="s">
        <v>49</v>
      </c>
      <c r="X1256" s="81" t="s">
        <v>48</v>
      </c>
      <c r="Y1256" s="81" t="s">
        <v>48</v>
      </c>
    </row>
    <row r="1257" spans="1:25" x14ac:dyDescent="0.3">
      <c r="A1257" s="16">
        <v>7501168870403</v>
      </c>
      <c r="B1257" s="81" t="s">
        <v>43</v>
      </c>
      <c r="C1257" s="81" t="s">
        <v>4910</v>
      </c>
      <c r="D1257" s="81" t="s">
        <v>45</v>
      </c>
      <c r="E1257" s="81" t="s">
        <v>2227</v>
      </c>
      <c r="F1257" s="81" t="s">
        <v>2227</v>
      </c>
      <c r="G1257" s="81" t="s">
        <v>4318</v>
      </c>
      <c r="H1257" s="81" t="s">
        <v>2663</v>
      </c>
      <c r="I1257" s="81" t="s">
        <v>6495</v>
      </c>
      <c r="J1257" s="81" t="s">
        <v>2186</v>
      </c>
      <c r="K1257" s="81" t="s">
        <v>6495</v>
      </c>
      <c r="L1257" s="81" t="s">
        <v>2392</v>
      </c>
      <c r="M1257" s="81" t="s">
        <v>6495</v>
      </c>
      <c r="N1257" s="81" t="s">
        <v>2231</v>
      </c>
      <c r="O1257" s="81" t="s">
        <v>2187</v>
      </c>
      <c r="P1257" s="81" t="s">
        <v>2187</v>
      </c>
      <c r="Q1257" s="81" t="s">
        <v>43</v>
      </c>
      <c r="R1257" s="81" t="s">
        <v>203</v>
      </c>
      <c r="S1257" s="81" t="s">
        <v>203</v>
      </c>
      <c r="T1257" s="81" t="s">
        <v>48</v>
      </c>
      <c r="U1257" s="81" t="s">
        <v>48</v>
      </c>
      <c r="V1257" s="81" t="s">
        <v>48</v>
      </c>
      <c r="W1257" s="81" t="s">
        <v>49</v>
      </c>
      <c r="X1257" s="81" t="s">
        <v>48</v>
      </c>
      <c r="Y1257" s="81" t="s">
        <v>48</v>
      </c>
    </row>
    <row r="1258" spans="1:25" x14ac:dyDescent="0.3">
      <c r="A1258" s="16">
        <v>7502240451015</v>
      </c>
      <c r="B1258" s="81" t="s">
        <v>43</v>
      </c>
      <c r="C1258" s="81" t="s">
        <v>1823</v>
      </c>
      <c r="D1258" s="81" t="s">
        <v>45</v>
      </c>
      <c r="E1258" s="81" t="s">
        <v>2227</v>
      </c>
      <c r="F1258" s="81" t="s">
        <v>2227</v>
      </c>
      <c r="G1258" s="81" t="s">
        <v>5226</v>
      </c>
      <c r="H1258" s="81" t="s">
        <v>2217</v>
      </c>
      <c r="I1258" s="81" t="s">
        <v>5724</v>
      </c>
      <c r="J1258" s="81" t="s">
        <v>2186</v>
      </c>
      <c r="K1258" s="81" t="s">
        <v>5724</v>
      </c>
      <c r="L1258" s="81" t="s">
        <v>2392</v>
      </c>
      <c r="M1258" s="81" t="s">
        <v>5724</v>
      </c>
      <c r="N1258" s="81" t="s">
        <v>2231</v>
      </c>
      <c r="O1258" s="81" t="s">
        <v>2187</v>
      </c>
      <c r="P1258" s="81" t="s">
        <v>2187</v>
      </c>
      <c r="Q1258" s="81" t="s">
        <v>43</v>
      </c>
      <c r="R1258" s="81" t="s">
        <v>46</v>
      </c>
      <c r="S1258" s="81" t="s">
        <v>46</v>
      </c>
      <c r="T1258" s="81" t="s">
        <v>48</v>
      </c>
      <c r="U1258" s="81" t="s">
        <v>48</v>
      </c>
      <c r="V1258" s="81" t="s">
        <v>48</v>
      </c>
      <c r="W1258" s="81" t="s">
        <v>49</v>
      </c>
      <c r="X1258" s="81" t="s">
        <v>48</v>
      </c>
      <c r="Y1258" s="81" t="s">
        <v>48</v>
      </c>
    </row>
    <row r="1259" spans="1:25" x14ac:dyDescent="0.3">
      <c r="A1259" s="16">
        <v>7501082721676</v>
      </c>
      <c r="B1259" s="81" t="s">
        <v>43</v>
      </c>
      <c r="C1259" s="81" t="s">
        <v>1152</v>
      </c>
      <c r="D1259" s="81" t="s">
        <v>45</v>
      </c>
      <c r="E1259" s="81" t="s">
        <v>2227</v>
      </c>
      <c r="F1259" s="81" t="s">
        <v>2227</v>
      </c>
      <c r="G1259" s="81" t="s">
        <v>3032</v>
      </c>
      <c r="H1259" s="81" t="s">
        <v>3242</v>
      </c>
      <c r="I1259" s="81" t="s">
        <v>6496</v>
      </c>
      <c r="J1259" s="81" t="s">
        <v>2186</v>
      </c>
      <c r="K1259" s="81" t="s">
        <v>6496</v>
      </c>
      <c r="L1259" s="81" t="s">
        <v>2392</v>
      </c>
      <c r="M1259" s="81" t="s">
        <v>6496</v>
      </c>
      <c r="N1259" s="81" t="s">
        <v>2231</v>
      </c>
      <c r="O1259" s="81" t="s">
        <v>2187</v>
      </c>
      <c r="P1259" s="81" t="s">
        <v>2187</v>
      </c>
      <c r="Q1259" s="81" t="s">
        <v>43</v>
      </c>
      <c r="R1259" s="81" t="s">
        <v>524</v>
      </c>
      <c r="S1259" s="81" t="s">
        <v>525</v>
      </c>
      <c r="T1259" s="81" t="s">
        <v>48</v>
      </c>
      <c r="U1259" s="81" t="s">
        <v>48</v>
      </c>
      <c r="V1259" s="81" t="s">
        <v>49</v>
      </c>
      <c r="W1259" s="81" t="s">
        <v>48</v>
      </c>
      <c r="X1259" s="81" t="s">
        <v>48</v>
      </c>
      <c r="Y1259" s="81" t="s">
        <v>48</v>
      </c>
    </row>
    <row r="1260" spans="1:25" x14ac:dyDescent="0.3">
      <c r="A1260" s="16">
        <v>7503003406402</v>
      </c>
      <c r="B1260" s="81" t="s">
        <v>43</v>
      </c>
      <c r="C1260" s="81" t="s">
        <v>2013</v>
      </c>
      <c r="D1260" s="81" t="s">
        <v>45</v>
      </c>
      <c r="E1260" s="81" t="s">
        <v>2227</v>
      </c>
      <c r="F1260" s="81" t="s">
        <v>2227</v>
      </c>
      <c r="G1260" s="81" t="s">
        <v>5512</v>
      </c>
      <c r="H1260" s="81" t="s">
        <v>3041</v>
      </c>
      <c r="I1260" s="81" t="s">
        <v>3247</v>
      </c>
      <c r="J1260" s="81" t="s">
        <v>2186</v>
      </c>
      <c r="K1260" s="81" t="s">
        <v>3054</v>
      </c>
      <c r="L1260" s="81" t="s">
        <v>2392</v>
      </c>
      <c r="M1260" s="81" t="s">
        <v>3055</v>
      </c>
      <c r="N1260" s="81" t="s">
        <v>2231</v>
      </c>
      <c r="O1260" s="81" t="s">
        <v>2187</v>
      </c>
      <c r="P1260" s="81" t="s">
        <v>2187</v>
      </c>
      <c r="Q1260" s="81" t="s">
        <v>43</v>
      </c>
      <c r="R1260" s="81" t="s">
        <v>524</v>
      </c>
      <c r="S1260" s="81" t="s">
        <v>525</v>
      </c>
      <c r="T1260" s="81" t="s">
        <v>48</v>
      </c>
      <c r="U1260" s="81" t="s">
        <v>48</v>
      </c>
      <c r="V1260" s="81" t="s">
        <v>49</v>
      </c>
      <c r="W1260" s="81" t="s">
        <v>48</v>
      </c>
      <c r="X1260" s="81" t="s">
        <v>48</v>
      </c>
      <c r="Y1260" s="81" t="s">
        <v>48</v>
      </c>
    </row>
    <row r="1261" spans="1:25" x14ac:dyDescent="0.3">
      <c r="A1261" s="16">
        <v>7506306249356</v>
      </c>
      <c r="B1261" s="81" t="s">
        <v>43</v>
      </c>
      <c r="C1261" s="81" t="s">
        <v>2014</v>
      </c>
      <c r="D1261" s="81" t="s">
        <v>45</v>
      </c>
      <c r="E1261" s="81" t="s">
        <v>2227</v>
      </c>
      <c r="F1261" s="81" t="s">
        <v>2227</v>
      </c>
      <c r="G1261" s="81" t="s">
        <v>5513</v>
      </c>
      <c r="H1261" s="81" t="s">
        <v>3242</v>
      </c>
      <c r="I1261" s="81" t="s">
        <v>6497</v>
      </c>
      <c r="J1261" s="81" t="s">
        <v>2186</v>
      </c>
      <c r="K1261" s="81" t="s">
        <v>6497</v>
      </c>
      <c r="L1261" s="81" t="s">
        <v>2392</v>
      </c>
      <c r="M1261" s="81" t="s">
        <v>6497</v>
      </c>
      <c r="N1261" s="81" t="s">
        <v>2231</v>
      </c>
      <c r="O1261" s="81" t="s">
        <v>2187</v>
      </c>
      <c r="P1261" s="81" t="s">
        <v>2187</v>
      </c>
      <c r="Q1261" s="81" t="s">
        <v>43</v>
      </c>
      <c r="R1261" s="81" t="s">
        <v>203</v>
      </c>
      <c r="S1261" s="81" t="s">
        <v>203</v>
      </c>
      <c r="T1261" s="81" t="s">
        <v>48</v>
      </c>
      <c r="U1261" s="81" t="s">
        <v>48</v>
      </c>
      <c r="V1261" s="81" t="s">
        <v>49</v>
      </c>
      <c r="W1261" s="81" t="s">
        <v>48</v>
      </c>
      <c r="X1261" s="81" t="s">
        <v>48</v>
      </c>
      <c r="Y1261" s="81" t="s">
        <v>48</v>
      </c>
    </row>
    <row r="1262" spans="1:25" x14ac:dyDescent="0.3">
      <c r="A1262" s="16">
        <v>7503003406785</v>
      </c>
      <c r="B1262" s="81" t="s">
        <v>43</v>
      </c>
      <c r="C1262" s="81" t="s">
        <v>2015</v>
      </c>
      <c r="D1262" s="81" t="s">
        <v>45</v>
      </c>
      <c r="E1262" s="81" t="s">
        <v>2227</v>
      </c>
      <c r="F1262" s="81" t="s">
        <v>2227</v>
      </c>
      <c r="G1262" s="81" t="s">
        <v>3701</v>
      </c>
      <c r="H1262" s="81" t="s">
        <v>2351</v>
      </c>
      <c r="I1262" s="81" t="s">
        <v>6498</v>
      </c>
      <c r="J1262" s="81" t="s">
        <v>2186</v>
      </c>
      <c r="K1262" s="81" t="s">
        <v>6498</v>
      </c>
      <c r="L1262" s="81" t="s">
        <v>2392</v>
      </c>
      <c r="M1262" s="81" t="s">
        <v>6498</v>
      </c>
      <c r="N1262" s="81" t="s">
        <v>2231</v>
      </c>
      <c r="O1262" s="81" t="s">
        <v>2187</v>
      </c>
      <c r="P1262" s="81" t="s">
        <v>2187</v>
      </c>
      <c r="Q1262" s="81" t="s">
        <v>43</v>
      </c>
      <c r="R1262" s="81" t="s">
        <v>122</v>
      </c>
      <c r="S1262" s="81" t="s">
        <v>123</v>
      </c>
      <c r="T1262" s="81" t="s">
        <v>48</v>
      </c>
      <c r="U1262" s="81" t="s">
        <v>48</v>
      </c>
      <c r="V1262" s="81" t="s">
        <v>49</v>
      </c>
      <c r="W1262" s="81" t="s">
        <v>48</v>
      </c>
      <c r="X1262" s="81" t="s">
        <v>48</v>
      </c>
      <c r="Y1262" s="81" t="s">
        <v>48</v>
      </c>
    </row>
    <row r="1263" spans="1:25" x14ac:dyDescent="0.3">
      <c r="A1263" s="16">
        <v>7503003406334</v>
      </c>
      <c r="B1263" s="81" t="s">
        <v>43</v>
      </c>
      <c r="C1263" s="81" t="s">
        <v>2159</v>
      </c>
      <c r="D1263" s="81" t="s">
        <v>45</v>
      </c>
      <c r="E1263" s="81" t="s">
        <v>2227</v>
      </c>
      <c r="F1263" s="81" t="s">
        <v>2227</v>
      </c>
      <c r="G1263" s="81" t="s">
        <v>3701</v>
      </c>
      <c r="H1263" s="81" t="s">
        <v>2867</v>
      </c>
      <c r="I1263" s="81" t="s">
        <v>6358</v>
      </c>
      <c r="J1263" s="81" t="s">
        <v>2186</v>
      </c>
      <c r="K1263" s="81" t="s">
        <v>6358</v>
      </c>
      <c r="L1263" s="81" t="s">
        <v>2392</v>
      </c>
      <c r="M1263" s="81" t="s">
        <v>6358</v>
      </c>
      <c r="N1263" s="81" t="s">
        <v>2231</v>
      </c>
      <c r="O1263" s="81" t="s">
        <v>2187</v>
      </c>
      <c r="P1263" s="81" t="s">
        <v>2187</v>
      </c>
      <c r="Q1263" s="81" t="s">
        <v>43</v>
      </c>
      <c r="R1263" s="81" t="s">
        <v>122</v>
      </c>
      <c r="S1263" s="81" t="s">
        <v>123</v>
      </c>
      <c r="T1263" s="81" t="s">
        <v>48</v>
      </c>
      <c r="U1263" s="81" t="s">
        <v>48</v>
      </c>
      <c r="V1263" s="81" t="s">
        <v>49</v>
      </c>
      <c r="W1263" s="81" t="s">
        <v>48</v>
      </c>
      <c r="X1263" s="81" t="s">
        <v>48</v>
      </c>
      <c r="Y1263" s="81" t="s">
        <v>48</v>
      </c>
    </row>
    <row r="1264" spans="1:25" x14ac:dyDescent="0.3">
      <c r="A1264" s="16">
        <v>7503003406327</v>
      </c>
      <c r="B1264" s="81" t="s">
        <v>43</v>
      </c>
      <c r="C1264" s="81" t="s">
        <v>2016</v>
      </c>
      <c r="D1264" s="81" t="s">
        <v>45</v>
      </c>
      <c r="E1264" s="81" t="s">
        <v>2227</v>
      </c>
      <c r="F1264" s="81" t="s">
        <v>2227</v>
      </c>
      <c r="G1264" s="81" t="s">
        <v>4284</v>
      </c>
      <c r="H1264" s="81" t="s">
        <v>2868</v>
      </c>
      <c r="I1264" s="81" t="s">
        <v>6499</v>
      </c>
      <c r="J1264" s="81" t="s">
        <v>2186</v>
      </c>
      <c r="K1264" s="81" t="s">
        <v>6499</v>
      </c>
      <c r="L1264" s="81" t="s">
        <v>2392</v>
      </c>
      <c r="M1264" s="81" t="s">
        <v>6499</v>
      </c>
      <c r="N1264" s="81" t="s">
        <v>2231</v>
      </c>
      <c r="O1264" s="81" t="s">
        <v>2187</v>
      </c>
      <c r="P1264" s="81" t="s">
        <v>2187</v>
      </c>
      <c r="Q1264" s="81" t="s">
        <v>43</v>
      </c>
      <c r="R1264" s="81" t="s">
        <v>122</v>
      </c>
      <c r="S1264" s="81" t="s">
        <v>123</v>
      </c>
      <c r="T1264" s="81" t="s">
        <v>48</v>
      </c>
      <c r="U1264" s="81" t="s">
        <v>48</v>
      </c>
      <c r="V1264" s="81" t="s">
        <v>49</v>
      </c>
      <c r="W1264" s="81" t="s">
        <v>48</v>
      </c>
      <c r="X1264" s="81" t="s">
        <v>48</v>
      </c>
      <c r="Y1264" s="81" t="s">
        <v>48</v>
      </c>
    </row>
    <row r="1265" spans="1:25" x14ac:dyDescent="0.3">
      <c r="A1265" s="16">
        <v>759684315107</v>
      </c>
      <c r="B1265" s="81" t="s">
        <v>43</v>
      </c>
      <c r="C1265" s="81" t="s">
        <v>1153</v>
      </c>
      <c r="D1265" s="81" t="s">
        <v>45</v>
      </c>
      <c r="E1265" s="81" t="s">
        <v>2227</v>
      </c>
      <c r="F1265" s="81" t="s">
        <v>2227</v>
      </c>
      <c r="G1265" s="81" t="s">
        <v>5036</v>
      </c>
      <c r="H1265" s="81" t="s">
        <v>6500</v>
      </c>
      <c r="I1265" s="81" t="s">
        <v>6501</v>
      </c>
      <c r="J1265" s="81" t="s">
        <v>2186</v>
      </c>
      <c r="K1265" s="81" t="s">
        <v>6501</v>
      </c>
      <c r="L1265" s="81" t="s">
        <v>2392</v>
      </c>
      <c r="M1265" s="81" t="s">
        <v>6501</v>
      </c>
      <c r="N1265" s="81" t="s">
        <v>2231</v>
      </c>
      <c r="O1265" s="81" t="s">
        <v>2187</v>
      </c>
      <c r="P1265" s="81" t="s">
        <v>2187</v>
      </c>
      <c r="Q1265" s="81" t="s">
        <v>43</v>
      </c>
      <c r="R1265" s="81" t="s">
        <v>122</v>
      </c>
      <c r="S1265" s="81" t="s">
        <v>123</v>
      </c>
      <c r="T1265" s="81" t="s">
        <v>48</v>
      </c>
      <c r="U1265" s="81" t="s">
        <v>48</v>
      </c>
      <c r="V1265" s="81" t="s">
        <v>49</v>
      </c>
      <c r="W1265" s="81" t="s">
        <v>48</v>
      </c>
      <c r="X1265" s="81" t="s">
        <v>48</v>
      </c>
      <c r="Y1265" s="81" t="s">
        <v>48</v>
      </c>
    </row>
    <row r="1266" spans="1:25" x14ac:dyDescent="0.3">
      <c r="A1266" s="16">
        <v>759684315152</v>
      </c>
      <c r="B1266" s="81" t="s">
        <v>43</v>
      </c>
      <c r="C1266" s="81" t="s">
        <v>1154</v>
      </c>
      <c r="D1266" s="81" t="s">
        <v>45</v>
      </c>
      <c r="E1266" s="81" t="s">
        <v>2227</v>
      </c>
      <c r="F1266" s="81" t="s">
        <v>2227</v>
      </c>
      <c r="G1266" s="81" t="s">
        <v>4754</v>
      </c>
      <c r="H1266" s="81" t="s">
        <v>3228</v>
      </c>
      <c r="I1266" s="81" t="s">
        <v>6502</v>
      </c>
      <c r="J1266" s="81" t="s">
        <v>2186</v>
      </c>
      <c r="K1266" s="81" t="s">
        <v>6502</v>
      </c>
      <c r="L1266" s="81" t="s">
        <v>2392</v>
      </c>
      <c r="M1266" s="81" t="s">
        <v>6502</v>
      </c>
      <c r="N1266" s="81" t="s">
        <v>2231</v>
      </c>
      <c r="O1266" s="81" t="s">
        <v>2187</v>
      </c>
      <c r="P1266" s="81" t="s">
        <v>2187</v>
      </c>
      <c r="Q1266" s="81" t="s">
        <v>43</v>
      </c>
      <c r="R1266" s="81" t="s">
        <v>122</v>
      </c>
      <c r="S1266" s="81" t="s">
        <v>123</v>
      </c>
      <c r="T1266" s="81" t="s">
        <v>48</v>
      </c>
      <c r="U1266" s="81" t="s">
        <v>48</v>
      </c>
      <c r="V1266" s="81" t="s">
        <v>49</v>
      </c>
      <c r="W1266" s="81" t="s">
        <v>48</v>
      </c>
      <c r="X1266" s="81" t="s">
        <v>48</v>
      </c>
      <c r="Y1266" s="81" t="s">
        <v>48</v>
      </c>
    </row>
    <row r="1267" spans="1:25" x14ac:dyDescent="0.3">
      <c r="A1267" s="16">
        <v>759684315053</v>
      </c>
      <c r="B1267" s="81" t="s">
        <v>43</v>
      </c>
      <c r="C1267" s="81" t="s">
        <v>1155</v>
      </c>
      <c r="D1267" s="81" t="s">
        <v>45</v>
      </c>
      <c r="E1267" s="81" t="s">
        <v>2227</v>
      </c>
      <c r="F1267" s="81" t="s">
        <v>2227</v>
      </c>
      <c r="G1267" s="81" t="s">
        <v>2942</v>
      </c>
      <c r="H1267" s="81" t="s">
        <v>6503</v>
      </c>
      <c r="I1267" s="81" t="s">
        <v>6504</v>
      </c>
      <c r="J1267" s="81" t="s">
        <v>2186</v>
      </c>
      <c r="K1267" s="81" t="s">
        <v>6504</v>
      </c>
      <c r="L1267" s="81" t="s">
        <v>2392</v>
      </c>
      <c r="M1267" s="81" t="s">
        <v>6504</v>
      </c>
      <c r="N1267" s="81" t="s">
        <v>2231</v>
      </c>
      <c r="O1267" s="81" t="s">
        <v>2187</v>
      </c>
      <c r="P1267" s="81" t="s">
        <v>2187</v>
      </c>
      <c r="Q1267" s="81" t="s">
        <v>43</v>
      </c>
      <c r="R1267" s="81" t="s">
        <v>122</v>
      </c>
      <c r="S1267" s="81" t="s">
        <v>123</v>
      </c>
      <c r="T1267" s="81" t="s">
        <v>48</v>
      </c>
      <c r="U1267" s="81" t="s">
        <v>48</v>
      </c>
      <c r="V1267" s="81" t="s">
        <v>49</v>
      </c>
      <c r="W1267" s="81" t="s">
        <v>48</v>
      </c>
      <c r="X1267" s="81" t="s">
        <v>48</v>
      </c>
      <c r="Y1267" s="81" t="s">
        <v>48</v>
      </c>
    </row>
    <row r="1268" spans="1:25" x14ac:dyDescent="0.3">
      <c r="A1268" s="16">
        <v>759684315206</v>
      </c>
      <c r="B1268" s="81" t="s">
        <v>43</v>
      </c>
      <c r="C1268" s="81" t="s">
        <v>1824</v>
      </c>
      <c r="D1268" s="81" t="s">
        <v>45</v>
      </c>
      <c r="E1268" s="81" t="s">
        <v>2227</v>
      </c>
      <c r="F1268" s="81" t="s">
        <v>2227</v>
      </c>
      <c r="G1268" s="81" t="s">
        <v>3818</v>
      </c>
      <c r="H1268" s="81" t="s">
        <v>6505</v>
      </c>
      <c r="I1268" s="81" t="s">
        <v>6506</v>
      </c>
      <c r="J1268" s="81" t="s">
        <v>2186</v>
      </c>
      <c r="K1268" s="81" t="s">
        <v>6506</v>
      </c>
      <c r="L1268" s="81" t="s">
        <v>2392</v>
      </c>
      <c r="M1268" s="81" t="s">
        <v>6506</v>
      </c>
      <c r="N1268" s="81" t="s">
        <v>2231</v>
      </c>
      <c r="O1268" s="81" t="s">
        <v>2187</v>
      </c>
      <c r="P1268" s="81" t="s">
        <v>2187</v>
      </c>
      <c r="Q1268" s="81" t="s">
        <v>43</v>
      </c>
      <c r="R1268" s="81" t="s">
        <v>122</v>
      </c>
      <c r="S1268" s="81" t="s">
        <v>123</v>
      </c>
      <c r="T1268" s="81" t="s">
        <v>48</v>
      </c>
      <c r="U1268" s="81" t="s">
        <v>48</v>
      </c>
      <c r="V1268" s="81" t="s">
        <v>49</v>
      </c>
      <c r="W1268" s="81" t="s">
        <v>48</v>
      </c>
      <c r="X1268" s="81" t="s">
        <v>48</v>
      </c>
      <c r="Y1268" s="81" t="s">
        <v>48</v>
      </c>
    </row>
    <row r="1269" spans="1:25" x14ac:dyDescent="0.3">
      <c r="A1269" s="16">
        <v>7501027513601</v>
      </c>
      <c r="B1269" s="81" t="s">
        <v>43</v>
      </c>
      <c r="C1269" s="81" t="s">
        <v>5123</v>
      </c>
      <c r="D1269" s="81" t="s">
        <v>45</v>
      </c>
      <c r="E1269" s="81" t="s">
        <v>2227</v>
      </c>
      <c r="F1269" s="81" t="s">
        <v>2227</v>
      </c>
      <c r="G1269" s="81" t="s">
        <v>4870</v>
      </c>
      <c r="H1269" s="81" t="s">
        <v>3835</v>
      </c>
      <c r="I1269" s="81" t="s">
        <v>6507</v>
      </c>
      <c r="J1269" s="81" t="s">
        <v>2186</v>
      </c>
      <c r="K1269" s="81" t="s">
        <v>6507</v>
      </c>
      <c r="L1269" s="81" t="s">
        <v>2392</v>
      </c>
      <c r="M1269" s="81" t="s">
        <v>6507</v>
      </c>
      <c r="N1269" s="81" t="s">
        <v>2231</v>
      </c>
      <c r="O1269" s="81" t="s">
        <v>2187</v>
      </c>
      <c r="P1269" s="81" t="s">
        <v>2187</v>
      </c>
      <c r="Q1269" s="81" t="s">
        <v>43</v>
      </c>
      <c r="R1269" s="81" t="s">
        <v>122</v>
      </c>
      <c r="S1269" s="81" t="s">
        <v>123</v>
      </c>
      <c r="T1269" s="81" t="s">
        <v>48</v>
      </c>
      <c r="U1269" s="81" t="s">
        <v>48</v>
      </c>
      <c r="V1269" s="81" t="s">
        <v>49</v>
      </c>
      <c r="W1269" s="81" t="s">
        <v>48</v>
      </c>
      <c r="X1269" s="81" t="s">
        <v>48</v>
      </c>
      <c r="Y1269" s="81" t="s">
        <v>48</v>
      </c>
    </row>
    <row r="1270" spans="1:25" x14ac:dyDescent="0.3">
      <c r="A1270" s="16">
        <v>7503003406310</v>
      </c>
      <c r="B1270" s="81" t="s">
        <v>43</v>
      </c>
      <c r="C1270" s="81" t="s">
        <v>3739</v>
      </c>
      <c r="D1270" s="81" t="s">
        <v>45</v>
      </c>
      <c r="E1270" s="81" t="s">
        <v>2227</v>
      </c>
      <c r="F1270" s="81" t="s">
        <v>2227</v>
      </c>
      <c r="G1270" s="81" t="s">
        <v>4820</v>
      </c>
      <c r="H1270" s="81" t="s">
        <v>2943</v>
      </c>
      <c r="I1270" s="81" t="s">
        <v>6508</v>
      </c>
      <c r="J1270" s="81" t="s">
        <v>2186</v>
      </c>
      <c r="K1270" s="81" t="s">
        <v>6508</v>
      </c>
      <c r="L1270" s="81" t="s">
        <v>2392</v>
      </c>
      <c r="M1270" s="81" t="s">
        <v>6508</v>
      </c>
      <c r="N1270" s="81" t="s">
        <v>2231</v>
      </c>
      <c r="O1270" s="81" t="s">
        <v>2187</v>
      </c>
      <c r="P1270" s="81" t="s">
        <v>2187</v>
      </c>
      <c r="Q1270" s="81" t="s">
        <v>43</v>
      </c>
      <c r="R1270" s="81" t="s">
        <v>122</v>
      </c>
      <c r="S1270" s="81" t="s">
        <v>123</v>
      </c>
      <c r="T1270" s="81" t="s">
        <v>48</v>
      </c>
      <c r="U1270" s="81" t="s">
        <v>48</v>
      </c>
      <c r="V1270" s="81" t="s">
        <v>49</v>
      </c>
      <c r="W1270" s="81" t="s">
        <v>48</v>
      </c>
      <c r="X1270" s="81" t="s">
        <v>48</v>
      </c>
      <c r="Y1270" s="81" t="s">
        <v>48</v>
      </c>
    </row>
    <row r="1271" spans="1:25" x14ac:dyDescent="0.3">
      <c r="A1271" s="16">
        <v>7501008499702</v>
      </c>
      <c r="B1271" s="81" t="s">
        <v>43</v>
      </c>
      <c r="C1271" s="81" t="s">
        <v>1825</v>
      </c>
      <c r="D1271" s="81" t="s">
        <v>45</v>
      </c>
      <c r="E1271" s="81" t="s">
        <v>2227</v>
      </c>
      <c r="F1271" s="81" t="s">
        <v>2227</v>
      </c>
      <c r="G1271" s="81" t="s">
        <v>5318</v>
      </c>
      <c r="H1271" s="81" t="s">
        <v>2426</v>
      </c>
      <c r="I1271" s="81" t="s">
        <v>4609</v>
      </c>
      <c r="J1271" s="81" t="s">
        <v>2186</v>
      </c>
      <c r="K1271" s="81" t="s">
        <v>4610</v>
      </c>
      <c r="L1271" s="81" t="s">
        <v>2392</v>
      </c>
      <c r="M1271" s="81" t="s">
        <v>4611</v>
      </c>
      <c r="N1271" s="81" t="s">
        <v>2231</v>
      </c>
      <c r="O1271" s="81" t="s">
        <v>2187</v>
      </c>
      <c r="P1271" s="81" t="s">
        <v>2187</v>
      </c>
      <c r="Q1271" s="81" t="s">
        <v>43</v>
      </c>
      <c r="R1271" s="81" t="s">
        <v>56</v>
      </c>
      <c r="S1271" s="81" t="s">
        <v>57</v>
      </c>
      <c r="T1271" s="81" t="s">
        <v>48</v>
      </c>
      <c r="U1271" s="81" t="s">
        <v>48</v>
      </c>
      <c r="V1271" s="81" t="s">
        <v>48</v>
      </c>
      <c r="W1271" s="81" t="s">
        <v>49</v>
      </c>
      <c r="X1271" s="81" t="s">
        <v>48</v>
      </c>
      <c r="Y1271" s="81" t="s">
        <v>48</v>
      </c>
    </row>
    <row r="1272" spans="1:25" x14ac:dyDescent="0.3">
      <c r="A1272" s="16" t="s">
        <v>1156</v>
      </c>
      <c r="B1272" s="81" t="s">
        <v>43</v>
      </c>
      <c r="C1272" s="81" t="s">
        <v>1157</v>
      </c>
      <c r="D1272" s="81" t="s">
        <v>45</v>
      </c>
      <c r="E1272" s="81" t="s">
        <v>2227</v>
      </c>
      <c r="F1272" s="81" t="s">
        <v>2227</v>
      </c>
      <c r="G1272" s="81" t="s">
        <v>3482</v>
      </c>
      <c r="H1272" s="81" t="s">
        <v>2207</v>
      </c>
      <c r="I1272" s="81" t="s">
        <v>5612</v>
      </c>
      <c r="J1272" s="81" t="s">
        <v>2186</v>
      </c>
      <c r="K1272" s="81" t="s">
        <v>5612</v>
      </c>
      <c r="L1272" s="81" t="s">
        <v>2392</v>
      </c>
      <c r="M1272" s="81" t="s">
        <v>5612</v>
      </c>
      <c r="N1272" s="81" t="s">
        <v>2231</v>
      </c>
      <c r="O1272" s="81" t="s">
        <v>2187</v>
      </c>
      <c r="P1272" s="81" t="s">
        <v>2187</v>
      </c>
      <c r="Q1272" s="81" t="s">
        <v>43</v>
      </c>
      <c r="R1272" s="81" t="s">
        <v>46</v>
      </c>
      <c r="S1272" s="81" t="s">
        <v>73</v>
      </c>
      <c r="T1272" s="81" t="s">
        <v>48</v>
      </c>
      <c r="U1272" s="81" t="s">
        <v>48</v>
      </c>
      <c r="V1272" s="81" t="s">
        <v>48</v>
      </c>
      <c r="W1272" s="81" t="s">
        <v>49</v>
      </c>
      <c r="X1272" s="81" t="s">
        <v>48</v>
      </c>
      <c r="Y1272" s="81" t="s">
        <v>48</v>
      </c>
    </row>
    <row r="1273" spans="1:25" x14ac:dyDescent="0.3">
      <c r="A1273" s="16">
        <v>7502216798373</v>
      </c>
      <c r="B1273" s="81" t="s">
        <v>43</v>
      </c>
      <c r="C1273" s="81" t="s">
        <v>2017</v>
      </c>
      <c r="D1273" s="81" t="s">
        <v>45</v>
      </c>
      <c r="E1273" s="81" t="s">
        <v>2227</v>
      </c>
      <c r="F1273" s="81" t="s">
        <v>2227</v>
      </c>
      <c r="G1273" s="81" t="s">
        <v>4103</v>
      </c>
      <c r="H1273" s="81" t="s">
        <v>2291</v>
      </c>
      <c r="I1273" s="81" t="s">
        <v>4578</v>
      </c>
      <c r="J1273" s="81" t="s">
        <v>2186</v>
      </c>
      <c r="K1273" s="81" t="s">
        <v>4578</v>
      </c>
      <c r="L1273" s="81" t="s">
        <v>2392</v>
      </c>
      <c r="M1273" s="81" t="s">
        <v>4578</v>
      </c>
      <c r="N1273" s="81" t="s">
        <v>2231</v>
      </c>
      <c r="O1273" s="81" t="s">
        <v>2187</v>
      </c>
      <c r="P1273" s="81" t="s">
        <v>2187</v>
      </c>
      <c r="Q1273" s="81" t="s">
        <v>43</v>
      </c>
      <c r="R1273" s="81" t="s">
        <v>468</v>
      </c>
      <c r="S1273" s="81" t="s">
        <v>46</v>
      </c>
      <c r="T1273" s="81" t="s">
        <v>48</v>
      </c>
      <c r="U1273" s="81" t="s">
        <v>48</v>
      </c>
      <c r="V1273" s="81" t="s">
        <v>48</v>
      </c>
      <c r="W1273" s="81" t="s">
        <v>49</v>
      </c>
      <c r="X1273" s="81" t="s">
        <v>48</v>
      </c>
      <c r="Y1273" s="81" t="s">
        <v>48</v>
      </c>
    </row>
    <row r="1274" spans="1:25" x14ac:dyDescent="0.3">
      <c r="A1274" s="16">
        <v>7501130712625</v>
      </c>
      <c r="B1274" s="81" t="s">
        <v>43</v>
      </c>
      <c r="C1274" s="81" t="s">
        <v>1158</v>
      </c>
      <c r="D1274" s="81" t="s">
        <v>45</v>
      </c>
      <c r="E1274" s="81" t="s">
        <v>2227</v>
      </c>
      <c r="F1274" s="81" t="s">
        <v>2227</v>
      </c>
      <c r="G1274" s="81" t="s">
        <v>3741</v>
      </c>
      <c r="H1274" s="81" t="s">
        <v>6509</v>
      </c>
      <c r="I1274" s="81" t="s">
        <v>6510</v>
      </c>
      <c r="J1274" s="81" t="s">
        <v>2186</v>
      </c>
      <c r="K1274" s="81" t="s">
        <v>6510</v>
      </c>
      <c r="L1274" s="81" t="s">
        <v>2392</v>
      </c>
      <c r="M1274" s="81" t="s">
        <v>6510</v>
      </c>
      <c r="N1274" s="81" t="s">
        <v>2231</v>
      </c>
      <c r="O1274" s="81" t="s">
        <v>2187</v>
      </c>
      <c r="P1274" s="81" t="s">
        <v>2187</v>
      </c>
      <c r="Q1274" s="81" t="s">
        <v>1159</v>
      </c>
      <c r="R1274" s="81" t="s">
        <v>46</v>
      </c>
      <c r="S1274" s="81" t="s">
        <v>47</v>
      </c>
      <c r="T1274" s="81" t="s">
        <v>48</v>
      </c>
      <c r="U1274" s="81" t="s">
        <v>48</v>
      </c>
      <c r="V1274" s="81" t="s">
        <v>48</v>
      </c>
      <c r="W1274" s="81" t="s">
        <v>49</v>
      </c>
      <c r="X1274" s="81" t="s">
        <v>48</v>
      </c>
      <c r="Y1274" s="81" t="s">
        <v>48</v>
      </c>
    </row>
    <row r="1275" spans="1:25" x14ac:dyDescent="0.3">
      <c r="A1275" s="16">
        <v>759684351099</v>
      </c>
      <c r="B1275" s="81" t="s">
        <v>43</v>
      </c>
      <c r="C1275" s="81" t="s">
        <v>1670</v>
      </c>
      <c r="D1275" s="81" t="s">
        <v>45</v>
      </c>
      <c r="E1275" s="81" t="s">
        <v>2227</v>
      </c>
      <c r="F1275" s="81" t="s">
        <v>2227</v>
      </c>
      <c r="G1275" s="81" t="s">
        <v>3742</v>
      </c>
      <c r="H1275" s="81" t="s">
        <v>3743</v>
      </c>
      <c r="I1275" s="81" t="s">
        <v>6511</v>
      </c>
      <c r="J1275" s="81" t="s">
        <v>2186</v>
      </c>
      <c r="K1275" s="81" t="s">
        <v>6511</v>
      </c>
      <c r="L1275" s="81" t="s">
        <v>2392</v>
      </c>
      <c r="M1275" s="81" t="s">
        <v>6511</v>
      </c>
      <c r="N1275" s="81" t="s">
        <v>2231</v>
      </c>
      <c r="O1275" s="81" t="s">
        <v>2187</v>
      </c>
      <c r="P1275" s="81" t="s">
        <v>2187</v>
      </c>
      <c r="Q1275" s="81" t="s">
        <v>43</v>
      </c>
      <c r="R1275" s="81" t="s">
        <v>122</v>
      </c>
      <c r="S1275" s="81" t="s">
        <v>123</v>
      </c>
      <c r="T1275" s="81" t="s">
        <v>48</v>
      </c>
      <c r="U1275" s="81" t="s">
        <v>48</v>
      </c>
      <c r="V1275" s="81" t="s">
        <v>49</v>
      </c>
      <c r="W1275" s="81" t="s">
        <v>48</v>
      </c>
      <c r="X1275" s="81" t="s">
        <v>48</v>
      </c>
      <c r="Y1275" s="81" t="s">
        <v>48</v>
      </c>
    </row>
    <row r="1276" spans="1:25" x14ac:dyDescent="0.3">
      <c r="A1276" s="16">
        <v>7702018880409</v>
      </c>
      <c r="B1276" s="81" t="s">
        <v>43</v>
      </c>
      <c r="C1276" s="81" t="s">
        <v>2018</v>
      </c>
      <c r="D1276" s="81" t="s">
        <v>45</v>
      </c>
      <c r="E1276" s="81" t="s">
        <v>2227</v>
      </c>
      <c r="F1276" s="81" t="s">
        <v>2227</v>
      </c>
      <c r="G1276" s="81" t="s">
        <v>5037</v>
      </c>
      <c r="H1276" s="81" t="s">
        <v>2351</v>
      </c>
      <c r="I1276" s="81" t="s">
        <v>6512</v>
      </c>
      <c r="J1276" s="81" t="s">
        <v>2186</v>
      </c>
      <c r="K1276" s="81" t="s">
        <v>6512</v>
      </c>
      <c r="L1276" s="81" t="s">
        <v>2392</v>
      </c>
      <c r="M1276" s="81" t="s">
        <v>6512</v>
      </c>
      <c r="N1276" s="81" t="s">
        <v>2231</v>
      </c>
      <c r="O1276" s="81" t="s">
        <v>2187</v>
      </c>
      <c r="P1276" s="81" t="s">
        <v>2187</v>
      </c>
      <c r="Q1276" s="81" t="s">
        <v>902</v>
      </c>
      <c r="R1276" s="81" t="s">
        <v>524</v>
      </c>
      <c r="S1276" s="81" t="s">
        <v>525</v>
      </c>
      <c r="T1276" s="81" t="s">
        <v>48</v>
      </c>
      <c r="U1276" s="81" t="s">
        <v>48</v>
      </c>
      <c r="V1276" s="81" t="s">
        <v>49</v>
      </c>
      <c r="W1276" s="81" t="s">
        <v>48</v>
      </c>
      <c r="X1276" s="81" t="s">
        <v>48</v>
      </c>
      <c r="Y1276" s="81" t="s">
        <v>48</v>
      </c>
    </row>
    <row r="1277" spans="1:25" x14ac:dyDescent="0.3">
      <c r="A1277" s="16">
        <v>70330709485</v>
      </c>
      <c r="B1277" s="81" t="s">
        <v>43</v>
      </c>
      <c r="C1277" s="81" t="s">
        <v>1160</v>
      </c>
      <c r="D1277" s="81" t="s">
        <v>45</v>
      </c>
      <c r="E1277" s="81" t="s">
        <v>2227</v>
      </c>
      <c r="F1277" s="81" t="s">
        <v>2227</v>
      </c>
      <c r="G1277" s="81" t="s">
        <v>3745</v>
      </c>
      <c r="H1277" s="81" t="s">
        <v>3041</v>
      </c>
      <c r="I1277" s="81" t="s">
        <v>6513</v>
      </c>
      <c r="J1277" s="81" t="s">
        <v>2186</v>
      </c>
      <c r="K1277" s="81" t="s">
        <v>6513</v>
      </c>
      <c r="L1277" s="81" t="s">
        <v>2392</v>
      </c>
      <c r="M1277" s="81" t="s">
        <v>6513</v>
      </c>
      <c r="N1277" s="81" t="s">
        <v>2231</v>
      </c>
      <c r="O1277" s="81" t="s">
        <v>2187</v>
      </c>
      <c r="P1277" s="81" t="s">
        <v>2187</v>
      </c>
      <c r="Q1277" s="81" t="s">
        <v>902</v>
      </c>
      <c r="R1277" s="81" t="s">
        <v>524</v>
      </c>
      <c r="S1277" s="81" t="s">
        <v>525</v>
      </c>
      <c r="T1277" s="81" t="s">
        <v>48</v>
      </c>
      <c r="U1277" s="81" t="s">
        <v>48</v>
      </c>
      <c r="V1277" s="81" t="s">
        <v>49</v>
      </c>
      <c r="W1277" s="81" t="s">
        <v>48</v>
      </c>
      <c r="X1277" s="81" t="s">
        <v>48</v>
      </c>
      <c r="Y1277" s="81" t="s">
        <v>48</v>
      </c>
    </row>
    <row r="1278" spans="1:25" x14ac:dyDescent="0.3">
      <c r="A1278" s="16">
        <v>7501258210379</v>
      </c>
      <c r="B1278" s="81" t="s">
        <v>43</v>
      </c>
      <c r="C1278" s="81" t="s">
        <v>1161</v>
      </c>
      <c r="D1278" s="81" t="s">
        <v>45</v>
      </c>
      <c r="E1278" s="81" t="s">
        <v>2227</v>
      </c>
      <c r="F1278" s="81" t="s">
        <v>2227</v>
      </c>
      <c r="G1278" s="81" t="s">
        <v>5038</v>
      </c>
      <c r="H1278" s="81" t="s">
        <v>2743</v>
      </c>
      <c r="I1278" s="81" t="s">
        <v>6514</v>
      </c>
      <c r="J1278" s="81" t="s">
        <v>2186</v>
      </c>
      <c r="K1278" s="81" t="s">
        <v>6514</v>
      </c>
      <c r="L1278" s="81" t="s">
        <v>2392</v>
      </c>
      <c r="M1278" s="81" t="s">
        <v>6514</v>
      </c>
      <c r="N1278" s="81" t="s">
        <v>2231</v>
      </c>
      <c r="O1278" s="81" t="s">
        <v>2187</v>
      </c>
      <c r="P1278" s="81" t="s">
        <v>2187</v>
      </c>
      <c r="Q1278" s="81" t="s">
        <v>43</v>
      </c>
      <c r="R1278" s="81" t="s">
        <v>51</v>
      </c>
      <c r="S1278" s="81" t="s">
        <v>81</v>
      </c>
      <c r="T1278" s="81" t="s">
        <v>48</v>
      </c>
      <c r="U1278" s="81" t="s">
        <v>48</v>
      </c>
      <c r="V1278" s="81" t="s">
        <v>48</v>
      </c>
      <c r="W1278" s="81" t="s">
        <v>49</v>
      </c>
      <c r="X1278" s="81" t="s">
        <v>48</v>
      </c>
      <c r="Y1278" s="81" t="s">
        <v>48</v>
      </c>
    </row>
    <row r="1279" spans="1:25" x14ac:dyDescent="0.3">
      <c r="A1279" s="16">
        <v>7502211789918</v>
      </c>
      <c r="B1279" s="81" t="s">
        <v>43</v>
      </c>
      <c r="C1279" s="81" t="s">
        <v>1162</v>
      </c>
      <c r="D1279" s="81" t="s">
        <v>45</v>
      </c>
      <c r="E1279" s="81" t="s">
        <v>2227</v>
      </c>
      <c r="F1279" s="81" t="s">
        <v>2227</v>
      </c>
      <c r="G1279" s="81" t="s">
        <v>3746</v>
      </c>
      <c r="H1279" s="81" t="s">
        <v>2243</v>
      </c>
      <c r="I1279" s="81" t="s">
        <v>6515</v>
      </c>
      <c r="J1279" s="81" t="s">
        <v>2186</v>
      </c>
      <c r="K1279" s="81" t="s">
        <v>6515</v>
      </c>
      <c r="L1279" s="81" t="s">
        <v>2392</v>
      </c>
      <c r="M1279" s="81" t="s">
        <v>6515</v>
      </c>
      <c r="N1279" s="81" t="s">
        <v>2231</v>
      </c>
      <c r="O1279" s="81" t="s">
        <v>2187</v>
      </c>
      <c r="P1279" s="81" t="s">
        <v>2187</v>
      </c>
      <c r="Q1279" s="81" t="s">
        <v>1163</v>
      </c>
      <c r="R1279" s="81" t="s">
        <v>46</v>
      </c>
      <c r="S1279" s="81" t="s">
        <v>47</v>
      </c>
      <c r="T1279" s="81" t="s">
        <v>48</v>
      </c>
      <c r="U1279" s="81" t="s">
        <v>48</v>
      </c>
      <c r="V1279" s="81" t="s">
        <v>48</v>
      </c>
      <c r="W1279" s="81" t="s">
        <v>49</v>
      </c>
      <c r="X1279" s="81" t="s">
        <v>48</v>
      </c>
      <c r="Y1279" s="81" t="s">
        <v>48</v>
      </c>
    </row>
    <row r="1280" spans="1:25" x14ac:dyDescent="0.3">
      <c r="A1280" s="16">
        <v>7501868900462</v>
      </c>
      <c r="B1280" s="81" t="s">
        <v>43</v>
      </c>
      <c r="C1280" s="81" t="s">
        <v>1826</v>
      </c>
      <c r="D1280" s="81" t="s">
        <v>45</v>
      </c>
      <c r="E1280" s="81" t="s">
        <v>2227</v>
      </c>
      <c r="F1280" s="81" t="s">
        <v>2227</v>
      </c>
      <c r="G1280" s="81" t="s">
        <v>3747</v>
      </c>
      <c r="H1280" s="81" t="s">
        <v>6516</v>
      </c>
      <c r="I1280" s="81" t="s">
        <v>6517</v>
      </c>
      <c r="J1280" s="81" t="s">
        <v>2186</v>
      </c>
      <c r="K1280" s="81" t="s">
        <v>6517</v>
      </c>
      <c r="L1280" s="81" t="s">
        <v>2392</v>
      </c>
      <c r="M1280" s="81" t="s">
        <v>6517</v>
      </c>
      <c r="N1280" s="81" t="s">
        <v>2231</v>
      </c>
      <c r="O1280" s="81" t="s">
        <v>2187</v>
      </c>
      <c r="P1280" s="81" t="s">
        <v>2187</v>
      </c>
      <c r="Q1280" s="81" t="s">
        <v>43</v>
      </c>
      <c r="R1280" s="81" t="s">
        <v>203</v>
      </c>
      <c r="S1280" s="81" t="s">
        <v>203</v>
      </c>
      <c r="T1280" s="81" t="s">
        <v>48</v>
      </c>
      <c r="U1280" s="81" t="s">
        <v>48</v>
      </c>
      <c r="V1280" s="81" t="s">
        <v>49</v>
      </c>
      <c r="W1280" s="81" t="s">
        <v>48</v>
      </c>
      <c r="X1280" s="81" t="s">
        <v>48</v>
      </c>
      <c r="Y1280" s="81" t="s">
        <v>48</v>
      </c>
    </row>
    <row r="1281" spans="1:25" x14ac:dyDescent="0.3">
      <c r="A1281" s="16">
        <v>7501868941007</v>
      </c>
      <c r="B1281" s="81" t="s">
        <v>43</v>
      </c>
      <c r="C1281" s="81" t="s">
        <v>1164</v>
      </c>
      <c r="D1281" s="81" t="s">
        <v>45</v>
      </c>
      <c r="E1281" s="81" t="s">
        <v>2227</v>
      </c>
      <c r="F1281" s="81" t="s">
        <v>2227</v>
      </c>
      <c r="G1281" s="81" t="s">
        <v>2542</v>
      </c>
      <c r="H1281" s="81" t="s">
        <v>3247</v>
      </c>
      <c r="I1281" s="81" t="s">
        <v>6445</v>
      </c>
      <c r="J1281" s="81" t="s">
        <v>2186</v>
      </c>
      <c r="K1281" s="81" t="s">
        <v>6445</v>
      </c>
      <c r="L1281" s="81" t="s">
        <v>2392</v>
      </c>
      <c r="M1281" s="81" t="s">
        <v>6445</v>
      </c>
      <c r="N1281" s="81" t="s">
        <v>2231</v>
      </c>
      <c r="O1281" s="81" t="s">
        <v>2187</v>
      </c>
      <c r="P1281" s="81" t="s">
        <v>2187</v>
      </c>
      <c r="Q1281" s="81" t="s">
        <v>43</v>
      </c>
      <c r="R1281" s="81" t="s">
        <v>203</v>
      </c>
      <c r="S1281" s="81" t="s">
        <v>203</v>
      </c>
      <c r="T1281" s="81" t="s">
        <v>48</v>
      </c>
      <c r="U1281" s="81" t="s">
        <v>48</v>
      </c>
      <c r="V1281" s="81" t="s">
        <v>49</v>
      </c>
      <c r="W1281" s="81" t="s">
        <v>48</v>
      </c>
      <c r="X1281" s="81" t="s">
        <v>48</v>
      </c>
      <c r="Y1281" s="81" t="s">
        <v>48</v>
      </c>
    </row>
    <row r="1282" spans="1:25" x14ac:dyDescent="0.3">
      <c r="A1282" s="16">
        <v>7501868943001</v>
      </c>
      <c r="B1282" s="81" t="s">
        <v>43</v>
      </c>
      <c r="C1282" s="81" t="s">
        <v>1165</v>
      </c>
      <c r="D1282" s="81" t="s">
        <v>45</v>
      </c>
      <c r="E1282" s="81" t="s">
        <v>2227</v>
      </c>
      <c r="F1282" s="81" t="s">
        <v>2227</v>
      </c>
      <c r="G1282" s="81" t="s">
        <v>3748</v>
      </c>
      <c r="H1282" s="81" t="s">
        <v>6518</v>
      </c>
      <c r="I1282" s="81" t="s">
        <v>6519</v>
      </c>
      <c r="J1282" s="81" t="s">
        <v>2186</v>
      </c>
      <c r="K1282" s="81" t="s">
        <v>6519</v>
      </c>
      <c r="L1282" s="81" t="s">
        <v>2392</v>
      </c>
      <c r="M1282" s="81" t="s">
        <v>6519</v>
      </c>
      <c r="N1282" s="81" t="s">
        <v>2231</v>
      </c>
      <c r="O1282" s="81" t="s">
        <v>2187</v>
      </c>
      <c r="P1282" s="81" t="s">
        <v>2187</v>
      </c>
      <c r="Q1282" s="81" t="s">
        <v>43</v>
      </c>
      <c r="R1282" s="81" t="s">
        <v>203</v>
      </c>
      <c r="S1282" s="81" t="s">
        <v>203</v>
      </c>
      <c r="T1282" s="81" t="s">
        <v>48</v>
      </c>
      <c r="U1282" s="81" t="s">
        <v>48</v>
      </c>
      <c r="V1282" s="81" t="s">
        <v>49</v>
      </c>
      <c r="W1282" s="81" t="s">
        <v>48</v>
      </c>
      <c r="X1282" s="81" t="s">
        <v>48</v>
      </c>
      <c r="Y1282" s="81" t="s">
        <v>48</v>
      </c>
    </row>
    <row r="1283" spans="1:25" x14ac:dyDescent="0.3">
      <c r="A1283" s="16">
        <v>8400001603</v>
      </c>
      <c r="B1283" s="81" t="s">
        <v>43</v>
      </c>
      <c r="C1283" s="81" t="s">
        <v>1827</v>
      </c>
      <c r="D1283" s="81" t="s">
        <v>45</v>
      </c>
      <c r="E1283" s="81" t="s">
        <v>2227</v>
      </c>
      <c r="F1283" s="81" t="s">
        <v>2227</v>
      </c>
      <c r="G1283" s="81" t="s">
        <v>4783</v>
      </c>
      <c r="H1283" s="81" t="s">
        <v>2401</v>
      </c>
      <c r="I1283" s="81" t="s">
        <v>2213</v>
      </c>
      <c r="J1283" s="81" t="s">
        <v>2186</v>
      </c>
      <c r="K1283" s="81" t="s">
        <v>2360</v>
      </c>
      <c r="L1283" s="81" t="s">
        <v>2392</v>
      </c>
      <c r="M1283" s="81" t="s">
        <v>2393</v>
      </c>
      <c r="N1283" s="81" t="s">
        <v>2231</v>
      </c>
      <c r="O1283" s="81" t="s">
        <v>2187</v>
      </c>
      <c r="P1283" s="81" t="s">
        <v>2187</v>
      </c>
      <c r="Q1283" s="81" t="s">
        <v>43</v>
      </c>
      <c r="R1283" s="81" t="s">
        <v>46</v>
      </c>
      <c r="S1283" s="81" t="s">
        <v>46</v>
      </c>
      <c r="T1283" s="81" t="s">
        <v>48</v>
      </c>
      <c r="U1283" s="81" t="s">
        <v>48</v>
      </c>
      <c r="V1283" s="81" t="s">
        <v>48</v>
      </c>
      <c r="W1283" s="81" t="s">
        <v>49</v>
      </c>
      <c r="X1283" s="81" t="s">
        <v>48</v>
      </c>
      <c r="Y1283" s="81" t="s">
        <v>48</v>
      </c>
    </row>
    <row r="1284" spans="1:25" x14ac:dyDescent="0.3">
      <c r="A1284" s="16">
        <v>7713042257747</v>
      </c>
      <c r="B1284" s="81" t="s">
        <v>43</v>
      </c>
      <c r="C1284" s="81" t="s">
        <v>1166</v>
      </c>
      <c r="D1284" s="81" t="s">
        <v>45</v>
      </c>
      <c r="E1284" s="81" t="s">
        <v>2227</v>
      </c>
      <c r="F1284" s="81" t="s">
        <v>2227</v>
      </c>
      <c r="G1284" s="81" t="s">
        <v>3751</v>
      </c>
      <c r="H1284" s="81" t="s">
        <v>3350</v>
      </c>
      <c r="I1284" s="81" t="s">
        <v>6520</v>
      </c>
      <c r="J1284" s="81" t="s">
        <v>2186</v>
      </c>
      <c r="K1284" s="81" t="s">
        <v>6520</v>
      </c>
      <c r="L1284" s="81" t="s">
        <v>2392</v>
      </c>
      <c r="M1284" s="81" t="s">
        <v>6520</v>
      </c>
      <c r="N1284" s="81" t="s">
        <v>2231</v>
      </c>
      <c r="O1284" s="81" t="s">
        <v>2187</v>
      </c>
      <c r="P1284" s="81" t="s">
        <v>2187</v>
      </c>
      <c r="Q1284" s="81" t="s">
        <v>43</v>
      </c>
      <c r="R1284" s="81" t="s">
        <v>122</v>
      </c>
      <c r="S1284" s="81" t="s">
        <v>123</v>
      </c>
      <c r="T1284" s="81" t="s">
        <v>48</v>
      </c>
      <c r="U1284" s="81" t="s">
        <v>48</v>
      </c>
      <c r="V1284" s="81" t="s">
        <v>49</v>
      </c>
      <c r="W1284" s="81" t="s">
        <v>48</v>
      </c>
      <c r="X1284" s="81" t="s">
        <v>48</v>
      </c>
      <c r="Y1284" s="81" t="s">
        <v>48</v>
      </c>
    </row>
    <row r="1285" spans="1:25" x14ac:dyDescent="0.3">
      <c r="A1285" s="16">
        <v>7501027573773</v>
      </c>
      <c r="B1285" s="81" t="s">
        <v>43</v>
      </c>
      <c r="C1285" s="81" t="s">
        <v>2019</v>
      </c>
      <c r="D1285" s="81" t="s">
        <v>45</v>
      </c>
      <c r="E1285" s="81" t="s">
        <v>2227</v>
      </c>
      <c r="F1285" s="81" t="s">
        <v>2227</v>
      </c>
      <c r="G1285" s="81" t="s">
        <v>5514</v>
      </c>
      <c r="H1285" s="81" t="s">
        <v>3228</v>
      </c>
      <c r="I1285" s="81" t="s">
        <v>4612</v>
      </c>
      <c r="J1285" s="81" t="s">
        <v>2186</v>
      </c>
      <c r="K1285" s="81" t="s">
        <v>4613</v>
      </c>
      <c r="L1285" s="81" t="s">
        <v>2392</v>
      </c>
      <c r="M1285" s="81" t="s">
        <v>3231</v>
      </c>
      <c r="N1285" s="81" t="s">
        <v>2231</v>
      </c>
      <c r="O1285" s="81" t="s">
        <v>2187</v>
      </c>
      <c r="P1285" s="81" t="s">
        <v>2187</v>
      </c>
      <c r="Q1285" s="81" t="s">
        <v>43</v>
      </c>
      <c r="R1285" s="81" t="s">
        <v>122</v>
      </c>
      <c r="S1285" s="81" t="s">
        <v>122</v>
      </c>
      <c r="T1285" s="81" t="s">
        <v>48</v>
      </c>
      <c r="U1285" s="81" t="s">
        <v>48</v>
      </c>
      <c r="V1285" s="81" t="s">
        <v>49</v>
      </c>
      <c r="W1285" s="81" t="s">
        <v>48</v>
      </c>
      <c r="X1285" s="81" t="s">
        <v>48</v>
      </c>
      <c r="Y1285" s="81" t="s">
        <v>48</v>
      </c>
    </row>
    <row r="1286" spans="1:25" x14ac:dyDescent="0.3">
      <c r="A1286" s="16">
        <v>7509546060477</v>
      </c>
      <c r="B1286" s="81" t="s">
        <v>43</v>
      </c>
      <c r="C1286" s="81" t="s">
        <v>1167</v>
      </c>
      <c r="D1286" s="81" t="s">
        <v>45</v>
      </c>
      <c r="E1286" s="81" t="s">
        <v>2227</v>
      </c>
      <c r="F1286" s="81" t="s">
        <v>2227</v>
      </c>
      <c r="G1286" s="81" t="s">
        <v>3752</v>
      </c>
      <c r="H1286" s="81" t="s">
        <v>3249</v>
      </c>
      <c r="I1286" s="81" t="s">
        <v>6521</v>
      </c>
      <c r="J1286" s="81" t="s">
        <v>2186</v>
      </c>
      <c r="K1286" s="81" t="s">
        <v>6521</v>
      </c>
      <c r="L1286" s="81" t="s">
        <v>2392</v>
      </c>
      <c r="M1286" s="81" t="s">
        <v>6521</v>
      </c>
      <c r="N1286" s="81" t="s">
        <v>2231</v>
      </c>
      <c r="O1286" s="81" t="s">
        <v>2187</v>
      </c>
      <c r="P1286" s="81" t="s">
        <v>2187</v>
      </c>
      <c r="Q1286" s="81" t="s">
        <v>43</v>
      </c>
      <c r="R1286" s="81" t="s">
        <v>524</v>
      </c>
      <c r="S1286" s="81" t="s">
        <v>525</v>
      </c>
      <c r="T1286" s="81" t="s">
        <v>48</v>
      </c>
      <c r="U1286" s="81" t="s">
        <v>48</v>
      </c>
      <c r="V1286" s="81" t="s">
        <v>49</v>
      </c>
      <c r="W1286" s="81" t="s">
        <v>48</v>
      </c>
      <c r="X1286" s="81" t="s">
        <v>48</v>
      </c>
      <c r="Y1286" s="81" t="s">
        <v>48</v>
      </c>
    </row>
    <row r="1287" spans="1:25" x14ac:dyDescent="0.3">
      <c r="A1287" s="16">
        <v>759684313172</v>
      </c>
      <c r="B1287" s="81" t="s">
        <v>43</v>
      </c>
      <c r="C1287" s="81" t="s">
        <v>1828</v>
      </c>
      <c r="D1287" s="81" t="s">
        <v>45</v>
      </c>
      <c r="E1287" s="81" t="s">
        <v>2227</v>
      </c>
      <c r="F1287" s="81" t="s">
        <v>2227</v>
      </c>
      <c r="G1287" s="81" t="s">
        <v>5124</v>
      </c>
      <c r="H1287" s="81" t="s">
        <v>3171</v>
      </c>
      <c r="I1287" s="81" t="s">
        <v>6522</v>
      </c>
      <c r="J1287" s="81" t="s">
        <v>2186</v>
      </c>
      <c r="K1287" s="81" t="s">
        <v>6522</v>
      </c>
      <c r="L1287" s="81" t="s">
        <v>2392</v>
      </c>
      <c r="M1287" s="81" t="s">
        <v>6522</v>
      </c>
      <c r="N1287" s="81" t="s">
        <v>2231</v>
      </c>
      <c r="O1287" s="81" t="s">
        <v>2187</v>
      </c>
      <c r="P1287" s="81" t="s">
        <v>2187</v>
      </c>
      <c r="Q1287" s="81" t="s">
        <v>1168</v>
      </c>
      <c r="R1287" s="81" t="s">
        <v>122</v>
      </c>
      <c r="S1287" s="81" t="s">
        <v>122</v>
      </c>
      <c r="T1287" s="81" t="s">
        <v>48</v>
      </c>
      <c r="U1287" s="81" t="s">
        <v>48</v>
      </c>
      <c r="V1287" s="81" t="s">
        <v>49</v>
      </c>
      <c r="W1287" s="81" t="s">
        <v>48</v>
      </c>
      <c r="X1287" s="81" t="s">
        <v>48</v>
      </c>
      <c r="Y1287" s="81" t="s">
        <v>48</v>
      </c>
    </row>
    <row r="1288" spans="1:25" x14ac:dyDescent="0.3">
      <c r="A1288" s="16">
        <v>759684313073</v>
      </c>
      <c r="B1288" s="81" t="s">
        <v>43</v>
      </c>
      <c r="C1288" s="81" t="s">
        <v>3753</v>
      </c>
      <c r="D1288" s="81" t="s">
        <v>45</v>
      </c>
      <c r="E1288" s="81" t="s">
        <v>2227</v>
      </c>
      <c r="F1288" s="81" t="s">
        <v>2227</v>
      </c>
      <c r="G1288" s="81" t="s">
        <v>4646</v>
      </c>
      <c r="H1288" s="81" t="s">
        <v>3171</v>
      </c>
      <c r="I1288" s="81" t="s">
        <v>6523</v>
      </c>
      <c r="J1288" s="81" t="s">
        <v>2186</v>
      </c>
      <c r="K1288" s="81" t="s">
        <v>6523</v>
      </c>
      <c r="L1288" s="81" t="s">
        <v>2392</v>
      </c>
      <c r="M1288" s="81" t="s">
        <v>6523</v>
      </c>
      <c r="N1288" s="81" t="s">
        <v>2231</v>
      </c>
      <c r="O1288" s="81" t="s">
        <v>2187</v>
      </c>
      <c r="P1288" s="81" t="s">
        <v>2187</v>
      </c>
      <c r="Q1288" s="81" t="s">
        <v>1168</v>
      </c>
      <c r="R1288" s="81" t="s">
        <v>122</v>
      </c>
      <c r="S1288" s="81" t="s">
        <v>122</v>
      </c>
      <c r="T1288" s="81" t="s">
        <v>48</v>
      </c>
      <c r="U1288" s="81" t="s">
        <v>48</v>
      </c>
      <c r="V1288" s="81" t="s">
        <v>49</v>
      </c>
      <c r="W1288" s="81" t="s">
        <v>48</v>
      </c>
      <c r="X1288" s="81" t="s">
        <v>48</v>
      </c>
      <c r="Y1288" s="81" t="s">
        <v>48</v>
      </c>
    </row>
    <row r="1289" spans="1:25" x14ac:dyDescent="0.3">
      <c r="A1289" s="16">
        <v>7509546060460</v>
      </c>
      <c r="B1289" s="81" t="s">
        <v>43</v>
      </c>
      <c r="C1289" s="81" t="s">
        <v>1169</v>
      </c>
      <c r="D1289" s="81" t="s">
        <v>45</v>
      </c>
      <c r="E1289" s="81" t="s">
        <v>2227</v>
      </c>
      <c r="F1289" s="81" t="s">
        <v>2227</v>
      </c>
      <c r="G1289" s="81" t="s">
        <v>3756</v>
      </c>
      <c r="H1289" s="81" t="s">
        <v>3053</v>
      </c>
      <c r="I1289" s="81" t="s">
        <v>6524</v>
      </c>
      <c r="J1289" s="81" t="s">
        <v>2186</v>
      </c>
      <c r="K1289" s="81" t="s">
        <v>6524</v>
      </c>
      <c r="L1289" s="81" t="s">
        <v>2392</v>
      </c>
      <c r="M1289" s="81" t="s">
        <v>6524</v>
      </c>
      <c r="N1289" s="81" t="s">
        <v>2231</v>
      </c>
      <c r="O1289" s="81" t="s">
        <v>2187</v>
      </c>
      <c r="P1289" s="81" t="s">
        <v>2187</v>
      </c>
      <c r="Q1289" s="81" t="s">
        <v>43</v>
      </c>
      <c r="R1289" s="81" t="s">
        <v>524</v>
      </c>
      <c r="S1289" s="81" t="s">
        <v>525</v>
      </c>
      <c r="T1289" s="81" t="s">
        <v>48</v>
      </c>
      <c r="U1289" s="81" t="s">
        <v>48</v>
      </c>
      <c r="V1289" s="81" t="s">
        <v>49</v>
      </c>
      <c r="W1289" s="81" t="s">
        <v>48</v>
      </c>
      <c r="X1289" s="81" t="s">
        <v>48</v>
      </c>
      <c r="Y1289" s="81" t="s">
        <v>48</v>
      </c>
    </row>
    <row r="1290" spans="1:25" x14ac:dyDescent="0.3">
      <c r="A1290" s="16">
        <v>7501027272706</v>
      </c>
      <c r="B1290" s="81" t="s">
        <v>43</v>
      </c>
      <c r="C1290" s="81" t="s">
        <v>1170</v>
      </c>
      <c r="D1290" s="81" t="s">
        <v>45</v>
      </c>
      <c r="E1290" s="81" t="s">
        <v>2227</v>
      </c>
      <c r="F1290" s="81" t="s">
        <v>2227</v>
      </c>
      <c r="G1290" s="81" t="s">
        <v>5275</v>
      </c>
      <c r="H1290" s="81" t="s">
        <v>6525</v>
      </c>
      <c r="I1290" s="81" t="s">
        <v>6526</v>
      </c>
      <c r="J1290" s="81" t="s">
        <v>2186</v>
      </c>
      <c r="K1290" s="81" t="s">
        <v>6526</v>
      </c>
      <c r="L1290" s="81" t="s">
        <v>2392</v>
      </c>
      <c r="M1290" s="81" t="s">
        <v>6526</v>
      </c>
      <c r="N1290" s="81" t="s">
        <v>2231</v>
      </c>
      <c r="O1290" s="81" t="s">
        <v>2187</v>
      </c>
      <c r="P1290" s="81" t="s">
        <v>2187</v>
      </c>
      <c r="Q1290" s="81" t="s">
        <v>43</v>
      </c>
      <c r="R1290" s="81" t="s">
        <v>524</v>
      </c>
      <c r="S1290" s="81" t="s">
        <v>525</v>
      </c>
      <c r="T1290" s="81" t="s">
        <v>48</v>
      </c>
      <c r="U1290" s="81" t="s">
        <v>48</v>
      </c>
      <c r="V1290" s="81" t="s">
        <v>49</v>
      </c>
      <c r="W1290" s="81" t="s">
        <v>48</v>
      </c>
      <c r="X1290" s="81" t="s">
        <v>48</v>
      </c>
      <c r="Y1290" s="81" t="s">
        <v>48</v>
      </c>
    </row>
    <row r="1291" spans="1:25" x14ac:dyDescent="0.3">
      <c r="A1291" s="16">
        <v>7502224244251</v>
      </c>
      <c r="B1291" s="81" t="s">
        <v>43</v>
      </c>
      <c r="C1291" s="81" t="s">
        <v>2020</v>
      </c>
      <c r="D1291" s="81" t="s">
        <v>45</v>
      </c>
      <c r="E1291" s="81" t="s">
        <v>2227</v>
      </c>
      <c r="F1291" s="81" t="s">
        <v>2227</v>
      </c>
      <c r="G1291" s="81" t="s">
        <v>5351</v>
      </c>
      <c r="H1291" s="81" t="s">
        <v>2868</v>
      </c>
      <c r="I1291" s="81" t="s">
        <v>6527</v>
      </c>
      <c r="J1291" s="81" t="s">
        <v>2186</v>
      </c>
      <c r="K1291" s="81" t="s">
        <v>6527</v>
      </c>
      <c r="L1291" s="81" t="s">
        <v>2392</v>
      </c>
      <c r="M1291" s="81" t="s">
        <v>6527</v>
      </c>
      <c r="N1291" s="81" t="s">
        <v>2231</v>
      </c>
      <c r="O1291" s="81" t="s">
        <v>2187</v>
      </c>
      <c r="P1291" s="81" t="s">
        <v>2187</v>
      </c>
      <c r="Q1291" s="81" t="s">
        <v>43</v>
      </c>
      <c r="R1291" s="81" t="s">
        <v>122</v>
      </c>
      <c r="S1291" s="81" t="s">
        <v>122</v>
      </c>
      <c r="T1291" s="81" t="s">
        <v>48</v>
      </c>
      <c r="U1291" s="81" t="s">
        <v>48</v>
      </c>
      <c r="V1291" s="81" t="s">
        <v>49</v>
      </c>
      <c r="W1291" s="81" t="s">
        <v>48</v>
      </c>
      <c r="X1291" s="81" t="s">
        <v>48</v>
      </c>
      <c r="Y1291" s="81" t="s">
        <v>48</v>
      </c>
    </row>
    <row r="1292" spans="1:25" x14ac:dyDescent="0.3">
      <c r="A1292" s="16">
        <v>7509546075013</v>
      </c>
      <c r="B1292" s="81" t="s">
        <v>43</v>
      </c>
      <c r="C1292" s="81" t="s">
        <v>1171</v>
      </c>
      <c r="D1292" s="81" t="s">
        <v>45</v>
      </c>
      <c r="E1292" s="81" t="s">
        <v>2227</v>
      </c>
      <c r="F1292" s="81" t="s">
        <v>2227</v>
      </c>
      <c r="G1292" s="81" t="s">
        <v>2301</v>
      </c>
      <c r="H1292" s="81" t="s">
        <v>2868</v>
      </c>
      <c r="I1292" s="81" t="s">
        <v>6528</v>
      </c>
      <c r="J1292" s="81" t="s">
        <v>2186</v>
      </c>
      <c r="K1292" s="81" t="s">
        <v>6528</v>
      </c>
      <c r="L1292" s="81" t="s">
        <v>2392</v>
      </c>
      <c r="M1292" s="81" t="s">
        <v>6528</v>
      </c>
      <c r="N1292" s="81" t="s">
        <v>2231</v>
      </c>
      <c r="O1292" s="81" t="s">
        <v>2187</v>
      </c>
      <c r="P1292" s="81" t="s">
        <v>2187</v>
      </c>
      <c r="Q1292" s="81" t="s">
        <v>43</v>
      </c>
      <c r="R1292" s="81" t="s">
        <v>524</v>
      </c>
      <c r="S1292" s="81" t="s">
        <v>525</v>
      </c>
      <c r="T1292" s="81" t="s">
        <v>48</v>
      </c>
      <c r="U1292" s="81" t="s">
        <v>48</v>
      </c>
      <c r="V1292" s="81" t="s">
        <v>49</v>
      </c>
      <c r="W1292" s="81" t="s">
        <v>48</v>
      </c>
      <c r="X1292" s="81" t="s">
        <v>48</v>
      </c>
      <c r="Y1292" s="81" t="s">
        <v>48</v>
      </c>
    </row>
    <row r="1293" spans="1:25" x14ac:dyDescent="0.3">
      <c r="A1293" s="16">
        <v>7502216790834</v>
      </c>
      <c r="B1293" s="81" t="s">
        <v>43</v>
      </c>
      <c r="C1293" s="81" t="s">
        <v>1172</v>
      </c>
      <c r="D1293" s="81" t="s">
        <v>45</v>
      </c>
      <c r="E1293" s="81" t="s">
        <v>2227</v>
      </c>
      <c r="F1293" s="81" t="s">
        <v>2227</v>
      </c>
      <c r="G1293" s="81" t="s">
        <v>3757</v>
      </c>
      <c r="H1293" s="81" t="s">
        <v>6529</v>
      </c>
      <c r="I1293" s="81" t="s">
        <v>6530</v>
      </c>
      <c r="J1293" s="81" t="s">
        <v>2186</v>
      </c>
      <c r="K1293" s="81" t="s">
        <v>6530</v>
      </c>
      <c r="L1293" s="81" t="s">
        <v>2392</v>
      </c>
      <c r="M1293" s="81" t="s">
        <v>6530</v>
      </c>
      <c r="N1293" s="81" t="s">
        <v>2231</v>
      </c>
      <c r="O1293" s="81" t="s">
        <v>2187</v>
      </c>
      <c r="P1293" s="81" t="s">
        <v>2187</v>
      </c>
      <c r="Q1293" s="81" t="s">
        <v>43</v>
      </c>
      <c r="R1293" s="81" t="s">
        <v>46</v>
      </c>
      <c r="S1293" s="81" t="s">
        <v>47</v>
      </c>
      <c r="T1293" s="81" t="s">
        <v>48</v>
      </c>
      <c r="U1293" s="81" t="s">
        <v>48</v>
      </c>
      <c r="V1293" s="81" t="s">
        <v>48</v>
      </c>
      <c r="W1293" s="81" t="s">
        <v>49</v>
      </c>
      <c r="X1293" s="81" t="s">
        <v>48</v>
      </c>
      <c r="Y1293" s="81" t="s">
        <v>48</v>
      </c>
    </row>
    <row r="1294" spans="1:25" x14ac:dyDescent="0.3">
      <c r="A1294" s="16">
        <v>7501125110702</v>
      </c>
      <c r="B1294" s="81" t="s">
        <v>43</v>
      </c>
      <c r="C1294" s="81" t="s">
        <v>1829</v>
      </c>
      <c r="D1294" s="81" t="s">
        <v>45</v>
      </c>
      <c r="E1294" s="81" t="s">
        <v>2227</v>
      </c>
      <c r="F1294" s="81" t="s">
        <v>2227</v>
      </c>
      <c r="G1294" s="81" t="s">
        <v>3758</v>
      </c>
      <c r="H1294" s="81" t="s">
        <v>2360</v>
      </c>
      <c r="I1294" s="81" t="s">
        <v>2223</v>
      </c>
      <c r="J1294" s="81" t="s">
        <v>2186</v>
      </c>
      <c r="K1294" s="81" t="s">
        <v>2290</v>
      </c>
      <c r="L1294" s="81" t="s">
        <v>2392</v>
      </c>
      <c r="M1294" s="81" t="s">
        <v>2217</v>
      </c>
      <c r="N1294" s="81" t="s">
        <v>2231</v>
      </c>
      <c r="O1294" s="81" t="s">
        <v>2187</v>
      </c>
      <c r="P1294" s="81" t="s">
        <v>2187</v>
      </c>
      <c r="Q1294" s="81" t="s">
        <v>43</v>
      </c>
      <c r="R1294" s="81" t="s">
        <v>122</v>
      </c>
      <c r="S1294" s="81" t="s">
        <v>123</v>
      </c>
      <c r="T1294" s="81" t="s">
        <v>48</v>
      </c>
      <c r="U1294" s="81" t="s">
        <v>48</v>
      </c>
      <c r="V1294" s="81" t="s">
        <v>48</v>
      </c>
      <c r="W1294" s="81" t="s">
        <v>49</v>
      </c>
      <c r="X1294" s="81" t="s">
        <v>48</v>
      </c>
      <c r="Y1294" s="81" t="s">
        <v>48</v>
      </c>
    </row>
    <row r="1295" spans="1:25" x14ac:dyDescent="0.3">
      <c r="A1295" s="16">
        <v>7501573904403</v>
      </c>
      <c r="B1295" s="81" t="s">
        <v>43</v>
      </c>
      <c r="C1295" s="81" t="s">
        <v>1173</v>
      </c>
      <c r="D1295" s="81" t="s">
        <v>45</v>
      </c>
      <c r="E1295" s="81" t="s">
        <v>2227</v>
      </c>
      <c r="F1295" s="81" t="s">
        <v>2227</v>
      </c>
      <c r="G1295" s="81" t="s">
        <v>3759</v>
      </c>
      <c r="H1295" s="81" t="s">
        <v>2270</v>
      </c>
      <c r="I1295" s="81" t="s">
        <v>6531</v>
      </c>
      <c r="J1295" s="81" t="s">
        <v>2186</v>
      </c>
      <c r="K1295" s="81" t="s">
        <v>6531</v>
      </c>
      <c r="L1295" s="81" t="s">
        <v>2392</v>
      </c>
      <c r="M1295" s="81" t="s">
        <v>6531</v>
      </c>
      <c r="N1295" s="81" t="s">
        <v>2231</v>
      </c>
      <c r="O1295" s="81" t="s">
        <v>2187</v>
      </c>
      <c r="P1295" s="81" t="s">
        <v>2187</v>
      </c>
      <c r="Q1295" s="81" t="s">
        <v>43</v>
      </c>
      <c r="R1295" s="81" t="s">
        <v>203</v>
      </c>
      <c r="S1295" s="81" t="s">
        <v>203</v>
      </c>
      <c r="T1295" s="81" t="s">
        <v>48</v>
      </c>
      <c r="U1295" s="81" t="s">
        <v>48</v>
      </c>
      <c r="V1295" s="81" t="s">
        <v>48</v>
      </c>
      <c r="W1295" s="81" t="s">
        <v>49</v>
      </c>
      <c r="X1295" s="81" t="s">
        <v>48</v>
      </c>
      <c r="Y1295" s="81" t="s">
        <v>48</v>
      </c>
    </row>
    <row r="1296" spans="1:25" x14ac:dyDescent="0.3">
      <c r="A1296" s="16">
        <v>7501573906407</v>
      </c>
      <c r="B1296" s="81" t="s">
        <v>43</v>
      </c>
      <c r="C1296" s="81" t="s">
        <v>1174</v>
      </c>
      <c r="D1296" s="81" t="s">
        <v>45</v>
      </c>
      <c r="E1296" s="81" t="s">
        <v>2227</v>
      </c>
      <c r="F1296" s="81" t="s">
        <v>2227</v>
      </c>
      <c r="G1296" s="81" t="s">
        <v>3548</v>
      </c>
      <c r="H1296" s="81" t="s">
        <v>2217</v>
      </c>
      <c r="I1296" s="81" t="s">
        <v>6532</v>
      </c>
      <c r="J1296" s="81" t="s">
        <v>2186</v>
      </c>
      <c r="K1296" s="81" t="s">
        <v>6532</v>
      </c>
      <c r="L1296" s="81" t="s">
        <v>2392</v>
      </c>
      <c r="M1296" s="81" t="s">
        <v>6532</v>
      </c>
      <c r="N1296" s="81" t="s">
        <v>2231</v>
      </c>
      <c r="O1296" s="81" t="s">
        <v>2187</v>
      </c>
      <c r="P1296" s="81" t="s">
        <v>2187</v>
      </c>
      <c r="Q1296" s="81" t="s">
        <v>43</v>
      </c>
      <c r="R1296" s="81" t="s">
        <v>203</v>
      </c>
      <c r="S1296" s="81" t="s">
        <v>203</v>
      </c>
      <c r="T1296" s="81" t="s">
        <v>48</v>
      </c>
      <c r="U1296" s="81" t="s">
        <v>48</v>
      </c>
      <c r="V1296" s="81" t="s">
        <v>48</v>
      </c>
      <c r="W1296" s="81" t="s">
        <v>49</v>
      </c>
      <c r="X1296" s="81" t="s">
        <v>48</v>
      </c>
      <c r="Y1296" s="81" t="s">
        <v>48</v>
      </c>
    </row>
    <row r="1297" spans="1:25" x14ac:dyDescent="0.3">
      <c r="A1297" s="16">
        <v>7501573905431</v>
      </c>
      <c r="B1297" s="81" t="s">
        <v>43</v>
      </c>
      <c r="C1297" s="81" t="s">
        <v>2021</v>
      </c>
      <c r="D1297" s="81" t="s">
        <v>45</v>
      </c>
      <c r="E1297" s="81" t="s">
        <v>2227</v>
      </c>
      <c r="F1297" s="81" t="s">
        <v>2227</v>
      </c>
      <c r="G1297" s="81" t="s">
        <v>5169</v>
      </c>
      <c r="H1297" s="81" t="s">
        <v>2264</v>
      </c>
      <c r="I1297" s="81" t="s">
        <v>6026</v>
      </c>
      <c r="J1297" s="81" t="s">
        <v>2186</v>
      </c>
      <c r="K1297" s="81" t="s">
        <v>6026</v>
      </c>
      <c r="L1297" s="81" t="s">
        <v>2392</v>
      </c>
      <c r="M1297" s="81" t="s">
        <v>6026</v>
      </c>
      <c r="N1297" s="81" t="s">
        <v>2231</v>
      </c>
      <c r="O1297" s="81" t="s">
        <v>2187</v>
      </c>
      <c r="P1297" s="81" t="s">
        <v>2187</v>
      </c>
      <c r="Q1297" s="81" t="s">
        <v>43</v>
      </c>
      <c r="R1297" s="81" t="s">
        <v>46</v>
      </c>
      <c r="S1297" s="81" t="s">
        <v>164</v>
      </c>
      <c r="T1297" s="81" t="s">
        <v>48</v>
      </c>
      <c r="U1297" s="81" t="s">
        <v>48</v>
      </c>
      <c r="V1297" s="81" t="s">
        <v>48</v>
      </c>
      <c r="W1297" s="81" t="s">
        <v>49</v>
      </c>
      <c r="X1297" s="81" t="s">
        <v>48</v>
      </c>
      <c r="Y1297" s="81" t="s">
        <v>48</v>
      </c>
    </row>
    <row r="1298" spans="1:25" x14ac:dyDescent="0.3">
      <c r="A1298" s="16">
        <v>7501056330255</v>
      </c>
      <c r="B1298" s="81" t="s">
        <v>43</v>
      </c>
      <c r="C1298" s="81" t="s">
        <v>1830</v>
      </c>
      <c r="D1298" s="81" t="s">
        <v>45</v>
      </c>
      <c r="E1298" s="81" t="s">
        <v>2227</v>
      </c>
      <c r="F1298" s="81" t="s">
        <v>2227</v>
      </c>
      <c r="G1298" s="81" t="s">
        <v>3760</v>
      </c>
      <c r="H1298" s="81" t="s">
        <v>3242</v>
      </c>
      <c r="I1298" s="81" t="s">
        <v>6533</v>
      </c>
      <c r="J1298" s="81" t="s">
        <v>2186</v>
      </c>
      <c r="K1298" s="81" t="s">
        <v>6533</v>
      </c>
      <c r="L1298" s="81" t="s">
        <v>2392</v>
      </c>
      <c r="M1298" s="81" t="s">
        <v>6533</v>
      </c>
      <c r="N1298" s="81" t="s">
        <v>2231</v>
      </c>
      <c r="O1298" s="81" t="s">
        <v>2187</v>
      </c>
      <c r="P1298" s="81" t="s">
        <v>2187</v>
      </c>
      <c r="Q1298" s="81" t="s">
        <v>43</v>
      </c>
      <c r="R1298" s="81" t="s">
        <v>524</v>
      </c>
      <c r="S1298" s="81" t="s">
        <v>525</v>
      </c>
      <c r="T1298" s="81" t="s">
        <v>48</v>
      </c>
      <c r="U1298" s="81" t="s">
        <v>48</v>
      </c>
      <c r="V1298" s="81" t="s">
        <v>49</v>
      </c>
      <c r="W1298" s="81" t="s">
        <v>48</v>
      </c>
      <c r="X1298" s="81" t="s">
        <v>48</v>
      </c>
      <c r="Y1298" s="81" t="s">
        <v>48</v>
      </c>
    </row>
    <row r="1299" spans="1:25" x14ac:dyDescent="0.3">
      <c r="A1299" s="16">
        <v>780083140250</v>
      </c>
      <c r="B1299" s="81" t="s">
        <v>43</v>
      </c>
      <c r="C1299" s="81" t="s">
        <v>2160</v>
      </c>
      <c r="D1299" s="81" t="s">
        <v>45</v>
      </c>
      <c r="E1299" s="81" t="s">
        <v>2227</v>
      </c>
      <c r="F1299" s="81" t="s">
        <v>2227</v>
      </c>
      <c r="G1299" s="81" t="s">
        <v>3761</v>
      </c>
      <c r="H1299" s="81" t="s">
        <v>2417</v>
      </c>
      <c r="I1299" s="81" t="s">
        <v>2400</v>
      </c>
      <c r="J1299" s="81" t="s">
        <v>2186</v>
      </c>
      <c r="K1299" s="81" t="s">
        <v>3342</v>
      </c>
      <c r="L1299" s="81" t="s">
        <v>2392</v>
      </c>
      <c r="M1299" s="81" t="s">
        <v>3762</v>
      </c>
      <c r="N1299" s="81" t="s">
        <v>2231</v>
      </c>
      <c r="O1299" s="81" t="s">
        <v>2187</v>
      </c>
      <c r="P1299" s="81" t="s">
        <v>2187</v>
      </c>
      <c r="Q1299" s="81" t="s">
        <v>43</v>
      </c>
      <c r="R1299" s="81" t="s">
        <v>203</v>
      </c>
      <c r="S1299" s="81" t="s">
        <v>203</v>
      </c>
      <c r="T1299" s="81" t="s">
        <v>48</v>
      </c>
      <c r="U1299" s="81" t="s">
        <v>48</v>
      </c>
      <c r="V1299" s="81" t="s">
        <v>48</v>
      </c>
      <c r="W1299" s="81" t="s">
        <v>49</v>
      </c>
      <c r="X1299" s="81" t="s">
        <v>48</v>
      </c>
      <c r="Y1299" s="81" t="s">
        <v>48</v>
      </c>
    </row>
    <row r="1300" spans="1:25" x14ac:dyDescent="0.3">
      <c r="A1300" s="16">
        <v>7501573905417</v>
      </c>
      <c r="B1300" s="81" t="s">
        <v>43</v>
      </c>
      <c r="C1300" s="81" t="s">
        <v>1831</v>
      </c>
      <c r="D1300" s="81" t="s">
        <v>45</v>
      </c>
      <c r="E1300" s="81" t="s">
        <v>2227</v>
      </c>
      <c r="F1300" s="81" t="s">
        <v>2227</v>
      </c>
      <c r="G1300" s="81" t="s">
        <v>5233</v>
      </c>
      <c r="H1300" s="81" t="s">
        <v>2264</v>
      </c>
      <c r="I1300" s="81" t="s">
        <v>2614</v>
      </c>
      <c r="J1300" s="81" t="s">
        <v>2186</v>
      </c>
      <c r="K1300" s="81" t="s">
        <v>2614</v>
      </c>
      <c r="L1300" s="81" t="s">
        <v>2392</v>
      </c>
      <c r="M1300" s="81" t="s">
        <v>2614</v>
      </c>
      <c r="N1300" s="81" t="s">
        <v>2231</v>
      </c>
      <c r="O1300" s="81" t="s">
        <v>2187</v>
      </c>
      <c r="P1300" s="81" t="s">
        <v>2187</v>
      </c>
      <c r="Q1300" s="81" t="s">
        <v>43</v>
      </c>
      <c r="R1300" s="81" t="s">
        <v>46</v>
      </c>
      <c r="S1300" s="81" t="s">
        <v>164</v>
      </c>
      <c r="T1300" s="81" t="s">
        <v>48</v>
      </c>
      <c r="U1300" s="81" t="s">
        <v>48</v>
      </c>
      <c r="V1300" s="81" t="s">
        <v>48</v>
      </c>
      <c r="W1300" s="81" t="s">
        <v>49</v>
      </c>
      <c r="X1300" s="81" t="s">
        <v>48</v>
      </c>
      <c r="Y1300" s="81" t="s">
        <v>48</v>
      </c>
    </row>
    <row r="1301" spans="1:25" x14ac:dyDescent="0.3">
      <c r="A1301" s="16">
        <v>7501088505607</v>
      </c>
      <c r="B1301" s="81" t="s">
        <v>43</v>
      </c>
      <c r="C1301" s="81" t="s">
        <v>1175</v>
      </c>
      <c r="D1301" s="81" t="s">
        <v>45</v>
      </c>
      <c r="E1301" s="81" t="s">
        <v>2227</v>
      </c>
      <c r="F1301" s="81" t="s">
        <v>2227</v>
      </c>
      <c r="G1301" s="81" t="s">
        <v>3763</v>
      </c>
      <c r="H1301" s="81" t="s">
        <v>2415</v>
      </c>
      <c r="I1301" s="81" t="s">
        <v>5585</v>
      </c>
      <c r="J1301" s="81" t="s">
        <v>2186</v>
      </c>
      <c r="K1301" s="81" t="s">
        <v>5585</v>
      </c>
      <c r="L1301" s="81" t="s">
        <v>2392</v>
      </c>
      <c r="M1301" s="81" t="s">
        <v>5585</v>
      </c>
      <c r="N1301" s="81" t="s">
        <v>2231</v>
      </c>
      <c r="O1301" s="81" t="s">
        <v>2187</v>
      </c>
      <c r="P1301" s="81" t="s">
        <v>2187</v>
      </c>
      <c r="Q1301" s="81" t="s">
        <v>43</v>
      </c>
      <c r="R1301" s="81" t="s">
        <v>374</v>
      </c>
      <c r="S1301" s="81" t="s">
        <v>374</v>
      </c>
      <c r="T1301" s="81" t="s">
        <v>48</v>
      </c>
      <c r="U1301" s="81" t="s">
        <v>48</v>
      </c>
      <c r="V1301" s="81" t="s">
        <v>48</v>
      </c>
      <c r="W1301" s="81" t="s">
        <v>49</v>
      </c>
      <c r="X1301" s="81" t="s">
        <v>48</v>
      </c>
      <c r="Y1301" s="81" t="s">
        <v>48</v>
      </c>
    </row>
    <row r="1302" spans="1:25" x14ac:dyDescent="0.3">
      <c r="A1302" s="16">
        <v>7501008499689</v>
      </c>
      <c r="B1302" s="81" t="s">
        <v>43</v>
      </c>
      <c r="C1302" s="81" t="s">
        <v>3764</v>
      </c>
      <c r="D1302" s="81" t="s">
        <v>45</v>
      </c>
      <c r="E1302" s="81" t="s">
        <v>2227</v>
      </c>
      <c r="F1302" s="81" t="s">
        <v>2227</v>
      </c>
      <c r="G1302" s="81" t="s">
        <v>5318</v>
      </c>
      <c r="H1302" s="81" t="s">
        <v>2426</v>
      </c>
      <c r="I1302" s="81" t="s">
        <v>4609</v>
      </c>
      <c r="J1302" s="81" t="s">
        <v>2186</v>
      </c>
      <c r="K1302" s="81" t="s">
        <v>4610</v>
      </c>
      <c r="L1302" s="81" t="s">
        <v>2392</v>
      </c>
      <c r="M1302" s="81" t="s">
        <v>4611</v>
      </c>
      <c r="N1302" s="81" t="s">
        <v>2231</v>
      </c>
      <c r="O1302" s="81" t="s">
        <v>2187</v>
      </c>
      <c r="P1302" s="81" t="s">
        <v>2187</v>
      </c>
      <c r="Q1302" s="81" t="s">
        <v>43</v>
      </c>
      <c r="R1302" s="81" t="s">
        <v>56</v>
      </c>
      <c r="S1302" s="81" t="s">
        <v>57</v>
      </c>
      <c r="T1302" s="81" t="s">
        <v>48</v>
      </c>
      <c r="U1302" s="81" t="s">
        <v>48</v>
      </c>
      <c r="V1302" s="81" t="s">
        <v>48</v>
      </c>
      <c r="W1302" s="81" t="s">
        <v>49</v>
      </c>
      <c r="X1302" s="81" t="s">
        <v>48</v>
      </c>
      <c r="Y1302" s="81" t="s">
        <v>48</v>
      </c>
    </row>
    <row r="1303" spans="1:25" x14ac:dyDescent="0.3">
      <c r="A1303" s="16">
        <v>7502216790810</v>
      </c>
      <c r="B1303" s="81" t="s">
        <v>43</v>
      </c>
      <c r="C1303" s="81" t="s">
        <v>2022</v>
      </c>
      <c r="D1303" s="81" t="s">
        <v>45</v>
      </c>
      <c r="E1303" s="81" t="s">
        <v>2227</v>
      </c>
      <c r="F1303" s="81" t="s">
        <v>2227</v>
      </c>
      <c r="G1303" s="81" t="s">
        <v>5515</v>
      </c>
      <c r="H1303" s="81" t="s">
        <v>2800</v>
      </c>
      <c r="I1303" s="81" t="s">
        <v>6534</v>
      </c>
      <c r="J1303" s="81" t="s">
        <v>2186</v>
      </c>
      <c r="K1303" s="81" t="s">
        <v>6534</v>
      </c>
      <c r="L1303" s="81" t="s">
        <v>2392</v>
      </c>
      <c r="M1303" s="81" t="s">
        <v>6534</v>
      </c>
      <c r="N1303" s="81" t="s">
        <v>2231</v>
      </c>
      <c r="O1303" s="81" t="s">
        <v>2187</v>
      </c>
      <c r="P1303" s="81" t="s">
        <v>2187</v>
      </c>
      <c r="Q1303" s="81" t="s">
        <v>43</v>
      </c>
      <c r="R1303" s="81" t="s">
        <v>46</v>
      </c>
      <c r="S1303" s="81" t="s">
        <v>47</v>
      </c>
      <c r="T1303" s="81" t="s">
        <v>48</v>
      </c>
      <c r="U1303" s="81" t="s">
        <v>48</v>
      </c>
      <c r="V1303" s="81" t="s">
        <v>48</v>
      </c>
      <c r="W1303" s="81" t="s">
        <v>49</v>
      </c>
      <c r="X1303" s="81" t="s">
        <v>48</v>
      </c>
      <c r="Y1303" s="81" t="s">
        <v>48</v>
      </c>
    </row>
    <row r="1304" spans="1:25" x14ac:dyDescent="0.3">
      <c r="A1304" s="16">
        <v>354312225010</v>
      </c>
      <c r="B1304" s="81" t="s">
        <v>43</v>
      </c>
      <c r="C1304" s="81" t="s">
        <v>2161</v>
      </c>
      <c r="D1304" s="81" t="s">
        <v>45</v>
      </c>
      <c r="E1304" s="81" t="s">
        <v>2227</v>
      </c>
      <c r="F1304" s="81" t="s">
        <v>2227</v>
      </c>
      <c r="G1304" s="81" t="s">
        <v>5352</v>
      </c>
      <c r="H1304" s="81" t="s">
        <v>2259</v>
      </c>
      <c r="I1304" s="81" t="s">
        <v>5532</v>
      </c>
      <c r="J1304" s="81" t="s">
        <v>2186</v>
      </c>
      <c r="K1304" s="81" t="s">
        <v>5532</v>
      </c>
      <c r="L1304" s="81" t="s">
        <v>2392</v>
      </c>
      <c r="M1304" s="81" t="s">
        <v>5532</v>
      </c>
      <c r="N1304" s="81" t="s">
        <v>2231</v>
      </c>
      <c r="O1304" s="81" t="s">
        <v>2187</v>
      </c>
      <c r="P1304" s="81" t="s">
        <v>2187</v>
      </c>
      <c r="Q1304" s="81" t="s">
        <v>43</v>
      </c>
      <c r="R1304" s="81" t="s">
        <v>203</v>
      </c>
      <c r="S1304" s="81" t="s">
        <v>203</v>
      </c>
      <c r="T1304" s="81" t="s">
        <v>48</v>
      </c>
      <c r="U1304" s="81" t="s">
        <v>48</v>
      </c>
      <c r="V1304" s="81" t="s">
        <v>48</v>
      </c>
      <c r="W1304" s="81" t="s">
        <v>49</v>
      </c>
      <c r="X1304" s="81" t="s">
        <v>48</v>
      </c>
      <c r="Y1304" s="81" t="s">
        <v>48</v>
      </c>
    </row>
    <row r="1305" spans="1:25" x14ac:dyDescent="0.3">
      <c r="A1305" s="16">
        <v>7501165002913</v>
      </c>
      <c r="B1305" s="81" t="s">
        <v>43</v>
      </c>
      <c r="C1305" s="81" t="s">
        <v>4755</v>
      </c>
      <c r="D1305" s="81" t="s">
        <v>45</v>
      </c>
      <c r="E1305" s="81" t="s">
        <v>2227</v>
      </c>
      <c r="F1305" s="81" t="s">
        <v>2227</v>
      </c>
      <c r="G1305" s="81" t="s">
        <v>4756</v>
      </c>
      <c r="H1305" s="81" t="s">
        <v>2397</v>
      </c>
      <c r="I1305" s="81" t="s">
        <v>6535</v>
      </c>
      <c r="J1305" s="81" t="s">
        <v>2186</v>
      </c>
      <c r="K1305" s="81" t="s">
        <v>6535</v>
      </c>
      <c r="L1305" s="81" t="s">
        <v>2392</v>
      </c>
      <c r="M1305" s="81" t="s">
        <v>6535</v>
      </c>
      <c r="N1305" s="81" t="s">
        <v>2231</v>
      </c>
      <c r="O1305" s="81" t="s">
        <v>2187</v>
      </c>
      <c r="P1305" s="81" t="s">
        <v>2187</v>
      </c>
      <c r="Q1305" s="81" t="s">
        <v>43</v>
      </c>
      <c r="R1305" s="81" t="s">
        <v>203</v>
      </c>
      <c r="S1305" s="81" t="s">
        <v>203</v>
      </c>
      <c r="T1305" s="81" t="s">
        <v>48</v>
      </c>
      <c r="U1305" s="81" t="s">
        <v>48</v>
      </c>
      <c r="V1305" s="81" t="s">
        <v>48</v>
      </c>
      <c r="W1305" s="81" t="s">
        <v>49</v>
      </c>
      <c r="X1305" s="81" t="s">
        <v>48</v>
      </c>
      <c r="Y1305" s="81" t="s">
        <v>48</v>
      </c>
    </row>
    <row r="1306" spans="1:25" x14ac:dyDescent="0.3">
      <c r="A1306" s="16">
        <v>7501125110719</v>
      </c>
      <c r="B1306" s="81" t="s">
        <v>43</v>
      </c>
      <c r="C1306" s="81" t="s">
        <v>1832</v>
      </c>
      <c r="D1306" s="81" t="s">
        <v>45</v>
      </c>
      <c r="E1306" s="81" t="s">
        <v>2227</v>
      </c>
      <c r="F1306" s="81" t="s">
        <v>2227</v>
      </c>
      <c r="G1306" s="81" t="s">
        <v>4426</v>
      </c>
      <c r="H1306" s="81" t="s">
        <v>2190</v>
      </c>
      <c r="I1306" s="81" t="s">
        <v>6536</v>
      </c>
      <c r="J1306" s="81" t="s">
        <v>2186</v>
      </c>
      <c r="K1306" s="81" t="s">
        <v>6536</v>
      </c>
      <c r="L1306" s="81" t="s">
        <v>2392</v>
      </c>
      <c r="M1306" s="81" t="s">
        <v>6536</v>
      </c>
      <c r="N1306" s="81" t="s">
        <v>2231</v>
      </c>
      <c r="O1306" s="81" t="s">
        <v>2187</v>
      </c>
      <c r="P1306" s="81" t="s">
        <v>2187</v>
      </c>
      <c r="Q1306" s="81" t="s">
        <v>43</v>
      </c>
      <c r="R1306" s="81" t="s">
        <v>122</v>
      </c>
      <c r="S1306" s="81" t="s">
        <v>123</v>
      </c>
      <c r="T1306" s="81" t="s">
        <v>48</v>
      </c>
      <c r="U1306" s="81" t="s">
        <v>48</v>
      </c>
      <c r="V1306" s="81" t="s">
        <v>48</v>
      </c>
      <c r="W1306" s="81" t="s">
        <v>49</v>
      </c>
      <c r="X1306" s="81" t="s">
        <v>48</v>
      </c>
      <c r="Y1306" s="81" t="s">
        <v>48</v>
      </c>
    </row>
    <row r="1307" spans="1:25" x14ac:dyDescent="0.3">
      <c r="A1307" s="16">
        <v>7501573909309</v>
      </c>
      <c r="B1307" s="81" t="s">
        <v>43</v>
      </c>
      <c r="C1307" s="81" t="s">
        <v>4709</v>
      </c>
      <c r="D1307" s="81" t="s">
        <v>45</v>
      </c>
      <c r="E1307" s="81" t="s">
        <v>2227</v>
      </c>
      <c r="F1307" s="81" t="s">
        <v>2227</v>
      </c>
      <c r="G1307" s="81" t="s">
        <v>3856</v>
      </c>
      <c r="H1307" s="81" t="s">
        <v>2217</v>
      </c>
      <c r="I1307" s="81" t="s">
        <v>6537</v>
      </c>
      <c r="J1307" s="81" t="s">
        <v>2186</v>
      </c>
      <c r="K1307" s="81" t="s">
        <v>6537</v>
      </c>
      <c r="L1307" s="81" t="s">
        <v>2392</v>
      </c>
      <c r="M1307" s="81" t="s">
        <v>6537</v>
      </c>
      <c r="N1307" s="81" t="s">
        <v>2231</v>
      </c>
      <c r="O1307" s="81" t="s">
        <v>2187</v>
      </c>
      <c r="P1307" s="81" t="s">
        <v>2187</v>
      </c>
      <c r="Q1307" s="81" t="s">
        <v>43</v>
      </c>
      <c r="R1307" s="81" t="s">
        <v>51</v>
      </c>
      <c r="S1307" s="81" t="s">
        <v>81</v>
      </c>
      <c r="T1307" s="81" t="s">
        <v>49</v>
      </c>
      <c r="U1307" s="81" t="s">
        <v>48</v>
      </c>
      <c r="V1307" s="81" t="s">
        <v>48</v>
      </c>
      <c r="W1307" s="81" t="s">
        <v>49</v>
      </c>
      <c r="X1307" s="81" t="s">
        <v>48</v>
      </c>
      <c r="Y1307" s="81" t="s">
        <v>48</v>
      </c>
    </row>
    <row r="1308" spans="1:25" x14ac:dyDescent="0.3">
      <c r="A1308" s="16">
        <v>7501573904779</v>
      </c>
      <c r="B1308" s="81" t="s">
        <v>43</v>
      </c>
      <c r="C1308" s="81" t="s">
        <v>1176</v>
      </c>
      <c r="D1308" s="81" t="s">
        <v>45</v>
      </c>
      <c r="E1308" s="81" t="s">
        <v>2227</v>
      </c>
      <c r="F1308" s="81" t="s">
        <v>2227</v>
      </c>
      <c r="G1308" s="81" t="s">
        <v>3766</v>
      </c>
      <c r="H1308" s="81" t="s">
        <v>2237</v>
      </c>
      <c r="I1308" s="81" t="s">
        <v>6538</v>
      </c>
      <c r="J1308" s="81" t="s">
        <v>2186</v>
      </c>
      <c r="K1308" s="81" t="s">
        <v>6538</v>
      </c>
      <c r="L1308" s="81" t="s">
        <v>2392</v>
      </c>
      <c r="M1308" s="81" t="s">
        <v>6538</v>
      </c>
      <c r="N1308" s="81" t="s">
        <v>2231</v>
      </c>
      <c r="O1308" s="81" t="s">
        <v>2187</v>
      </c>
      <c r="P1308" s="81" t="s">
        <v>2187</v>
      </c>
      <c r="Q1308" s="81" t="s">
        <v>43</v>
      </c>
      <c r="R1308" s="81" t="s">
        <v>203</v>
      </c>
      <c r="S1308" s="81" t="s">
        <v>203</v>
      </c>
      <c r="T1308" s="81" t="s">
        <v>48</v>
      </c>
      <c r="U1308" s="81" t="s">
        <v>48</v>
      </c>
      <c r="V1308" s="81" t="s">
        <v>48</v>
      </c>
      <c r="W1308" s="81" t="s">
        <v>49</v>
      </c>
      <c r="X1308" s="81" t="s">
        <v>48</v>
      </c>
      <c r="Y1308" s="81" t="s">
        <v>48</v>
      </c>
    </row>
    <row r="1309" spans="1:25" x14ac:dyDescent="0.3">
      <c r="A1309" s="16">
        <v>6939663900072</v>
      </c>
      <c r="B1309" s="81" t="s">
        <v>43</v>
      </c>
      <c r="C1309" s="81" t="s">
        <v>1177</v>
      </c>
      <c r="D1309" s="81" t="s">
        <v>45</v>
      </c>
      <c r="E1309" s="81" t="s">
        <v>2227</v>
      </c>
      <c r="F1309" s="81" t="s">
        <v>2227</v>
      </c>
      <c r="G1309" s="81" t="s">
        <v>3767</v>
      </c>
      <c r="H1309" s="81" t="s">
        <v>3160</v>
      </c>
      <c r="I1309" s="81" t="s">
        <v>6539</v>
      </c>
      <c r="J1309" s="81" t="s">
        <v>2186</v>
      </c>
      <c r="K1309" s="81" t="s">
        <v>6539</v>
      </c>
      <c r="L1309" s="81" t="s">
        <v>2392</v>
      </c>
      <c r="M1309" s="81" t="s">
        <v>6539</v>
      </c>
      <c r="N1309" s="81" t="s">
        <v>2231</v>
      </c>
      <c r="O1309" s="81" t="s">
        <v>2187</v>
      </c>
      <c r="P1309" s="81" t="s">
        <v>2187</v>
      </c>
      <c r="Q1309" s="81" t="s">
        <v>43</v>
      </c>
      <c r="R1309" s="81" t="s">
        <v>122</v>
      </c>
      <c r="S1309" s="81" t="s">
        <v>123</v>
      </c>
      <c r="T1309" s="81" t="s">
        <v>48</v>
      </c>
      <c r="U1309" s="81" t="s">
        <v>48</v>
      </c>
      <c r="V1309" s="81" t="s">
        <v>49</v>
      </c>
      <c r="W1309" s="81" t="s">
        <v>48</v>
      </c>
      <c r="X1309" s="81" t="s">
        <v>48</v>
      </c>
      <c r="Y1309" s="81" t="s">
        <v>48</v>
      </c>
    </row>
    <row r="1310" spans="1:25" x14ac:dyDescent="0.3">
      <c r="A1310" s="16">
        <v>7502009749247</v>
      </c>
      <c r="B1310" s="81" t="s">
        <v>43</v>
      </c>
      <c r="C1310" s="81" t="s">
        <v>1833</v>
      </c>
      <c r="D1310" s="81" t="s">
        <v>45</v>
      </c>
      <c r="E1310" s="81" t="s">
        <v>2227</v>
      </c>
      <c r="F1310" s="81" t="s">
        <v>2227</v>
      </c>
      <c r="G1310" s="81" t="s">
        <v>5516</v>
      </c>
      <c r="H1310" s="81" t="s">
        <v>2807</v>
      </c>
      <c r="I1310" s="81" t="s">
        <v>6062</v>
      </c>
      <c r="J1310" s="81" t="s">
        <v>2186</v>
      </c>
      <c r="K1310" s="81" t="s">
        <v>6062</v>
      </c>
      <c r="L1310" s="81" t="s">
        <v>2392</v>
      </c>
      <c r="M1310" s="81" t="s">
        <v>6062</v>
      </c>
      <c r="N1310" s="81" t="s">
        <v>2231</v>
      </c>
      <c r="O1310" s="81" t="s">
        <v>2187</v>
      </c>
      <c r="P1310" s="81" t="s">
        <v>2187</v>
      </c>
      <c r="Q1310" s="81" t="s">
        <v>43</v>
      </c>
      <c r="R1310" s="81" t="s">
        <v>46</v>
      </c>
      <c r="S1310" s="81" t="s">
        <v>47</v>
      </c>
      <c r="T1310" s="81" t="s">
        <v>48</v>
      </c>
      <c r="U1310" s="81" t="s">
        <v>48</v>
      </c>
      <c r="V1310" s="81" t="s">
        <v>48</v>
      </c>
      <c r="W1310" s="81" t="s">
        <v>49</v>
      </c>
      <c r="X1310" s="81" t="s">
        <v>48</v>
      </c>
      <c r="Y1310" s="81" t="s">
        <v>48</v>
      </c>
    </row>
    <row r="1311" spans="1:25" x14ac:dyDescent="0.3">
      <c r="A1311" s="16">
        <v>7501065008459</v>
      </c>
      <c r="B1311" s="81" t="s">
        <v>43</v>
      </c>
      <c r="C1311" s="81" t="s">
        <v>2023</v>
      </c>
      <c r="D1311" s="81" t="s">
        <v>45</v>
      </c>
      <c r="E1311" s="81" t="s">
        <v>3589</v>
      </c>
      <c r="F1311" s="81" t="s">
        <v>3590</v>
      </c>
      <c r="G1311" s="81" t="s">
        <v>5118</v>
      </c>
      <c r="H1311" s="81" t="s">
        <v>6540</v>
      </c>
      <c r="I1311" s="81" t="s">
        <v>6541</v>
      </c>
      <c r="J1311" s="81" t="s">
        <v>2186</v>
      </c>
      <c r="K1311" s="81" t="s">
        <v>6541</v>
      </c>
      <c r="L1311" s="81" t="s">
        <v>2392</v>
      </c>
      <c r="M1311" s="81" t="s">
        <v>6541</v>
      </c>
      <c r="N1311" s="81" t="s">
        <v>2231</v>
      </c>
      <c r="O1311" s="81" t="s">
        <v>2187</v>
      </c>
      <c r="P1311" s="81" t="s">
        <v>2187</v>
      </c>
      <c r="Q1311" s="81" t="s">
        <v>43</v>
      </c>
      <c r="R1311" s="81" t="s">
        <v>203</v>
      </c>
      <c r="S1311" s="81" t="s">
        <v>203</v>
      </c>
      <c r="T1311" s="81" t="s">
        <v>48</v>
      </c>
      <c r="U1311" s="81" t="s">
        <v>48</v>
      </c>
      <c r="V1311" s="81" t="s">
        <v>48</v>
      </c>
      <c r="W1311" s="81" t="s">
        <v>49</v>
      </c>
      <c r="X1311" s="81" t="s">
        <v>48</v>
      </c>
      <c r="Y1311" s="81" t="s">
        <v>48</v>
      </c>
    </row>
    <row r="1312" spans="1:25" x14ac:dyDescent="0.3">
      <c r="A1312" s="16">
        <v>7501547503168</v>
      </c>
      <c r="B1312" s="81" t="s">
        <v>43</v>
      </c>
      <c r="C1312" s="81" t="s">
        <v>1178</v>
      </c>
      <c r="D1312" s="81" t="s">
        <v>45</v>
      </c>
      <c r="E1312" s="81" t="s">
        <v>2227</v>
      </c>
      <c r="F1312" s="81" t="s">
        <v>2227</v>
      </c>
      <c r="G1312" s="81" t="s">
        <v>3768</v>
      </c>
      <c r="H1312" s="81" t="s">
        <v>2535</v>
      </c>
      <c r="I1312" s="81" t="s">
        <v>6542</v>
      </c>
      <c r="J1312" s="81" t="s">
        <v>2186</v>
      </c>
      <c r="K1312" s="81" t="s">
        <v>6542</v>
      </c>
      <c r="L1312" s="81" t="s">
        <v>2392</v>
      </c>
      <c r="M1312" s="81" t="s">
        <v>6542</v>
      </c>
      <c r="N1312" s="81" t="s">
        <v>2231</v>
      </c>
      <c r="O1312" s="81" t="s">
        <v>2187</v>
      </c>
      <c r="P1312" s="81" t="s">
        <v>2187</v>
      </c>
      <c r="Q1312" s="81" t="s">
        <v>43</v>
      </c>
      <c r="R1312" s="81" t="s">
        <v>46</v>
      </c>
      <c r="S1312" s="81" t="s">
        <v>46</v>
      </c>
      <c r="T1312" s="81" t="s">
        <v>48</v>
      </c>
      <c r="U1312" s="81" t="s">
        <v>48</v>
      </c>
      <c r="V1312" s="81" t="s">
        <v>48</v>
      </c>
      <c r="W1312" s="81" t="s">
        <v>49</v>
      </c>
      <c r="X1312" s="81" t="s">
        <v>48</v>
      </c>
      <c r="Y1312" s="81" t="s">
        <v>48</v>
      </c>
    </row>
    <row r="1313" spans="1:25" x14ac:dyDescent="0.3">
      <c r="A1313" s="16">
        <v>7502208894946</v>
      </c>
      <c r="B1313" s="81" t="s">
        <v>43</v>
      </c>
      <c r="C1313" s="81" t="s">
        <v>1179</v>
      </c>
      <c r="D1313" s="81" t="s">
        <v>45</v>
      </c>
      <c r="E1313" s="81" t="s">
        <v>2448</v>
      </c>
      <c r="F1313" s="81" t="s">
        <v>3078</v>
      </c>
      <c r="G1313" s="81" t="s">
        <v>4368</v>
      </c>
      <c r="H1313" s="81" t="s">
        <v>2243</v>
      </c>
      <c r="I1313" s="81" t="s">
        <v>6543</v>
      </c>
      <c r="J1313" s="81" t="s">
        <v>2186</v>
      </c>
      <c r="K1313" s="81" t="s">
        <v>6543</v>
      </c>
      <c r="L1313" s="81" t="s">
        <v>2392</v>
      </c>
      <c r="M1313" s="81" t="s">
        <v>6543</v>
      </c>
      <c r="N1313" s="81" t="s">
        <v>2231</v>
      </c>
      <c r="O1313" s="81" t="s">
        <v>2187</v>
      </c>
      <c r="P1313" s="81" t="s">
        <v>2187</v>
      </c>
      <c r="Q1313" s="81" t="s">
        <v>43</v>
      </c>
      <c r="R1313" s="81" t="s">
        <v>46</v>
      </c>
      <c r="S1313" s="81" t="s">
        <v>47</v>
      </c>
      <c r="T1313" s="81" t="s">
        <v>48</v>
      </c>
      <c r="U1313" s="81" t="s">
        <v>48</v>
      </c>
      <c r="V1313" s="81" t="s">
        <v>48</v>
      </c>
      <c r="W1313" s="81" t="s">
        <v>49</v>
      </c>
      <c r="X1313" s="81" t="s">
        <v>48</v>
      </c>
      <c r="Y1313" s="81" t="s">
        <v>48</v>
      </c>
    </row>
    <row r="1314" spans="1:25" x14ac:dyDescent="0.3">
      <c r="A1314" s="16" t="s">
        <v>1180</v>
      </c>
      <c r="B1314" s="81" t="s">
        <v>43</v>
      </c>
      <c r="C1314" s="81" t="s">
        <v>1181</v>
      </c>
      <c r="D1314" s="81" t="s">
        <v>45</v>
      </c>
      <c r="E1314" s="81" t="s">
        <v>2227</v>
      </c>
      <c r="F1314" s="81" t="s">
        <v>2227</v>
      </c>
      <c r="G1314" s="81" t="s">
        <v>3769</v>
      </c>
      <c r="H1314" s="81" t="s">
        <v>6544</v>
      </c>
      <c r="I1314" s="81" t="s">
        <v>6545</v>
      </c>
      <c r="J1314" s="81" t="s">
        <v>2186</v>
      </c>
      <c r="K1314" s="81" t="s">
        <v>6545</v>
      </c>
      <c r="L1314" s="81" t="s">
        <v>2392</v>
      </c>
      <c r="M1314" s="81" t="s">
        <v>6545</v>
      </c>
      <c r="N1314" s="81" t="s">
        <v>2231</v>
      </c>
      <c r="O1314" s="81" t="s">
        <v>2187</v>
      </c>
      <c r="P1314" s="81" t="s">
        <v>2187</v>
      </c>
      <c r="Q1314" s="81" t="s">
        <v>43</v>
      </c>
      <c r="R1314" s="81" t="s">
        <v>374</v>
      </c>
      <c r="S1314" s="81" t="s">
        <v>374</v>
      </c>
      <c r="T1314" s="81" t="s">
        <v>48</v>
      </c>
      <c r="U1314" s="81" t="s">
        <v>48</v>
      </c>
      <c r="V1314" s="81" t="s">
        <v>48</v>
      </c>
      <c r="W1314" s="81" t="s">
        <v>49</v>
      </c>
      <c r="X1314" s="81" t="s">
        <v>48</v>
      </c>
      <c r="Y1314" s="81" t="s">
        <v>48</v>
      </c>
    </row>
    <row r="1315" spans="1:25" x14ac:dyDescent="0.3">
      <c r="A1315" s="16">
        <v>7502009749179</v>
      </c>
      <c r="B1315" s="81" t="s">
        <v>43</v>
      </c>
      <c r="C1315" s="81" t="s">
        <v>1182</v>
      </c>
      <c r="D1315" s="81" t="s">
        <v>45</v>
      </c>
      <c r="E1315" s="81" t="s">
        <v>2227</v>
      </c>
      <c r="F1315" s="81" t="s">
        <v>2227</v>
      </c>
      <c r="G1315" s="81" t="s">
        <v>3770</v>
      </c>
      <c r="H1315" s="81" t="s">
        <v>2667</v>
      </c>
      <c r="I1315" s="81" t="s">
        <v>6208</v>
      </c>
      <c r="J1315" s="81" t="s">
        <v>2186</v>
      </c>
      <c r="K1315" s="81" t="s">
        <v>6208</v>
      </c>
      <c r="L1315" s="81" t="s">
        <v>2392</v>
      </c>
      <c r="M1315" s="81" t="s">
        <v>6208</v>
      </c>
      <c r="N1315" s="81" t="s">
        <v>2231</v>
      </c>
      <c r="O1315" s="81" t="s">
        <v>2187</v>
      </c>
      <c r="P1315" s="81" t="s">
        <v>2187</v>
      </c>
      <c r="Q1315" s="81" t="s">
        <v>43</v>
      </c>
      <c r="R1315" s="81" t="s">
        <v>374</v>
      </c>
      <c r="S1315" s="81" t="s">
        <v>374</v>
      </c>
      <c r="T1315" s="81" t="s">
        <v>48</v>
      </c>
      <c r="U1315" s="81" t="s">
        <v>48</v>
      </c>
      <c r="V1315" s="81" t="s">
        <v>48</v>
      </c>
      <c r="W1315" s="81" t="s">
        <v>49</v>
      </c>
      <c r="X1315" s="81" t="s">
        <v>48</v>
      </c>
      <c r="Y1315" s="81" t="s">
        <v>48</v>
      </c>
    </row>
    <row r="1316" spans="1:25" x14ac:dyDescent="0.3">
      <c r="A1316" s="16">
        <v>7502216808171</v>
      </c>
      <c r="B1316" s="81" t="s">
        <v>43</v>
      </c>
      <c r="C1316" s="81" t="s">
        <v>1183</v>
      </c>
      <c r="D1316" s="81" t="s">
        <v>45</v>
      </c>
      <c r="E1316" s="81" t="s">
        <v>2227</v>
      </c>
      <c r="F1316" s="81" t="s">
        <v>2227</v>
      </c>
      <c r="G1316" s="81" t="s">
        <v>3771</v>
      </c>
      <c r="H1316" s="81" t="s">
        <v>6546</v>
      </c>
      <c r="I1316" s="81" t="s">
        <v>6547</v>
      </c>
      <c r="J1316" s="81" t="s">
        <v>2186</v>
      </c>
      <c r="K1316" s="81" t="s">
        <v>6547</v>
      </c>
      <c r="L1316" s="81" t="s">
        <v>2392</v>
      </c>
      <c r="M1316" s="81" t="s">
        <v>6547</v>
      </c>
      <c r="N1316" s="81" t="s">
        <v>2231</v>
      </c>
      <c r="O1316" s="81" t="s">
        <v>2187</v>
      </c>
      <c r="P1316" s="81" t="s">
        <v>2187</v>
      </c>
      <c r="Q1316" s="81" t="s">
        <v>43</v>
      </c>
      <c r="R1316" s="81" t="s">
        <v>203</v>
      </c>
      <c r="S1316" s="81" t="s">
        <v>203</v>
      </c>
      <c r="T1316" s="81" t="s">
        <v>48</v>
      </c>
      <c r="U1316" s="81" t="s">
        <v>48</v>
      </c>
      <c r="V1316" s="81" t="s">
        <v>48</v>
      </c>
      <c r="W1316" s="81" t="s">
        <v>49</v>
      </c>
      <c r="X1316" s="81" t="s">
        <v>48</v>
      </c>
      <c r="Y1316" s="81" t="s">
        <v>48</v>
      </c>
    </row>
    <row r="1317" spans="1:25" x14ac:dyDescent="0.3">
      <c r="A1317" s="16">
        <v>7506425651078</v>
      </c>
      <c r="B1317" s="81" t="s">
        <v>43</v>
      </c>
      <c r="C1317" s="81" t="s">
        <v>1184</v>
      </c>
      <c r="D1317" s="81" t="s">
        <v>45</v>
      </c>
      <c r="E1317" s="81" t="s">
        <v>2227</v>
      </c>
      <c r="F1317" s="81" t="s">
        <v>2227</v>
      </c>
      <c r="G1317" s="81" t="s">
        <v>3772</v>
      </c>
      <c r="H1317" s="81" t="s">
        <v>3773</v>
      </c>
      <c r="I1317" s="81" t="s">
        <v>6548</v>
      </c>
      <c r="J1317" s="81" t="s">
        <v>2186</v>
      </c>
      <c r="K1317" s="81" t="s">
        <v>6548</v>
      </c>
      <c r="L1317" s="81" t="s">
        <v>2392</v>
      </c>
      <c r="M1317" s="81" t="s">
        <v>6548</v>
      </c>
      <c r="N1317" s="81" t="s">
        <v>2231</v>
      </c>
      <c r="O1317" s="81" t="s">
        <v>2187</v>
      </c>
      <c r="P1317" s="81" t="s">
        <v>2187</v>
      </c>
      <c r="Q1317" s="81" t="s">
        <v>43</v>
      </c>
      <c r="R1317" s="81" t="s">
        <v>203</v>
      </c>
      <c r="S1317" s="81" t="s">
        <v>203</v>
      </c>
      <c r="T1317" s="81" t="s">
        <v>48</v>
      </c>
      <c r="U1317" s="81" t="s">
        <v>48</v>
      </c>
      <c r="V1317" s="81" t="s">
        <v>49</v>
      </c>
      <c r="W1317" s="81" t="s">
        <v>48</v>
      </c>
      <c r="X1317" s="81" t="s">
        <v>48</v>
      </c>
      <c r="Y1317" s="81" t="s">
        <v>48</v>
      </c>
    </row>
    <row r="1318" spans="1:25" x14ac:dyDescent="0.3">
      <c r="A1318" s="16">
        <v>7501943484238</v>
      </c>
      <c r="B1318" s="81" t="s">
        <v>43</v>
      </c>
      <c r="C1318" s="81" t="s">
        <v>1185</v>
      </c>
      <c r="D1318" s="81" t="s">
        <v>45</v>
      </c>
      <c r="E1318" s="81" t="s">
        <v>2227</v>
      </c>
      <c r="F1318" s="81" t="s">
        <v>2227</v>
      </c>
      <c r="G1318" s="81" t="s">
        <v>3774</v>
      </c>
      <c r="H1318" s="81" t="s">
        <v>3231</v>
      </c>
      <c r="I1318" s="81" t="s">
        <v>3631</v>
      </c>
      <c r="J1318" s="81" t="s">
        <v>2186</v>
      </c>
      <c r="K1318" s="81" t="s">
        <v>4614</v>
      </c>
      <c r="L1318" s="81" t="s">
        <v>2392</v>
      </c>
      <c r="M1318" s="81" t="s">
        <v>4615</v>
      </c>
      <c r="N1318" s="81" t="s">
        <v>2231</v>
      </c>
      <c r="O1318" s="81" t="s">
        <v>2187</v>
      </c>
      <c r="P1318" s="81" t="s">
        <v>2187</v>
      </c>
      <c r="Q1318" s="81" t="s">
        <v>43</v>
      </c>
      <c r="R1318" s="81" t="s">
        <v>203</v>
      </c>
      <c r="S1318" s="81" t="s">
        <v>203</v>
      </c>
      <c r="T1318" s="81" t="s">
        <v>48</v>
      </c>
      <c r="U1318" s="81" t="s">
        <v>48</v>
      </c>
      <c r="V1318" s="81" t="s">
        <v>49</v>
      </c>
      <c r="W1318" s="81" t="s">
        <v>48</v>
      </c>
      <c r="X1318" s="81" t="s">
        <v>48</v>
      </c>
      <c r="Y1318" s="81" t="s">
        <v>48</v>
      </c>
    </row>
    <row r="1319" spans="1:25" x14ac:dyDescent="0.3">
      <c r="A1319" s="16">
        <v>7501349027343</v>
      </c>
      <c r="B1319" s="81" t="s">
        <v>43</v>
      </c>
      <c r="C1319" s="81" t="s">
        <v>2024</v>
      </c>
      <c r="D1319" s="81" t="s">
        <v>45</v>
      </c>
      <c r="E1319" s="81" t="s">
        <v>2227</v>
      </c>
      <c r="F1319" s="81" t="s">
        <v>2227</v>
      </c>
      <c r="G1319" s="81" t="s">
        <v>4137</v>
      </c>
      <c r="H1319" s="81" t="s">
        <v>2744</v>
      </c>
      <c r="I1319" s="81" t="s">
        <v>6549</v>
      </c>
      <c r="J1319" s="81" t="s">
        <v>2186</v>
      </c>
      <c r="K1319" s="81" t="s">
        <v>6549</v>
      </c>
      <c r="L1319" s="81" t="s">
        <v>2392</v>
      </c>
      <c r="M1319" s="81" t="s">
        <v>6549</v>
      </c>
      <c r="N1319" s="81" t="s">
        <v>2231</v>
      </c>
      <c r="O1319" s="81" t="s">
        <v>2187</v>
      </c>
      <c r="P1319" s="81" t="s">
        <v>2187</v>
      </c>
      <c r="Q1319" s="81" t="s">
        <v>43</v>
      </c>
      <c r="R1319" s="81" t="s">
        <v>101</v>
      </c>
      <c r="S1319" s="81" t="s">
        <v>101</v>
      </c>
      <c r="T1319" s="81" t="s">
        <v>48</v>
      </c>
      <c r="U1319" s="81" t="s">
        <v>48</v>
      </c>
      <c r="V1319" s="81" t="s">
        <v>48</v>
      </c>
      <c r="W1319" s="81" t="s">
        <v>49</v>
      </c>
      <c r="X1319" s="81" t="s">
        <v>48</v>
      </c>
      <c r="Y1319" s="81" t="s">
        <v>48</v>
      </c>
    </row>
    <row r="1320" spans="1:25" x14ac:dyDescent="0.3">
      <c r="A1320" s="16">
        <v>7501056325442</v>
      </c>
      <c r="B1320" s="81" t="s">
        <v>43</v>
      </c>
      <c r="C1320" s="81" t="s">
        <v>2025</v>
      </c>
      <c r="D1320" s="81" t="s">
        <v>45</v>
      </c>
      <c r="E1320" s="81" t="s">
        <v>2227</v>
      </c>
      <c r="F1320" s="81" t="s">
        <v>2227</v>
      </c>
      <c r="G1320" s="81" t="s">
        <v>3775</v>
      </c>
      <c r="H1320" s="81" t="s">
        <v>3290</v>
      </c>
      <c r="I1320" s="81" t="s">
        <v>6550</v>
      </c>
      <c r="J1320" s="81" t="s">
        <v>2186</v>
      </c>
      <c r="K1320" s="81" t="s">
        <v>6550</v>
      </c>
      <c r="L1320" s="81" t="s">
        <v>2392</v>
      </c>
      <c r="M1320" s="81" t="s">
        <v>6550</v>
      </c>
      <c r="N1320" s="81" t="s">
        <v>2231</v>
      </c>
      <c r="O1320" s="81" t="s">
        <v>2187</v>
      </c>
      <c r="P1320" s="81" t="s">
        <v>2187</v>
      </c>
      <c r="Q1320" s="81" t="s">
        <v>43</v>
      </c>
      <c r="R1320" s="81" t="s">
        <v>524</v>
      </c>
      <c r="S1320" s="81" t="s">
        <v>525</v>
      </c>
      <c r="T1320" s="81" t="s">
        <v>48</v>
      </c>
      <c r="U1320" s="81" t="s">
        <v>48</v>
      </c>
      <c r="V1320" s="81" t="s">
        <v>49</v>
      </c>
      <c r="W1320" s="81" t="s">
        <v>48</v>
      </c>
      <c r="X1320" s="81" t="s">
        <v>48</v>
      </c>
      <c r="Y1320" s="81" t="s">
        <v>48</v>
      </c>
    </row>
    <row r="1321" spans="1:25" x14ac:dyDescent="0.3">
      <c r="A1321" s="16">
        <v>7501478316172</v>
      </c>
      <c r="B1321" s="81" t="s">
        <v>43</v>
      </c>
      <c r="C1321" s="81" t="s">
        <v>3776</v>
      </c>
      <c r="D1321" s="81" t="s">
        <v>45</v>
      </c>
      <c r="E1321" s="81" t="s">
        <v>2227</v>
      </c>
      <c r="F1321" s="81" t="s">
        <v>2227</v>
      </c>
      <c r="G1321" s="81" t="s">
        <v>2247</v>
      </c>
      <c r="H1321" s="81" t="s">
        <v>2270</v>
      </c>
      <c r="I1321" s="81" t="s">
        <v>5648</v>
      </c>
      <c r="J1321" s="81" t="s">
        <v>2186</v>
      </c>
      <c r="K1321" s="81" t="s">
        <v>5648</v>
      </c>
      <c r="L1321" s="81" t="s">
        <v>2392</v>
      </c>
      <c r="M1321" s="81" t="s">
        <v>5648</v>
      </c>
      <c r="N1321" s="81" t="s">
        <v>2231</v>
      </c>
      <c r="O1321" s="81" t="s">
        <v>2187</v>
      </c>
      <c r="P1321" s="81" t="s">
        <v>2187</v>
      </c>
      <c r="Q1321" s="81" t="s">
        <v>43</v>
      </c>
      <c r="R1321" s="81" t="s">
        <v>46</v>
      </c>
      <c r="S1321" s="81" t="s">
        <v>46</v>
      </c>
      <c r="T1321" s="81" t="s">
        <v>48</v>
      </c>
      <c r="U1321" s="81" t="s">
        <v>48</v>
      </c>
      <c r="V1321" s="81" t="s">
        <v>48</v>
      </c>
      <c r="W1321" s="81" t="s">
        <v>49</v>
      </c>
      <c r="X1321" s="81" t="s">
        <v>48</v>
      </c>
      <c r="Y1321" s="81" t="s">
        <v>48</v>
      </c>
    </row>
    <row r="1322" spans="1:25" x14ac:dyDescent="0.3">
      <c r="A1322" s="16">
        <v>7502216804401</v>
      </c>
      <c r="B1322" s="81" t="s">
        <v>43</v>
      </c>
      <c r="C1322" s="81" t="s">
        <v>1186</v>
      </c>
      <c r="D1322" s="81" t="s">
        <v>45</v>
      </c>
      <c r="E1322" s="81" t="s">
        <v>2227</v>
      </c>
      <c r="F1322" s="81" t="s">
        <v>2227</v>
      </c>
      <c r="G1322" s="81" t="s">
        <v>3777</v>
      </c>
      <c r="H1322" s="81" t="s">
        <v>2260</v>
      </c>
      <c r="I1322" s="81" t="s">
        <v>6551</v>
      </c>
      <c r="J1322" s="81" t="s">
        <v>2186</v>
      </c>
      <c r="K1322" s="81" t="s">
        <v>6551</v>
      </c>
      <c r="L1322" s="81" t="s">
        <v>2392</v>
      </c>
      <c r="M1322" s="81" t="s">
        <v>6551</v>
      </c>
      <c r="N1322" s="81" t="s">
        <v>2231</v>
      </c>
      <c r="O1322" s="81" t="s">
        <v>2187</v>
      </c>
      <c r="P1322" s="81" t="s">
        <v>2187</v>
      </c>
      <c r="Q1322" s="81" t="s">
        <v>43</v>
      </c>
      <c r="R1322" s="81" t="s">
        <v>374</v>
      </c>
      <c r="S1322" s="81" t="s">
        <v>374</v>
      </c>
      <c r="T1322" s="81" t="s">
        <v>48</v>
      </c>
      <c r="U1322" s="81" t="s">
        <v>48</v>
      </c>
      <c r="V1322" s="81" t="s">
        <v>48</v>
      </c>
      <c r="W1322" s="81" t="s">
        <v>49</v>
      </c>
      <c r="X1322" s="81" t="s">
        <v>48</v>
      </c>
      <c r="Y1322" s="81" t="s">
        <v>48</v>
      </c>
    </row>
    <row r="1323" spans="1:25" x14ac:dyDescent="0.3">
      <c r="A1323" s="16">
        <v>7502001167254</v>
      </c>
      <c r="B1323" s="81" t="s">
        <v>43</v>
      </c>
      <c r="C1323" s="81" t="s">
        <v>1187</v>
      </c>
      <c r="D1323" s="81" t="s">
        <v>45</v>
      </c>
      <c r="E1323" s="81" t="s">
        <v>2227</v>
      </c>
      <c r="F1323" s="81" t="s">
        <v>2227</v>
      </c>
      <c r="G1323" s="81" t="s">
        <v>3778</v>
      </c>
      <c r="H1323" s="81" t="s">
        <v>2415</v>
      </c>
      <c r="I1323" s="81" t="s">
        <v>6552</v>
      </c>
      <c r="J1323" s="81" t="s">
        <v>2186</v>
      </c>
      <c r="K1323" s="81" t="s">
        <v>6552</v>
      </c>
      <c r="L1323" s="81" t="s">
        <v>2392</v>
      </c>
      <c r="M1323" s="81" t="s">
        <v>6552</v>
      </c>
      <c r="N1323" s="81" t="s">
        <v>2231</v>
      </c>
      <c r="O1323" s="81" t="s">
        <v>2187</v>
      </c>
      <c r="P1323" s="81" t="s">
        <v>2187</v>
      </c>
      <c r="Q1323" s="81" t="s">
        <v>43</v>
      </c>
      <c r="R1323" s="81" t="s">
        <v>51</v>
      </c>
      <c r="S1323" s="81" t="s">
        <v>81</v>
      </c>
      <c r="T1323" s="81" t="s">
        <v>48</v>
      </c>
      <c r="U1323" s="81" t="s">
        <v>48</v>
      </c>
      <c r="V1323" s="81" t="s">
        <v>48</v>
      </c>
      <c r="W1323" s="81" t="s">
        <v>49</v>
      </c>
      <c r="X1323" s="81" t="s">
        <v>48</v>
      </c>
      <c r="Y1323" s="81" t="s">
        <v>48</v>
      </c>
    </row>
    <row r="1324" spans="1:25" x14ac:dyDescent="0.3">
      <c r="A1324" s="16">
        <v>7501065064431</v>
      </c>
      <c r="B1324" s="81" t="s">
        <v>43</v>
      </c>
      <c r="C1324" s="81" t="s">
        <v>1188</v>
      </c>
      <c r="D1324" s="81" t="s">
        <v>45</v>
      </c>
      <c r="E1324" s="81" t="s">
        <v>2574</v>
      </c>
      <c r="F1324" s="81" t="s">
        <v>3008</v>
      </c>
      <c r="G1324" s="81" t="s">
        <v>3779</v>
      </c>
      <c r="H1324" s="81" t="s">
        <v>2669</v>
      </c>
      <c r="I1324" s="81" t="s">
        <v>6553</v>
      </c>
      <c r="J1324" s="81" t="s">
        <v>2186</v>
      </c>
      <c r="K1324" s="81" t="s">
        <v>6553</v>
      </c>
      <c r="L1324" s="81" t="s">
        <v>2392</v>
      </c>
      <c r="M1324" s="81" t="s">
        <v>6553</v>
      </c>
      <c r="N1324" s="81" t="s">
        <v>2231</v>
      </c>
      <c r="O1324" s="81" t="s">
        <v>2187</v>
      </c>
      <c r="P1324" s="81" t="s">
        <v>2187</v>
      </c>
      <c r="Q1324" s="81" t="s">
        <v>43</v>
      </c>
      <c r="R1324" s="81" t="s">
        <v>203</v>
      </c>
      <c r="S1324" s="81" t="s">
        <v>47</v>
      </c>
      <c r="T1324" s="81" t="s">
        <v>48</v>
      </c>
      <c r="U1324" s="81" t="s">
        <v>48</v>
      </c>
      <c r="V1324" s="81" t="s">
        <v>48</v>
      </c>
      <c r="W1324" s="81" t="s">
        <v>49</v>
      </c>
      <c r="X1324" s="81" t="s">
        <v>48</v>
      </c>
      <c r="Y1324" s="81" t="s">
        <v>48</v>
      </c>
    </row>
    <row r="1325" spans="1:25" x14ac:dyDescent="0.3">
      <c r="A1325" s="16">
        <v>7794640171420</v>
      </c>
      <c r="B1325" s="81" t="s">
        <v>43</v>
      </c>
      <c r="C1325" s="81" t="s">
        <v>1189</v>
      </c>
      <c r="D1325" s="81" t="s">
        <v>45</v>
      </c>
      <c r="E1325" s="81" t="s">
        <v>2227</v>
      </c>
      <c r="F1325" s="81" t="s">
        <v>2227</v>
      </c>
      <c r="G1325" s="81" t="s">
        <v>3780</v>
      </c>
      <c r="H1325" s="81" t="s">
        <v>6554</v>
      </c>
      <c r="I1325" s="81" t="s">
        <v>6555</v>
      </c>
      <c r="J1325" s="81" t="s">
        <v>2186</v>
      </c>
      <c r="K1325" s="81" t="s">
        <v>6555</v>
      </c>
      <c r="L1325" s="81" t="s">
        <v>2392</v>
      </c>
      <c r="M1325" s="81" t="s">
        <v>6555</v>
      </c>
      <c r="N1325" s="81" t="s">
        <v>2231</v>
      </c>
      <c r="O1325" s="81" t="s">
        <v>2187</v>
      </c>
      <c r="P1325" s="81" t="s">
        <v>2187</v>
      </c>
      <c r="Q1325" s="81" t="s">
        <v>43</v>
      </c>
      <c r="R1325" s="81" t="s">
        <v>203</v>
      </c>
      <c r="S1325" s="81" t="s">
        <v>203</v>
      </c>
      <c r="T1325" s="81" t="s">
        <v>48</v>
      </c>
      <c r="U1325" s="81" t="s">
        <v>48</v>
      </c>
      <c r="V1325" s="81" t="s">
        <v>49</v>
      </c>
      <c r="W1325" s="81" t="s">
        <v>48</v>
      </c>
      <c r="X1325" s="81" t="s">
        <v>48</v>
      </c>
      <c r="Y1325" s="81" t="s">
        <v>48</v>
      </c>
    </row>
    <row r="1326" spans="1:25" x14ac:dyDescent="0.3">
      <c r="A1326" s="16">
        <v>799192067402</v>
      </c>
      <c r="B1326" s="81" t="s">
        <v>43</v>
      </c>
      <c r="C1326" s="81" t="s">
        <v>1190</v>
      </c>
      <c r="D1326" s="81" t="s">
        <v>45</v>
      </c>
      <c r="E1326" s="81" t="s">
        <v>2227</v>
      </c>
      <c r="F1326" s="81" t="s">
        <v>2227</v>
      </c>
      <c r="G1326" s="81" t="s">
        <v>3781</v>
      </c>
      <c r="H1326" s="81" t="s">
        <v>3782</v>
      </c>
      <c r="I1326" s="81" t="s">
        <v>6556</v>
      </c>
      <c r="J1326" s="81" t="s">
        <v>2186</v>
      </c>
      <c r="K1326" s="81" t="s">
        <v>6556</v>
      </c>
      <c r="L1326" s="81" t="s">
        <v>2392</v>
      </c>
      <c r="M1326" s="81" t="s">
        <v>6556</v>
      </c>
      <c r="N1326" s="81" t="s">
        <v>2231</v>
      </c>
      <c r="O1326" s="81" t="s">
        <v>2187</v>
      </c>
      <c r="P1326" s="81" t="s">
        <v>2187</v>
      </c>
      <c r="Q1326" s="81" t="s">
        <v>43</v>
      </c>
      <c r="R1326" s="81" t="s">
        <v>1191</v>
      </c>
      <c r="S1326" s="81" t="s">
        <v>1192</v>
      </c>
      <c r="T1326" s="81" t="s">
        <v>48</v>
      </c>
      <c r="U1326" s="81" t="s">
        <v>48</v>
      </c>
      <c r="V1326" s="81" t="s">
        <v>49</v>
      </c>
      <c r="W1326" s="81" t="s">
        <v>48</v>
      </c>
      <c r="X1326" s="81" t="s">
        <v>48</v>
      </c>
      <c r="Y1326" s="81" t="s">
        <v>48</v>
      </c>
    </row>
    <row r="1327" spans="1:25" x14ac:dyDescent="0.3">
      <c r="A1327" s="16">
        <v>7501072300133</v>
      </c>
      <c r="B1327" s="81" t="s">
        <v>43</v>
      </c>
      <c r="C1327" s="81" t="s">
        <v>2026</v>
      </c>
      <c r="D1327" s="81" t="s">
        <v>45</v>
      </c>
      <c r="E1327" s="81" t="s">
        <v>2227</v>
      </c>
      <c r="F1327" s="81" t="s">
        <v>2227</v>
      </c>
      <c r="G1327" s="81" t="s">
        <v>4774</v>
      </c>
      <c r="H1327" s="81" t="s">
        <v>3127</v>
      </c>
      <c r="I1327" s="81" t="s">
        <v>6557</v>
      </c>
      <c r="J1327" s="81" t="s">
        <v>2186</v>
      </c>
      <c r="K1327" s="81" t="s">
        <v>6557</v>
      </c>
      <c r="L1327" s="81" t="s">
        <v>2392</v>
      </c>
      <c r="M1327" s="81" t="s">
        <v>6557</v>
      </c>
      <c r="N1327" s="81" t="s">
        <v>2231</v>
      </c>
      <c r="O1327" s="81" t="s">
        <v>2187</v>
      </c>
      <c r="P1327" s="81" t="s">
        <v>2187</v>
      </c>
      <c r="Q1327" s="81" t="s">
        <v>43</v>
      </c>
      <c r="R1327" s="81" t="s">
        <v>203</v>
      </c>
      <c r="S1327" s="81" t="s">
        <v>203</v>
      </c>
      <c r="T1327" s="81" t="s">
        <v>48</v>
      </c>
      <c r="U1327" s="81" t="s">
        <v>48</v>
      </c>
      <c r="V1327" s="81" t="s">
        <v>48</v>
      </c>
      <c r="W1327" s="81" t="s">
        <v>49</v>
      </c>
      <c r="X1327" s="81" t="s">
        <v>48</v>
      </c>
      <c r="Y1327" s="81" t="s">
        <v>48</v>
      </c>
    </row>
    <row r="1328" spans="1:25" x14ac:dyDescent="0.3">
      <c r="A1328" s="16">
        <v>7506442700650</v>
      </c>
      <c r="B1328" s="81" t="s">
        <v>43</v>
      </c>
      <c r="C1328" s="81" t="s">
        <v>3783</v>
      </c>
      <c r="D1328" s="81" t="s">
        <v>45</v>
      </c>
      <c r="E1328" s="81" t="s">
        <v>2179</v>
      </c>
      <c r="F1328" s="81" t="s">
        <v>2704</v>
      </c>
      <c r="G1328" s="81" t="s">
        <v>3784</v>
      </c>
      <c r="H1328" s="81" t="s">
        <v>2424</v>
      </c>
      <c r="I1328" s="81" t="s">
        <v>6558</v>
      </c>
      <c r="J1328" s="81" t="s">
        <v>2186</v>
      </c>
      <c r="K1328" s="81" t="s">
        <v>6558</v>
      </c>
      <c r="L1328" s="81" t="s">
        <v>2392</v>
      </c>
      <c r="M1328" s="81" t="s">
        <v>6558</v>
      </c>
      <c r="N1328" s="81" t="s">
        <v>2231</v>
      </c>
      <c r="O1328" s="81" t="s">
        <v>2187</v>
      </c>
      <c r="P1328" s="81" t="s">
        <v>2187</v>
      </c>
      <c r="Q1328" s="81" t="s">
        <v>794</v>
      </c>
      <c r="R1328" s="81" t="s">
        <v>46</v>
      </c>
      <c r="S1328" s="81" t="s">
        <v>47</v>
      </c>
      <c r="T1328" s="81" t="s">
        <v>48</v>
      </c>
      <c r="U1328" s="81" t="s">
        <v>48</v>
      </c>
      <c r="V1328" s="81" t="s">
        <v>48</v>
      </c>
      <c r="W1328" s="81" t="s">
        <v>49</v>
      </c>
      <c r="X1328" s="81" t="s">
        <v>48</v>
      </c>
      <c r="Y1328" s="81" t="s">
        <v>48</v>
      </c>
    </row>
    <row r="1329" spans="1:25" x14ac:dyDescent="0.3">
      <c r="A1329" s="16">
        <v>7502227425039</v>
      </c>
      <c r="B1329" s="81" t="s">
        <v>43</v>
      </c>
      <c r="C1329" s="81" t="s">
        <v>2027</v>
      </c>
      <c r="D1329" s="81" t="s">
        <v>45</v>
      </c>
      <c r="E1329" s="81" t="s">
        <v>2227</v>
      </c>
      <c r="F1329" s="81" t="s">
        <v>2227</v>
      </c>
      <c r="G1329" s="81" t="s">
        <v>7115</v>
      </c>
      <c r="H1329" s="81" t="s">
        <v>2218</v>
      </c>
      <c r="I1329" s="81" t="s">
        <v>2810</v>
      </c>
      <c r="J1329" s="81" t="s">
        <v>2186</v>
      </c>
      <c r="K1329" s="81" t="s">
        <v>2810</v>
      </c>
      <c r="L1329" s="81" t="s">
        <v>2392</v>
      </c>
      <c r="M1329" s="81" t="s">
        <v>2810</v>
      </c>
      <c r="N1329" s="81" t="s">
        <v>2231</v>
      </c>
      <c r="O1329" s="81" t="s">
        <v>2187</v>
      </c>
      <c r="P1329" s="81" t="s">
        <v>2187</v>
      </c>
      <c r="Q1329" s="81" t="s">
        <v>43</v>
      </c>
      <c r="R1329" s="81" t="s">
        <v>51</v>
      </c>
      <c r="S1329" s="81" t="s">
        <v>81</v>
      </c>
      <c r="T1329" s="81" t="s">
        <v>48</v>
      </c>
      <c r="U1329" s="81" t="s">
        <v>48</v>
      </c>
      <c r="V1329" s="81" t="s">
        <v>48</v>
      </c>
      <c r="W1329" s="81" t="s">
        <v>49</v>
      </c>
      <c r="X1329" s="81" t="s">
        <v>48</v>
      </c>
      <c r="Y1329" s="81" t="s">
        <v>48</v>
      </c>
    </row>
    <row r="1330" spans="1:25" x14ac:dyDescent="0.3">
      <c r="A1330" s="16">
        <v>7501109762446</v>
      </c>
      <c r="B1330" s="81" t="s">
        <v>43</v>
      </c>
      <c r="C1330" s="81" t="s">
        <v>4677</v>
      </c>
      <c r="D1330" s="81" t="s">
        <v>45</v>
      </c>
      <c r="E1330" s="81" t="s">
        <v>2227</v>
      </c>
      <c r="F1330" s="81" t="s">
        <v>2227</v>
      </c>
      <c r="G1330" s="81" t="s">
        <v>5039</v>
      </c>
      <c r="H1330" s="81" t="s">
        <v>2209</v>
      </c>
      <c r="I1330" s="81" t="s">
        <v>6175</v>
      </c>
      <c r="J1330" s="81" t="s">
        <v>2186</v>
      </c>
      <c r="K1330" s="81" t="s">
        <v>6175</v>
      </c>
      <c r="L1330" s="81" t="s">
        <v>2392</v>
      </c>
      <c r="M1330" s="81" t="s">
        <v>6175</v>
      </c>
      <c r="N1330" s="81" t="s">
        <v>2231</v>
      </c>
      <c r="O1330" s="81" t="s">
        <v>2187</v>
      </c>
      <c r="P1330" s="81" t="s">
        <v>2187</v>
      </c>
      <c r="Q1330" s="81" t="s">
        <v>43</v>
      </c>
      <c r="R1330" s="81" t="s">
        <v>51</v>
      </c>
      <c r="S1330" s="81" t="s">
        <v>81</v>
      </c>
      <c r="T1330" s="81" t="s">
        <v>48</v>
      </c>
      <c r="U1330" s="81" t="s">
        <v>48</v>
      </c>
      <c r="V1330" s="81" t="s">
        <v>48</v>
      </c>
      <c r="W1330" s="81" t="s">
        <v>49</v>
      </c>
      <c r="X1330" s="81" t="s">
        <v>48</v>
      </c>
      <c r="Y1330" s="81" t="s">
        <v>48</v>
      </c>
    </row>
    <row r="1331" spans="1:25" x14ac:dyDescent="0.3">
      <c r="A1331" s="16">
        <v>7503002047637</v>
      </c>
      <c r="B1331" s="81" t="s">
        <v>43</v>
      </c>
      <c r="C1331" s="81" t="s">
        <v>1193</v>
      </c>
      <c r="D1331" s="81" t="s">
        <v>45</v>
      </c>
      <c r="E1331" s="81" t="s">
        <v>2227</v>
      </c>
      <c r="F1331" s="81" t="s">
        <v>2227</v>
      </c>
      <c r="G1331" s="81" t="s">
        <v>4678</v>
      </c>
      <c r="H1331" s="81" t="s">
        <v>2482</v>
      </c>
      <c r="I1331" s="81" t="s">
        <v>2434</v>
      </c>
      <c r="J1331" s="81" t="s">
        <v>2186</v>
      </c>
      <c r="K1331" s="81" t="s">
        <v>2336</v>
      </c>
      <c r="L1331" s="81" t="s">
        <v>2392</v>
      </c>
      <c r="M1331" s="81" t="s">
        <v>3785</v>
      </c>
      <c r="N1331" s="81" t="s">
        <v>2231</v>
      </c>
      <c r="O1331" s="81" t="s">
        <v>2187</v>
      </c>
      <c r="P1331" s="81" t="s">
        <v>2187</v>
      </c>
      <c r="Q1331" s="81" t="s">
        <v>43</v>
      </c>
      <c r="R1331" s="81" t="s">
        <v>994</v>
      </c>
      <c r="S1331" s="81" t="s">
        <v>994</v>
      </c>
      <c r="T1331" s="81" t="s">
        <v>48</v>
      </c>
      <c r="U1331" s="81" t="s">
        <v>48</v>
      </c>
      <c r="V1331" s="81" t="s">
        <v>48</v>
      </c>
      <c r="W1331" s="81" t="s">
        <v>49</v>
      </c>
      <c r="X1331" s="81" t="s">
        <v>48</v>
      </c>
      <c r="Y1331" s="81" t="s">
        <v>48</v>
      </c>
    </row>
    <row r="1332" spans="1:25" x14ac:dyDescent="0.3">
      <c r="A1332" s="16">
        <v>7502216796812</v>
      </c>
      <c r="B1332" s="81" t="s">
        <v>43</v>
      </c>
      <c r="C1332" s="81" t="s">
        <v>2028</v>
      </c>
      <c r="D1332" s="81" t="s">
        <v>45</v>
      </c>
      <c r="E1332" s="81" t="s">
        <v>2227</v>
      </c>
      <c r="F1332" s="81" t="s">
        <v>2227</v>
      </c>
      <c r="G1332" s="81" t="s">
        <v>5416</v>
      </c>
      <c r="H1332" s="81" t="s">
        <v>2383</v>
      </c>
      <c r="I1332" s="81" t="s">
        <v>6559</v>
      </c>
      <c r="J1332" s="81" t="s">
        <v>2186</v>
      </c>
      <c r="K1332" s="81" t="s">
        <v>6559</v>
      </c>
      <c r="L1332" s="81" t="s">
        <v>2392</v>
      </c>
      <c r="M1332" s="81" t="s">
        <v>6559</v>
      </c>
      <c r="N1332" s="81" t="s">
        <v>2231</v>
      </c>
      <c r="O1332" s="81" t="s">
        <v>2187</v>
      </c>
      <c r="P1332" s="81" t="s">
        <v>2187</v>
      </c>
      <c r="Q1332" s="81" t="s">
        <v>43</v>
      </c>
      <c r="R1332" s="81" t="s">
        <v>203</v>
      </c>
      <c r="S1332" s="81" t="s">
        <v>203</v>
      </c>
      <c r="T1332" s="81" t="s">
        <v>48</v>
      </c>
      <c r="U1332" s="81" t="s">
        <v>48</v>
      </c>
      <c r="V1332" s="81" t="s">
        <v>48</v>
      </c>
      <c r="W1332" s="81" t="s">
        <v>49</v>
      </c>
      <c r="X1332" s="81" t="s">
        <v>48</v>
      </c>
      <c r="Y1332" s="81" t="s">
        <v>48</v>
      </c>
    </row>
    <row r="1333" spans="1:25" x14ac:dyDescent="0.3">
      <c r="A1333" s="16">
        <v>7502009748448</v>
      </c>
      <c r="B1333" s="81" t="s">
        <v>43</v>
      </c>
      <c r="C1333" s="81" t="s">
        <v>4349</v>
      </c>
      <c r="D1333" s="81" t="s">
        <v>45</v>
      </c>
      <c r="E1333" s="81" t="s">
        <v>2227</v>
      </c>
      <c r="F1333" s="81" t="s">
        <v>2227</v>
      </c>
      <c r="G1333" s="81" t="s">
        <v>4930</v>
      </c>
      <c r="H1333" s="81" t="s">
        <v>2232</v>
      </c>
      <c r="I1333" s="81" t="s">
        <v>6560</v>
      </c>
      <c r="J1333" s="81" t="s">
        <v>2186</v>
      </c>
      <c r="K1333" s="81" t="s">
        <v>6560</v>
      </c>
      <c r="L1333" s="81" t="s">
        <v>2392</v>
      </c>
      <c r="M1333" s="81" t="s">
        <v>6560</v>
      </c>
      <c r="N1333" s="81" t="s">
        <v>2231</v>
      </c>
      <c r="O1333" s="81" t="s">
        <v>2187</v>
      </c>
      <c r="P1333" s="81" t="s">
        <v>2187</v>
      </c>
      <c r="Q1333" s="81" t="s">
        <v>43</v>
      </c>
      <c r="R1333" s="81" t="s">
        <v>203</v>
      </c>
      <c r="S1333" s="81" t="s">
        <v>203</v>
      </c>
      <c r="T1333" s="81" t="s">
        <v>48</v>
      </c>
      <c r="U1333" s="81" t="s">
        <v>48</v>
      </c>
      <c r="V1333" s="81" t="s">
        <v>48</v>
      </c>
      <c r="W1333" s="81" t="s">
        <v>49</v>
      </c>
      <c r="X1333" s="81" t="s">
        <v>48</v>
      </c>
      <c r="Y1333" s="81" t="s">
        <v>48</v>
      </c>
    </row>
    <row r="1334" spans="1:25" x14ac:dyDescent="0.3">
      <c r="A1334" s="16">
        <v>7502247374164</v>
      </c>
      <c r="B1334" s="81" t="s">
        <v>43</v>
      </c>
      <c r="C1334" s="81" t="s">
        <v>1194</v>
      </c>
      <c r="D1334" s="81" t="s">
        <v>45</v>
      </c>
      <c r="E1334" s="81" t="s">
        <v>2227</v>
      </c>
      <c r="F1334" s="81" t="s">
        <v>2227</v>
      </c>
      <c r="G1334" s="81" t="s">
        <v>5040</v>
      </c>
      <c r="H1334" s="81" t="s">
        <v>2223</v>
      </c>
      <c r="I1334" s="81" t="s">
        <v>3539</v>
      </c>
      <c r="J1334" s="81" t="s">
        <v>2186</v>
      </c>
      <c r="K1334" s="81" t="s">
        <v>3539</v>
      </c>
      <c r="L1334" s="81" t="s">
        <v>2392</v>
      </c>
      <c r="M1334" s="81" t="s">
        <v>3539</v>
      </c>
      <c r="N1334" s="81" t="s">
        <v>2231</v>
      </c>
      <c r="O1334" s="81" t="s">
        <v>2187</v>
      </c>
      <c r="P1334" s="81" t="s">
        <v>2187</v>
      </c>
      <c r="Q1334" s="81" t="s">
        <v>43</v>
      </c>
      <c r="R1334" s="81" t="s">
        <v>203</v>
      </c>
      <c r="S1334" s="81" t="s">
        <v>203</v>
      </c>
      <c r="T1334" s="81" t="s">
        <v>48</v>
      </c>
      <c r="U1334" s="81" t="s">
        <v>48</v>
      </c>
      <c r="V1334" s="81" t="s">
        <v>48</v>
      </c>
      <c r="W1334" s="81" t="s">
        <v>49</v>
      </c>
      <c r="X1334" s="81" t="s">
        <v>48</v>
      </c>
      <c r="Y1334" s="81" t="s">
        <v>48</v>
      </c>
    </row>
    <row r="1335" spans="1:25" x14ac:dyDescent="0.3">
      <c r="A1335" s="16">
        <v>7502216790544</v>
      </c>
      <c r="B1335" s="81" t="s">
        <v>43</v>
      </c>
      <c r="C1335" s="81" t="s">
        <v>1195</v>
      </c>
      <c r="D1335" s="81" t="s">
        <v>45</v>
      </c>
      <c r="E1335" s="81" t="s">
        <v>2227</v>
      </c>
      <c r="F1335" s="81" t="s">
        <v>2227</v>
      </c>
      <c r="G1335" s="81" t="s">
        <v>3786</v>
      </c>
      <c r="H1335" s="81" t="s">
        <v>2609</v>
      </c>
      <c r="I1335" s="81" t="s">
        <v>6561</v>
      </c>
      <c r="J1335" s="81" t="s">
        <v>2186</v>
      </c>
      <c r="K1335" s="81" t="s">
        <v>6561</v>
      </c>
      <c r="L1335" s="81" t="s">
        <v>2392</v>
      </c>
      <c r="M1335" s="81" t="s">
        <v>6561</v>
      </c>
      <c r="N1335" s="81" t="s">
        <v>2231</v>
      </c>
      <c r="O1335" s="81" t="s">
        <v>2187</v>
      </c>
      <c r="P1335" s="81" t="s">
        <v>2187</v>
      </c>
      <c r="Q1335" s="81" t="s">
        <v>43</v>
      </c>
      <c r="R1335" s="81" t="s">
        <v>46</v>
      </c>
      <c r="S1335" s="81" t="s">
        <v>46</v>
      </c>
      <c r="T1335" s="81" t="s">
        <v>48</v>
      </c>
      <c r="U1335" s="81" t="s">
        <v>48</v>
      </c>
      <c r="V1335" s="81" t="s">
        <v>48</v>
      </c>
      <c r="W1335" s="81" t="s">
        <v>49</v>
      </c>
      <c r="X1335" s="81" t="s">
        <v>48</v>
      </c>
      <c r="Y1335" s="81" t="s">
        <v>48</v>
      </c>
    </row>
    <row r="1336" spans="1:25" x14ac:dyDescent="0.3">
      <c r="A1336" s="16">
        <v>7502009747656</v>
      </c>
      <c r="B1336" s="81" t="s">
        <v>43</v>
      </c>
      <c r="C1336" s="81" t="s">
        <v>4350</v>
      </c>
      <c r="D1336" s="81" t="s">
        <v>45</v>
      </c>
      <c r="E1336" s="81" t="s">
        <v>2227</v>
      </c>
      <c r="F1336" s="81" t="s">
        <v>2227</v>
      </c>
      <c r="G1336" s="81" t="s">
        <v>4351</v>
      </c>
      <c r="H1336" s="81" t="s">
        <v>2416</v>
      </c>
      <c r="I1336" s="81" t="s">
        <v>6562</v>
      </c>
      <c r="J1336" s="81" t="s">
        <v>2186</v>
      </c>
      <c r="K1336" s="81" t="s">
        <v>6562</v>
      </c>
      <c r="L1336" s="81" t="s">
        <v>2392</v>
      </c>
      <c r="M1336" s="81" t="s">
        <v>6562</v>
      </c>
      <c r="N1336" s="81" t="s">
        <v>2231</v>
      </c>
      <c r="O1336" s="81" t="s">
        <v>2187</v>
      </c>
      <c r="P1336" s="81" t="s">
        <v>2187</v>
      </c>
      <c r="Q1336" s="81" t="s">
        <v>43</v>
      </c>
      <c r="R1336" s="81" t="s">
        <v>203</v>
      </c>
      <c r="S1336" s="81" t="s">
        <v>203</v>
      </c>
      <c r="T1336" s="81" t="s">
        <v>48</v>
      </c>
      <c r="U1336" s="81" t="s">
        <v>48</v>
      </c>
      <c r="V1336" s="81" t="s">
        <v>48</v>
      </c>
      <c r="W1336" s="81" t="s">
        <v>49</v>
      </c>
      <c r="X1336" s="81" t="s">
        <v>48</v>
      </c>
      <c r="Y1336" s="81" t="s">
        <v>48</v>
      </c>
    </row>
    <row r="1337" spans="1:25" x14ac:dyDescent="0.3">
      <c r="A1337" s="16">
        <v>7501537193010</v>
      </c>
      <c r="B1337" s="81" t="s">
        <v>43</v>
      </c>
      <c r="C1337" s="81" t="s">
        <v>1671</v>
      </c>
      <c r="D1337" s="81" t="s">
        <v>45</v>
      </c>
      <c r="E1337" s="81" t="s">
        <v>2227</v>
      </c>
      <c r="F1337" s="81" t="s">
        <v>2227</v>
      </c>
      <c r="G1337" s="81" t="s">
        <v>3787</v>
      </c>
      <c r="H1337" s="81" t="s">
        <v>2264</v>
      </c>
      <c r="I1337" s="81" t="s">
        <v>6512</v>
      </c>
      <c r="J1337" s="81" t="s">
        <v>2186</v>
      </c>
      <c r="K1337" s="81" t="s">
        <v>6512</v>
      </c>
      <c r="L1337" s="81" t="s">
        <v>2392</v>
      </c>
      <c r="M1337" s="81" t="s">
        <v>6512</v>
      </c>
      <c r="N1337" s="81" t="s">
        <v>2231</v>
      </c>
      <c r="O1337" s="81" t="s">
        <v>2187</v>
      </c>
      <c r="P1337" s="81" t="s">
        <v>2187</v>
      </c>
      <c r="Q1337" s="81" t="s">
        <v>43</v>
      </c>
      <c r="R1337" s="81" t="s">
        <v>46</v>
      </c>
      <c r="S1337" s="81" t="s">
        <v>46</v>
      </c>
      <c r="T1337" s="81" t="s">
        <v>48</v>
      </c>
      <c r="U1337" s="81" t="s">
        <v>48</v>
      </c>
      <c r="V1337" s="81" t="s">
        <v>48</v>
      </c>
      <c r="W1337" s="81" t="s">
        <v>49</v>
      </c>
      <c r="X1337" s="81" t="s">
        <v>48</v>
      </c>
      <c r="Y1337" s="81" t="s">
        <v>48</v>
      </c>
    </row>
    <row r="1338" spans="1:25" x14ac:dyDescent="0.3">
      <c r="A1338" s="16">
        <v>7501019050664</v>
      </c>
      <c r="B1338" s="81" t="s">
        <v>43</v>
      </c>
      <c r="C1338" s="81" t="s">
        <v>2029</v>
      </c>
      <c r="D1338" s="81" t="s">
        <v>45</v>
      </c>
      <c r="E1338" s="81" t="s">
        <v>2227</v>
      </c>
      <c r="F1338" s="81" t="s">
        <v>2227</v>
      </c>
      <c r="G1338" s="81" t="s">
        <v>5043</v>
      </c>
      <c r="H1338" s="81" t="s">
        <v>6563</v>
      </c>
      <c r="I1338" s="81" t="s">
        <v>6564</v>
      </c>
      <c r="J1338" s="81" t="s">
        <v>2186</v>
      </c>
      <c r="K1338" s="81" t="s">
        <v>6564</v>
      </c>
      <c r="L1338" s="81" t="s">
        <v>2392</v>
      </c>
      <c r="M1338" s="81" t="s">
        <v>6564</v>
      </c>
      <c r="N1338" s="81" t="s">
        <v>2231</v>
      </c>
      <c r="O1338" s="81" t="s">
        <v>2187</v>
      </c>
      <c r="P1338" s="81" t="s">
        <v>2187</v>
      </c>
      <c r="Q1338" s="81" t="s">
        <v>43</v>
      </c>
      <c r="R1338" s="81" t="s">
        <v>524</v>
      </c>
      <c r="S1338" s="81" t="s">
        <v>525</v>
      </c>
      <c r="T1338" s="81" t="s">
        <v>48</v>
      </c>
      <c r="U1338" s="81" t="s">
        <v>48</v>
      </c>
      <c r="V1338" s="81" t="s">
        <v>48</v>
      </c>
      <c r="W1338" s="81" t="s">
        <v>49</v>
      </c>
      <c r="X1338" s="81" t="s">
        <v>48</v>
      </c>
      <c r="Y1338" s="81" t="s">
        <v>48</v>
      </c>
    </row>
    <row r="1339" spans="1:25" x14ac:dyDescent="0.3">
      <c r="A1339" s="16">
        <v>7502001164413</v>
      </c>
      <c r="B1339" s="81" t="s">
        <v>43</v>
      </c>
      <c r="C1339" s="81" t="s">
        <v>1196</v>
      </c>
      <c r="D1339" s="81" t="s">
        <v>45</v>
      </c>
      <c r="E1339" s="81" t="s">
        <v>2227</v>
      </c>
      <c r="F1339" s="81" t="s">
        <v>2227</v>
      </c>
      <c r="G1339" s="81" t="s">
        <v>3788</v>
      </c>
      <c r="H1339" s="81" t="s">
        <v>2223</v>
      </c>
      <c r="I1339" s="81" t="s">
        <v>6565</v>
      </c>
      <c r="J1339" s="81" t="s">
        <v>2186</v>
      </c>
      <c r="K1339" s="81" t="s">
        <v>6565</v>
      </c>
      <c r="L1339" s="81" t="s">
        <v>2392</v>
      </c>
      <c r="M1339" s="81" t="s">
        <v>6565</v>
      </c>
      <c r="N1339" s="81" t="s">
        <v>2231</v>
      </c>
      <c r="O1339" s="81" t="s">
        <v>2187</v>
      </c>
      <c r="P1339" s="81" t="s">
        <v>2187</v>
      </c>
      <c r="Q1339" s="81" t="s">
        <v>43</v>
      </c>
      <c r="R1339" s="81" t="s">
        <v>46</v>
      </c>
      <c r="S1339" s="81" t="s">
        <v>46</v>
      </c>
      <c r="T1339" s="81" t="s">
        <v>48</v>
      </c>
      <c r="U1339" s="81" t="s">
        <v>48</v>
      </c>
      <c r="V1339" s="81" t="s">
        <v>48</v>
      </c>
      <c r="W1339" s="81" t="s">
        <v>49</v>
      </c>
      <c r="X1339" s="81" t="s">
        <v>48</v>
      </c>
      <c r="Y1339" s="81" t="s">
        <v>48</v>
      </c>
    </row>
    <row r="1340" spans="1:25" x14ac:dyDescent="0.3">
      <c r="A1340" s="16">
        <v>7502227425435</v>
      </c>
      <c r="B1340" s="81" t="s">
        <v>43</v>
      </c>
      <c r="C1340" s="81" t="s">
        <v>1197</v>
      </c>
      <c r="D1340" s="81" t="s">
        <v>45</v>
      </c>
      <c r="E1340" s="81" t="s">
        <v>2227</v>
      </c>
      <c r="F1340" s="81" t="s">
        <v>2227</v>
      </c>
      <c r="G1340" s="81" t="s">
        <v>3789</v>
      </c>
      <c r="H1340" s="81" t="s">
        <v>2993</v>
      </c>
      <c r="I1340" s="81" t="s">
        <v>6305</v>
      </c>
      <c r="J1340" s="81" t="s">
        <v>2186</v>
      </c>
      <c r="K1340" s="81" t="s">
        <v>6305</v>
      </c>
      <c r="L1340" s="81" t="s">
        <v>2392</v>
      </c>
      <c r="M1340" s="81" t="s">
        <v>6305</v>
      </c>
      <c r="N1340" s="81" t="s">
        <v>2231</v>
      </c>
      <c r="O1340" s="81" t="s">
        <v>2187</v>
      </c>
      <c r="P1340" s="81" t="s">
        <v>2187</v>
      </c>
      <c r="Q1340" s="81" t="s">
        <v>43</v>
      </c>
      <c r="R1340" s="81" t="s">
        <v>101</v>
      </c>
      <c r="S1340" s="81" t="s">
        <v>101</v>
      </c>
      <c r="T1340" s="81" t="s">
        <v>48</v>
      </c>
      <c r="U1340" s="81" t="s">
        <v>48</v>
      </c>
      <c r="V1340" s="81" t="s">
        <v>48</v>
      </c>
      <c r="W1340" s="81" t="s">
        <v>49</v>
      </c>
      <c r="X1340" s="81" t="s">
        <v>48</v>
      </c>
      <c r="Y1340" s="81" t="s">
        <v>48</v>
      </c>
    </row>
    <row r="1341" spans="1:25" x14ac:dyDescent="0.3">
      <c r="A1341" s="16">
        <v>7502009746932</v>
      </c>
      <c r="B1341" s="81" t="s">
        <v>43</v>
      </c>
      <c r="C1341" s="81" t="s">
        <v>3790</v>
      </c>
      <c r="D1341" s="81" t="s">
        <v>45</v>
      </c>
      <c r="E1341" s="81" t="s">
        <v>2227</v>
      </c>
      <c r="F1341" s="81" t="s">
        <v>2227</v>
      </c>
      <c r="G1341" s="81" t="s">
        <v>3765</v>
      </c>
      <c r="H1341" s="81" t="s">
        <v>2408</v>
      </c>
      <c r="I1341" s="81" t="s">
        <v>3457</v>
      </c>
      <c r="J1341" s="81" t="s">
        <v>2186</v>
      </c>
      <c r="K1341" s="81" t="s">
        <v>3457</v>
      </c>
      <c r="L1341" s="81" t="s">
        <v>2392</v>
      </c>
      <c r="M1341" s="81" t="s">
        <v>3457</v>
      </c>
      <c r="N1341" s="81" t="s">
        <v>2231</v>
      </c>
      <c r="O1341" s="81" t="s">
        <v>2187</v>
      </c>
      <c r="P1341" s="81" t="s">
        <v>2187</v>
      </c>
      <c r="Q1341" s="81" t="s">
        <v>43</v>
      </c>
      <c r="R1341" s="81" t="s">
        <v>46</v>
      </c>
      <c r="S1341" s="81" t="s">
        <v>46</v>
      </c>
      <c r="T1341" s="81" t="s">
        <v>48</v>
      </c>
      <c r="U1341" s="81" t="s">
        <v>48</v>
      </c>
      <c r="V1341" s="81" t="s">
        <v>48</v>
      </c>
      <c r="W1341" s="81" t="s">
        <v>49</v>
      </c>
      <c r="X1341" s="81" t="s">
        <v>48</v>
      </c>
      <c r="Y1341" s="81" t="s">
        <v>48</v>
      </c>
    </row>
    <row r="1342" spans="1:25" x14ac:dyDescent="0.3">
      <c r="A1342" s="16">
        <v>7502009746420</v>
      </c>
      <c r="B1342" s="81" t="s">
        <v>43</v>
      </c>
      <c r="C1342" s="81" t="s">
        <v>3791</v>
      </c>
      <c r="D1342" s="81" t="s">
        <v>45</v>
      </c>
      <c r="E1342" s="81" t="s">
        <v>2227</v>
      </c>
      <c r="F1342" s="81" t="s">
        <v>2227</v>
      </c>
      <c r="G1342" s="81" t="s">
        <v>6566</v>
      </c>
      <c r="H1342" s="81" t="s">
        <v>2213</v>
      </c>
      <c r="I1342" s="81" t="s">
        <v>5170</v>
      </c>
      <c r="J1342" s="81" t="s">
        <v>2186</v>
      </c>
      <c r="K1342" s="81" t="s">
        <v>5170</v>
      </c>
      <c r="L1342" s="81" t="s">
        <v>2392</v>
      </c>
      <c r="M1342" s="81" t="s">
        <v>5170</v>
      </c>
      <c r="N1342" s="81" t="s">
        <v>2231</v>
      </c>
      <c r="O1342" s="81" t="s">
        <v>2187</v>
      </c>
      <c r="P1342" s="81" t="s">
        <v>2187</v>
      </c>
      <c r="Q1342" s="81" t="s">
        <v>43</v>
      </c>
      <c r="R1342" s="81" t="s">
        <v>46</v>
      </c>
      <c r="S1342" s="81" t="s">
        <v>46</v>
      </c>
      <c r="T1342" s="81" t="s">
        <v>48</v>
      </c>
      <c r="U1342" s="81" t="s">
        <v>48</v>
      </c>
      <c r="V1342" s="81" t="s">
        <v>48</v>
      </c>
      <c r="W1342" s="81" t="s">
        <v>49</v>
      </c>
      <c r="X1342" s="81" t="s">
        <v>48</v>
      </c>
      <c r="Y1342" s="81" t="s">
        <v>48</v>
      </c>
    </row>
    <row r="1343" spans="1:25" x14ac:dyDescent="0.3">
      <c r="A1343" s="16">
        <v>7501836003140</v>
      </c>
      <c r="B1343" s="81" t="s">
        <v>43</v>
      </c>
      <c r="C1343" s="81" t="s">
        <v>4403</v>
      </c>
      <c r="D1343" s="81" t="s">
        <v>45</v>
      </c>
      <c r="E1343" s="81" t="s">
        <v>2227</v>
      </c>
      <c r="F1343" s="81" t="s">
        <v>2227</v>
      </c>
      <c r="G1343" s="81" t="s">
        <v>5517</v>
      </c>
      <c r="H1343" s="81" t="s">
        <v>6567</v>
      </c>
      <c r="I1343" s="81" t="s">
        <v>6568</v>
      </c>
      <c r="J1343" s="81" t="s">
        <v>2186</v>
      </c>
      <c r="K1343" s="81" t="s">
        <v>6568</v>
      </c>
      <c r="L1343" s="81" t="s">
        <v>2392</v>
      </c>
      <c r="M1343" s="81" t="s">
        <v>6568</v>
      </c>
      <c r="N1343" s="81" t="s">
        <v>2231</v>
      </c>
      <c r="O1343" s="81" t="s">
        <v>2187</v>
      </c>
      <c r="P1343" s="81" t="s">
        <v>2187</v>
      </c>
      <c r="Q1343" s="81" t="s">
        <v>43</v>
      </c>
      <c r="R1343" s="81" t="s">
        <v>46</v>
      </c>
      <c r="S1343" s="81" t="s">
        <v>46</v>
      </c>
      <c r="T1343" s="81" t="s">
        <v>48</v>
      </c>
      <c r="U1343" s="81" t="s">
        <v>48</v>
      </c>
      <c r="V1343" s="81" t="s">
        <v>48</v>
      </c>
      <c r="W1343" s="81" t="s">
        <v>49</v>
      </c>
      <c r="X1343" s="81" t="s">
        <v>48</v>
      </c>
      <c r="Y1343" s="81" t="s">
        <v>48</v>
      </c>
    </row>
    <row r="1344" spans="1:25" x14ac:dyDescent="0.3">
      <c r="A1344" s="16">
        <v>7501349020979</v>
      </c>
      <c r="B1344" s="81" t="s">
        <v>43</v>
      </c>
      <c r="C1344" s="81" t="s">
        <v>5125</v>
      </c>
      <c r="D1344" s="81" t="s">
        <v>45</v>
      </c>
      <c r="E1344" s="81" t="s">
        <v>2227</v>
      </c>
      <c r="F1344" s="81" t="s">
        <v>2227</v>
      </c>
      <c r="G1344" s="81" t="s">
        <v>5126</v>
      </c>
      <c r="H1344" s="81" t="s">
        <v>2209</v>
      </c>
      <c r="I1344" s="81" t="s">
        <v>5612</v>
      </c>
      <c r="J1344" s="81" t="s">
        <v>2186</v>
      </c>
      <c r="K1344" s="81" t="s">
        <v>5612</v>
      </c>
      <c r="L1344" s="81" t="s">
        <v>2392</v>
      </c>
      <c r="M1344" s="81" t="s">
        <v>5612</v>
      </c>
      <c r="N1344" s="81" t="s">
        <v>2231</v>
      </c>
      <c r="O1344" s="81" t="s">
        <v>2187</v>
      </c>
      <c r="P1344" s="81" t="s">
        <v>2187</v>
      </c>
      <c r="Q1344" s="81" t="s">
        <v>43</v>
      </c>
      <c r="R1344" s="81" t="s">
        <v>46</v>
      </c>
      <c r="S1344" s="81" t="s">
        <v>46</v>
      </c>
      <c r="T1344" s="81" t="s">
        <v>48</v>
      </c>
      <c r="U1344" s="81" t="s">
        <v>48</v>
      </c>
      <c r="V1344" s="81" t="s">
        <v>48</v>
      </c>
      <c r="W1344" s="81" t="s">
        <v>49</v>
      </c>
      <c r="X1344" s="81" t="s">
        <v>48</v>
      </c>
      <c r="Y1344" s="81" t="s">
        <v>48</v>
      </c>
    </row>
    <row r="1345" spans="1:25" x14ac:dyDescent="0.3">
      <c r="A1345" s="16">
        <v>780083140021</v>
      </c>
      <c r="B1345" s="81" t="s">
        <v>43</v>
      </c>
      <c r="C1345" s="81" t="s">
        <v>3792</v>
      </c>
      <c r="D1345" s="81" t="s">
        <v>45</v>
      </c>
      <c r="E1345" s="81" t="s">
        <v>2227</v>
      </c>
      <c r="F1345" s="81" t="s">
        <v>2227</v>
      </c>
      <c r="G1345" s="81" t="s">
        <v>4794</v>
      </c>
      <c r="H1345" s="81" t="s">
        <v>2391</v>
      </c>
      <c r="I1345" s="81" t="s">
        <v>5575</v>
      </c>
      <c r="J1345" s="81" t="s">
        <v>2186</v>
      </c>
      <c r="K1345" s="81" t="s">
        <v>5575</v>
      </c>
      <c r="L1345" s="81" t="s">
        <v>2392</v>
      </c>
      <c r="M1345" s="81" t="s">
        <v>5575</v>
      </c>
      <c r="N1345" s="81" t="s">
        <v>2231</v>
      </c>
      <c r="O1345" s="81" t="s">
        <v>2187</v>
      </c>
      <c r="P1345" s="81" t="s">
        <v>2187</v>
      </c>
      <c r="Q1345" s="81" t="s">
        <v>43</v>
      </c>
      <c r="R1345" s="81" t="s">
        <v>203</v>
      </c>
      <c r="S1345" s="81" t="s">
        <v>203</v>
      </c>
      <c r="T1345" s="81" t="s">
        <v>48</v>
      </c>
      <c r="U1345" s="81" t="s">
        <v>48</v>
      </c>
      <c r="V1345" s="81" t="s">
        <v>48</v>
      </c>
      <c r="W1345" s="81" t="s">
        <v>49</v>
      </c>
      <c r="X1345" s="81" t="s">
        <v>48</v>
      </c>
      <c r="Y1345" s="81" t="s">
        <v>48</v>
      </c>
    </row>
    <row r="1346" spans="1:25" x14ac:dyDescent="0.3">
      <c r="A1346" s="16">
        <v>7506476200287</v>
      </c>
      <c r="B1346" s="81" t="s">
        <v>43</v>
      </c>
      <c r="C1346" s="81" t="s">
        <v>1198</v>
      </c>
      <c r="D1346" s="81" t="s">
        <v>45</v>
      </c>
      <c r="E1346" s="81" t="s">
        <v>2227</v>
      </c>
      <c r="F1346" s="81" t="s">
        <v>2227</v>
      </c>
      <c r="G1346" s="81" t="s">
        <v>3793</v>
      </c>
      <c r="H1346" s="81" t="s">
        <v>6569</v>
      </c>
      <c r="I1346" s="81" t="s">
        <v>6570</v>
      </c>
      <c r="J1346" s="81" t="s">
        <v>2186</v>
      </c>
      <c r="K1346" s="81" t="s">
        <v>6570</v>
      </c>
      <c r="L1346" s="81" t="s">
        <v>2392</v>
      </c>
      <c r="M1346" s="81" t="s">
        <v>6570</v>
      </c>
      <c r="N1346" s="81" t="s">
        <v>2231</v>
      </c>
      <c r="O1346" s="81" t="s">
        <v>2187</v>
      </c>
      <c r="P1346" s="81" t="s">
        <v>2187</v>
      </c>
      <c r="Q1346" s="81" t="s">
        <v>43</v>
      </c>
      <c r="R1346" s="81" t="s">
        <v>994</v>
      </c>
      <c r="S1346" s="81" t="s">
        <v>994</v>
      </c>
      <c r="T1346" s="81" t="s">
        <v>48</v>
      </c>
      <c r="U1346" s="81" t="s">
        <v>48</v>
      </c>
      <c r="V1346" s="81" t="s">
        <v>49</v>
      </c>
      <c r="W1346" s="81" t="s">
        <v>48</v>
      </c>
      <c r="X1346" s="81" t="s">
        <v>48</v>
      </c>
      <c r="Y1346" s="81" t="s">
        <v>48</v>
      </c>
    </row>
    <row r="1347" spans="1:25" x14ac:dyDescent="0.3">
      <c r="A1347" s="16">
        <v>7502009745614</v>
      </c>
      <c r="B1347" s="81" t="s">
        <v>43</v>
      </c>
      <c r="C1347" s="81" t="s">
        <v>1199</v>
      </c>
      <c r="D1347" s="81" t="s">
        <v>45</v>
      </c>
      <c r="E1347" s="81" t="s">
        <v>2227</v>
      </c>
      <c r="F1347" s="81" t="s">
        <v>2227</v>
      </c>
      <c r="G1347" s="81" t="s">
        <v>4427</v>
      </c>
      <c r="H1347" s="81" t="s">
        <v>6571</v>
      </c>
      <c r="I1347" s="81" t="s">
        <v>6572</v>
      </c>
      <c r="J1347" s="81" t="s">
        <v>2186</v>
      </c>
      <c r="K1347" s="81" t="s">
        <v>6572</v>
      </c>
      <c r="L1347" s="81" t="s">
        <v>2392</v>
      </c>
      <c r="M1347" s="81" t="s">
        <v>6572</v>
      </c>
      <c r="N1347" s="81" t="s">
        <v>2231</v>
      </c>
      <c r="O1347" s="81" t="s">
        <v>2187</v>
      </c>
      <c r="P1347" s="81" t="s">
        <v>2187</v>
      </c>
      <c r="Q1347" s="81" t="s">
        <v>43</v>
      </c>
      <c r="R1347" s="81" t="s">
        <v>51</v>
      </c>
      <c r="S1347" s="81" t="s">
        <v>81</v>
      </c>
      <c r="T1347" s="81" t="s">
        <v>48</v>
      </c>
      <c r="U1347" s="81" t="s">
        <v>48</v>
      </c>
      <c r="V1347" s="81" t="s">
        <v>48</v>
      </c>
      <c r="W1347" s="81" t="s">
        <v>49</v>
      </c>
      <c r="X1347" s="81" t="s">
        <v>48</v>
      </c>
      <c r="Y1347" s="81" t="s">
        <v>48</v>
      </c>
    </row>
    <row r="1348" spans="1:25" x14ac:dyDescent="0.3">
      <c r="A1348" s="16">
        <v>7506442700889</v>
      </c>
      <c r="B1348" s="81" t="s">
        <v>43</v>
      </c>
      <c r="C1348" s="81" t="s">
        <v>2030</v>
      </c>
      <c r="D1348" s="81" t="s">
        <v>45</v>
      </c>
      <c r="E1348" s="81" t="s">
        <v>2227</v>
      </c>
      <c r="F1348" s="81" t="s">
        <v>2227</v>
      </c>
      <c r="G1348" s="81" t="s">
        <v>5075</v>
      </c>
      <c r="H1348" s="81" t="s">
        <v>6573</v>
      </c>
      <c r="I1348" s="81" t="s">
        <v>6574</v>
      </c>
      <c r="J1348" s="81" t="s">
        <v>2186</v>
      </c>
      <c r="K1348" s="81" t="s">
        <v>6574</v>
      </c>
      <c r="L1348" s="81" t="s">
        <v>2392</v>
      </c>
      <c r="M1348" s="81" t="s">
        <v>6574</v>
      </c>
      <c r="N1348" s="81" t="s">
        <v>2231</v>
      </c>
      <c r="O1348" s="81" t="s">
        <v>2187</v>
      </c>
      <c r="P1348" s="81" t="s">
        <v>2187</v>
      </c>
      <c r="Q1348" s="81" t="s">
        <v>43</v>
      </c>
      <c r="R1348" s="81" t="s">
        <v>374</v>
      </c>
      <c r="S1348" s="81" t="s">
        <v>374</v>
      </c>
      <c r="T1348" s="81" t="s">
        <v>48</v>
      </c>
      <c r="U1348" s="81" t="s">
        <v>48</v>
      </c>
      <c r="V1348" s="81" t="s">
        <v>48</v>
      </c>
      <c r="W1348" s="81" t="s">
        <v>49</v>
      </c>
      <c r="X1348" s="81" t="s">
        <v>48</v>
      </c>
      <c r="Y1348" s="81" t="s">
        <v>48</v>
      </c>
    </row>
    <row r="1349" spans="1:25" x14ac:dyDescent="0.3">
      <c r="A1349" s="16">
        <v>7502208894540</v>
      </c>
      <c r="B1349" s="81" t="s">
        <v>43</v>
      </c>
      <c r="C1349" s="81" t="s">
        <v>3794</v>
      </c>
      <c r="D1349" s="81" t="s">
        <v>45</v>
      </c>
      <c r="E1349" s="81" t="s">
        <v>2227</v>
      </c>
      <c r="F1349" s="81" t="s">
        <v>2227</v>
      </c>
      <c r="G1349" s="81" t="s">
        <v>3787</v>
      </c>
      <c r="H1349" s="81" t="s">
        <v>2236</v>
      </c>
      <c r="I1349" s="81" t="s">
        <v>6575</v>
      </c>
      <c r="J1349" s="81" t="s">
        <v>2186</v>
      </c>
      <c r="K1349" s="81" t="s">
        <v>6575</v>
      </c>
      <c r="L1349" s="81" t="s">
        <v>2392</v>
      </c>
      <c r="M1349" s="81" t="s">
        <v>6575</v>
      </c>
      <c r="N1349" s="81" t="s">
        <v>2231</v>
      </c>
      <c r="O1349" s="81" t="s">
        <v>2187</v>
      </c>
      <c r="P1349" s="81" t="s">
        <v>2187</v>
      </c>
      <c r="Q1349" s="81" t="s">
        <v>43</v>
      </c>
      <c r="R1349" s="81" t="s">
        <v>203</v>
      </c>
      <c r="S1349" s="81" t="s">
        <v>203</v>
      </c>
      <c r="T1349" s="81" t="s">
        <v>48</v>
      </c>
      <c r="U1349" s="81" t="s">
        <v>48</v>
      </c>
      <c r="V1349" s="81" t="s">
        <v>48</v>
      </c>
      <c r="W1349" s="81" t="s">
        <v>49</v>
      </c>
      <c r="X1349" s="81" t="s">
        <v>48</v>
      </c>
      <c r="Y1349" s="81" t="s">
        <v>48</v>
      </c>
    </row>
    <row r="1350" spans="1:25" x14ac:dyDescent="0.3">
      <c r="A1350" s="16">
        <v>7502001164086</v>
      </c>
      <c r="B1350" s="81" t="s">
        <v>43</v>
      </c>
      <c r="C1350" s="81" t="s">
        <v>3795</v>
      </c>
      <c r="D1350" s="81" t="s">
        <v>45</v>
      </c>
      <c r="E1350" s="81" t="s">
        <v>2227</v>
      </c>
      <c r="F1350" s="81" t="s">
        <v>2227</v>
      </c>
      <c r="G1350" s="81" t="s">
        <v>4974</v>
      </c>
      <c r="H1350" s="81" t="s">
        <v>2193</v>
      </c>
      <c r="I1350" s="81" t="s">
        <v>6059</v>
      </c>
      <c r="J1350" s="81" t="s">
        <v>2186</v>
      </c>
      <c r="K1350" s="81" t="s">
        <v>6059</v>
      </c>
      <c r="L1350" s="81" t="s">
        <v>2392</v>
      </c>
      <c r="M1350" s="81" t="s">
        <v>6059</v>
      </c>
      <c r="N1350" s="81" t="s">
        <v>2231</v>
      </c>
      <c r="O1350" s="81" t="s">
        <v>2187</v>
      </c>
      <c r="P1350" s="81" t="s">
        <v>2187</v>
      </c>
      <c r="Q1350" s="81" t="s">
        <v>43</v>
      </c>
      <c r="R1350" s="81" t="s">
        <v>46</v>
      </c>
      <c r="S1350" s="81" t="s">
        <v>46</v>
      </c>
      <c r="T1350" s="81" t="s">
        <v>48</v>
      </c>
      <c r="U1350" s="81" t="s">
        <v>48</v>
      </c>
      <c r="V1350" s="81" t="s">
        <v>48</v>
      </c>
      <c r="W1350" s="81" t="s">
        <v>49</v>
      </c>
      <c r="X1350" s="81" t="s">
        <v>48</v>
      </c>
      <c r="Y1350" s="81" t="s">
        <v>48</v>
      </c>
    </row>
    <row r="1351" spans="1:25" x14ac:dyDescent="0.3">
      <c r="A1351" s="16">
        <v>7502001161511</v>
      </c>
      <c r="B1351" s="81" t="s">
        <v>43</v>
      </c>
      <c r="C1351" s="81" t="s">
        <v>1200</v>
      </c>
      <c r="D1351" s="81" t="s">
        <v>45</v>
      </c>
      <c r="E1351" s="81" t="s">
        <v>2227</v>
      </c>
      <c r="F1351" s="81" t="s">
        <v>2227</v>
      </c>
      <c r="G1351" s="81" t="s">
        <v>3796</v>
      </c>
      <c r="H1351" s="81" t="s">
        <v>2217</v>
      </c>
      <c r="I1351" s="81" t="s">
        <v>2347</v>
      </c>
      <c r="J1351" s="81" t="s">
        <v>2186</v>
      </c>
      <c r="K1351" s="81" t="s">
        <v>2325</v>
      </c>
      <c r="L1351" s="81" t="s">
        <v>2392</v>
      </c>
      <c r="M1351" s="81" t="s">
        <v>3797</v>
      </c>
      <c r="N1351" s="81" t="s">
        <v>2231</v>
      </c>
      <c r="O1351" s="81" t="s">
        <v>2187</v>
      </c>
      <c r="P1351" s="81" t="s">
        <v>2187</v>
      </c>
      <c r="Q1351" s="81" t="s">
        <v>43</v>
      </c>
      <c r="R1351" s="81" t="s">
        <v>46</v>
      </c>
      <c r="S1351" s="81" t="s">
        <v>46</v>
      </c>
      <c r="T1351" s="81" t="s">
        <v>48</v>
      </c>
      <c r="U1351" s="81" t="s">
        <v>48</v>
      </c>
      <c r="V1351" s="81" t="s">
        <v>48</v>
      </c>
      <c r="W1351" s="81" t="s">
        <v>49</v>
      </c>
      <c r="X1351" s="81" t="s">
        <v>48</v>
      </c>
      <c r="Y1351" s="81" t="s">
        <v>48</v>
      </c>
    </row>
    <row r="1352" spans="1:25" x14ac:dyDescent="0.3">
      <c r="A1352" s="16">
        <v>8901314307316</v>
      </c>
      <c r="B1352" s="81" t="s">
        <v>43</v>
      </c>
      <c r="C1352" s="81" t="s">
        <v>1834</v>
      </c>
      <c r="D1352" s="81" t="s">
        <v>45</v>
      </c>
      <c r="E1352" s="81" t="s">
        <v>2227</v>
      </c>
      <c r="F1352" s="81" t="s">
        <v>2227</v>
      </c>
      <c r="G1352" s="81" t="s">
        <v>3800</v>
      </c>
      <c r="H1352" s="81" t="s">
        <v>2969</v>
      </c>
      <c r="I1352" s="81" t="s">
        <v>6576</v>
      </c>
      <c r="J1352" s="81" t="s">
        <v>2186</v>
      </c>
      <c r="K1352" s="81" t="s">
        <v>6576</v>
      </c>
      <c r="L1352" s="81" t="s">
        <v>2392</v>
      </c>
      <c r="M1352" s="81" t="s">
        <v>6576</v>
      </c>
      <c r="N1352" s="81" t="s">
        <v>2231</v>
      </c>
      <c r="O1352" s="81" t="s">
        <v>2187</v>
      </c>
      <c r="P1352" s="81" t="s">
        <v>2187</v>
      </c>
      <c r="Q1352" s="81" t="s">
        <v>43</v>
      </c>
      <c r="R1352" s="81" t="s">
        <v>524</v>
      </c>
      <c r="S1352" s="81" t="s">
        <v>525</v>
      </c>
      <c r="T1352" s="81" t="s">
        <v>48</v>
      </c>
      <c r="U1352" s="81" t="s">
        <v>48</v>
      </c>
      <c r="V1352" s="81" t="s">
        <v>49</v>
      </c>
      <c r="W1352" s="81" t="s">
        <v>48</v>
      </c>
      <c r="X1352" s="81" t="s">
        <v>48</v>
      </c>
      <c r="Y1352" s="81" t="s">
        <v>48</v>
      </c>
    </row>
    <row r="1353" spans="1:25" x14ac:dyDescent="0.3">
      <c r="A1353" s="16">
        <v>7501573900627</v>
      </c>
      <c r="B1353" s="81" t="s">
        <v>43</v>
      </c>
      <c r="C1353" s="81" t="s">
        <v>3798</v>
      </c>
      <c r="D1353" s="81" t="s">
        <v>45</v>
      </c>
      <c r="E1353" s="81" t="s">
        <v>2227</v>
      </c>
      <c r="F1353" s="81" t="s">
        <v>2227</v>
      </c>
      <c r="G1353" s="81" t="s">
        <v>4534</v>
      </c>
      <c r="H1353" s="81" t="s">
        <v>6577</v>
      </c>
      <c r="I1353" s="81" t="s">
        <v>6578</v>
      </c>
      <c r="J1353" s="81" t="s">
        <v>2186</v>
      </c>
      <c r="K1353" s="81" t="s">
        <v>6578</v>
      </c>
      <c r="L1353" s="81" t="s">
        <v>2392</v>
      </c>
      <c r="M1353" s="81" t="s">
        <v>6578</v>
      </c>
      <c r="N1353" s="81" t="s">
        <v>2231</v>
      </c>
      <c r="O1353" s="81" t="s">
        <v>2187</v>
      </c>
      <c r="P1353" s="81" t="s">
        <v>2187</v>
      </c>
      <c r="Q1353" s="81" t="s">
        <v>43</v>
      </c>
      <c r="R1353" s="81" t="s">
        <v>46</v>
      </c>
      <c r="S1353" s="81" t="s">
        <v>46</v>
      </c>
      <c r="T1353" s="81" t="s">
        <v>48</v>
      </c>
      <c r="U1353" s="81" t="s">
        <v>48</v>
      </c>
      <c r="V1353" s="81" t="s">
        <v>48</v>
      </c>
      <c r="W1353" s="81" t="s">
        <v>49</v>
      </c>
      <c r="X1353" s="81" t="s">
        <v>48</v>
      </c>
      <c r="Y1353" s="81" t="s">
        <v>48</v>
      </c>
    </row>
    <row r="1354" spans="1:25" x14ac:dyDescent="0.3">
      <c r="A1354" s="16">
        <v>7501573902928</v>
      </c>
      <c r="B1354" s="81" t="s">
        <v>43</v>
      </c>
      <c r="C1354" s="81" t="s">
        <v>2031</v>
      </c>
      <c r="D1354" s="81" t="s">
        <v>45</v>
      </c>
      <c r="E1354" s="81" t="s">
        <v>2227</v>
      </c>
      <c r="F1354" s="81" t="s">
        <v>2227</v>
      </c>
      <c r="G1354" s="81" t="s">
        <v>5349</v>
      </c>
      <c r="H1354" s="81" t="s">
        <v>2251</v>
      </c>
      <c r="I1354" s="81" t="s">
        <v>6579</v>
      </c>
      <c r="J1354" s="81" t="s">
        <v>2186</v>
      </c>
      <c r="K1354" s="81" t="s">
        <v>6579</v>
      </c>
      <c r="L1354" s="81" t="s">
        <v>2392</v>
      </c>
      <c r="M1354" s="81" t="s">
        <v>6579</v>
      </c>
      <c r="N1354" s="81" t="s">
        <v>2231</v>
      </c>
      <c r="O1354" s="81" t="s">
        <v>2187</v>
      </c>
      <c r="P1354" s="81" t="s">
        <v>2187</v>
      </c>
      <c r="Q1354" s="81" t="s">
        <v>43</v>
      </c>
      <c r="R1354" s="81" t="s">
        <v>46</v>
      </c>
      <c r="S1354" s="81" t="s">
        <v>46</v>
      </c>
      <c r="T1354" s="81" t="s">
        <v>48</v>
      </c>
      <c r="U1354" s="81" t="s">
        <v>48</v>
      </c>
      <c r="V1354" s="81" t="s">
        <v>48</v>
      </c>
      <c r="W1354" s="81" t="s">
        <v>49</v>
      </c>
      <c r="X1354" s="81" t="s">
        <v>48</v>
      </c>
      <c r="Y1354" s="81" t="s">
        <v>48</v>
      </c>
    </row>
    <row r="1355" spans="1:25" x14ac:dyDescent="0.3">
      <c r="A1355" s="16">
        <v>7501563380163</v>
      </c>
      <c r="B1355" s="81" t="s">
        <v>43</v>
      </c>
      <c r="C1355" s="81" t="s">
        <v>2032</v>
      </c>
      <c r="D1355" s="81" t="s">
        <v>45</v>
      </c>
      <c r="E1355" s="81" t="s">
        <v>2227</v>
      </c>
      <c r="F1355" s="81" t="s">
        <v>2227</v>
      </c>
      <c r="G1355" s="81" t="s">
        <v>3799</v>
      </c>
      <c r="H1355" s="81" t="s">
        <v>2264</v>
      </c>
      <c r="I1355" s="81" t="s">
        <v>2181</v>
      </c>
      <c r="J1355" s="81" t="s">
        <v>2186</v>
      </c>
      <c r="K1355" s="81" t="s">
        <v>2296</v>
      </c>
      <c r="L1355" s="81" t="s">
        <v>2392</v>
      </c>
      <c r="M1355" s="81" t="s">
        <v>2265</v>
      </c>
      <c r="N1355" s="81" t="s">
        <v>2231</v>
      </c>
      <c r="O1355" s="81" t="s">
        <v>2187</v>
      </c>
      <c r="P1355" s="81" t="s">
        <v>2187</v>
      </c>
      <c r="Q1355" s="81" t="s">
        <v>43</v>
      </c>
      <c r="R1355" s="81" t="s">
        <v>46</v>
      </c>
      <c r="S1355" s="81" t="s">
        <v>46</v>
      </c>
      <c r="T1355" s="81" t="s">
        <v>48</v>
      </c>
      <c r="U1355" s="81" t="s">
        <v>48</v>
      </c>
      <c r="V1355" s="81" t="s">
        <v>48</v>
      </c>
      <c r="W1355" s="81" t="s">
        <v>49</v>
      </c>
      <c r="X1355" s="81" t="s">
        <v>48</v>
      </c>
      <c r="Y1355" s="81" t="s">
        <v>48</v>
      </c>
    </row>
    <row r="1356" spans="1:25" x14ac:dyDescent="0.3">
      <c r="A1356" s="16">
        <v>785118752637</v>
      </c>
      <c r="B1356" s="81" t="s">
        <v>43</v>
      </c>
      <c r="C1356" s="81" t="s">
        <v>1201</v>
      </c>
      <c r="D1356" s="81" t="s">
        <v>45</v>
      </c>
      <c r="E1356" s="81" t="s">
        <v>2227</v>
      </c>
      <c r="F1356" s="81" t="s">
        <v>2227</v>
      </c>
      <c r="G1356" s="81" t="s">
        <v>3009</v>
      </c>
      <c r="H1356" s="81" t="s">
        <v>2429</v>
      </c>
      <c r="I1356" s="81" t="s">
        <v>6315</v>
      </c>
      <c r="J1356" s="81" t="s">
        <v>2186</v>
      </c>
      <c r="K1356" s="81" t="s">
        <v>6315</v>
      </c>
      <c r="L1356" s="81" t="s">
        <v>2392</v>
      </c>
      <c r="M1356" s="81" t="s">
        <v>6315</v>
      </c>
      <c r="N1356" s="81" t="s">
        <v>2231</v>
      </c>
      <c r="O1356" s="81" t="s">
        <v>2187</v>
      </c>
      <c r="P1356" s="81" t="s">
        <v>2187</v>
      </c>
      <c r="Q1356" s="81" t="s">
        <v>43</v>
      </c>
      <c r="R1356" s="81" t="s">
        <v>46</v>
      </c>
      <c r="S1356" s="81" t="s">
        <v>46</v>
      </c>
      <c r="T1356" s="81" t="s">
        <v>48</v>
      </c>
      <c r="U1356" s="81" t="s">
        <v>48</v>
      </c>
      <c r="V1356" s="81" t="s">
        <v>48</v>
      </c>
      <c r="W1356" s="81" t="s">
        <v>49</v>
      </c>
      <c r="X1356" s="81" t="s">
        <v>48</v>
      </c>
      <c r="Y1356" s="81" t="s">
        <v>48</v>
      </c>
    </row>
    <row r="1357" spans="1:25" x14ac:dyDescent="0.3">
      <c r="A1357" s="16">
        <v>7501075722543</v>
      </c>
      <c r="B1357" s="81" t="s">
        <v>43</v>
      </c>
      <c r="C1357" s="81" t="s">
        <v>2033</v>
      </c>
      <c r="D1357" s="81" t="s">
        <v>45</v>
      </c>
      <c r="E1357" s="81" t="s">
        <v>2227</v>
      </c>
      <c r="F1357" s="81" t="s">
        <v>2227</v>
      </c>
      <c r="G1357" s="81" t="s">
        <v>3800</v>
      </c>
      <c r="H1357" s="81" t="s">
        <v>2365</v>
      </c>
      <c r="I1357" s="81" t="s">
        <v>6580</v>
      </c>
      <c r="J1357" s="81" t="s">
        <v>2186</v>
      </c>
      <c r="K1357" s="81" t="s">
        <v>6580</v>
      </c>
      <c r="L1357" s="81" t="s">
        <v>2392</v>
      </c>
      <c r="M1357" s="81" t="s">
        <v>6580</v>
      </c>
      <c r="N1357" s="81" t="s">
        <v>2231</v>
      </c>
      <c r="O1357" s="81" t="s">
        <v>2187</v>
      </c>
      <c r="P1357" s="81" t="s">
        <v>2187</v>
      </c>
      <c r="Q1357" s="81" t="s">
        <v>43</v>
      </c>
      <c r="R1357" s="81" t="s">
        <v>46</v>
      </c>
      <c r="S1357" s="81" t="s">
        <v>46</v>
      </c>
      <c r="T1357" s="81" t="s">
        <v>48</v>
      </c>
      <c r="U1357" s="81" t="s">
        <v>48</v>
      </c>
      <c r="V1357" s="81" t="s">
        <v>48</v>
      </c>
      <c r="W1357" s="81" t="s">
        <v>49</v>
      </c>
      <c r="X1357" s="81" t="s">
        <v>48</v>
      </c>
      <c r="Y1357" s="81" t="s">
        <v>48</v>
      </c>
    </row>
    <row r="1358" spans="1:25" x14ac:dyDescent="0.3">
      <c r="A1358" s="16">
        <v>7501109760541</v>
      </c>
      <c r="B1358" s="81" t="s">
        <v>43</v>
      </c>
      <c r="C1358" s="81" t="s">
        <v>5057</v>
      </c>
      <c r="D1358" s="81" t="s">
        <v>45</v>
      </c>
      <c r="E1358" s="81" t="s">
        <v>2227</v>
      </c>
      <c r="F1358" s="81" t="s">
        <v>2227</v>
      </c>
      <c r="G1358" s="81" t="s">
        <v>5058</v>
      </c>
      <c r="H1358" s="81" t="s">
        <v>2209</v>
      </c>
      <c r="I1358" s="81" t="s">
        <v>2391</v>
      </c>
      <c r="J1358" s="81" t="s">
        <v>2186</v>
      </c>
      <c r="K1358" s="81" t="s">
        <v>2287</v>
      </c>
      <c r="L1358" s="81" t="s">
        <v>2392</v>
      </c>
      <c r="M1358" s="81" t="s">
        <v>2343</v>
      </c>
      <c r="N1358" s="81" t="s">
        <v>2231</v>
      </c>
      <c r="O1358" s="81" t="s">
        <v>2187</v>
      </c>
      <c r="P1358" s="81" t="s">
        <v>2187</v>
      </c>
      <c r="Q1358" s="81" t="s">
        <v>43</v>
      </c>
      <c r="R1358" s="81" t="s">
        <v>46</v>
      </c>
      <c r="S1358" s="81" t="s">
        <v>46</v>
      </c>
      <c r="T1358" s="81" t="s">
        <v>48</v>
      </c>
      <c r="U1358" s="81" t="s">
        <v>48</v>
      </c>
      <c r="V1358" s="81" t="s">
        <v>48</v>
      </c>
      <c r="W1358" s="81" t="s">
        <v>49</v>
      </c>
      <c r="X1358" s="81" t="s">
        <v>48</v>
      </c>
      <c r="Y1358" s="81" t="s">
        <v>48</v>
      </c>
    </row>
    <row r="1359" spans="1:25" x14ac:dyDescent="0.3">
      <c r="A1359" s="16">
        <v>7501054504870</v>
      </c>
      <c r="B1359" s="81" t="s">
        <v>43</v>
      </c>
      <c r="C1359" s="81" t="s">
        <v>2034</v>
      </c>
      <c r="D1359" s="81" t="s">
        <v>45</v>
      </c>
      <c r="E1359" s="81" t="s">
        <v>2227</v>
      </c>
      <c r="F1359" s="81" t="s">
        <v>2227</v>
      </c>
      <c r="G1359" s="81" t="s">
        <v>5059</v>
      </c>
      <c r="H1359" s="81" t="s">
        <v>3123</v>
      </c>
      <c r="I1359" s="81" t="s">
        <v>6581</v>
      </c>
      <c r="J1359" s="81" t="s">
        <v>2186</v>
      </c>
      <c r="K1359" s="81" t="s">
        <v>6581</v>
      </c>
      <c r="L1359" s="81" t="s">
        <v>2392</v>
      </c>
      <c r="M1359" s="81" t="s">
        <v>6581</v>
      </c>
      <c r="N1359" s="81" t="s">
        <v>2231</v>
      </c>
      <c r="O1359" s="81" t="s">
        <v>2187</v>
      </c>
      <c r="P1359" s="81" t="s">
        <v>2187</v>
      </c>
      <c r="Q1359" s="81" t="s">
        <v>43</v>
      </c>
      <c r="R1359" s="81" t="s">
        <v>203</v>
      </c>
      <c r="S1359" s="81" t="s">
        <v>203</v>
      </c>
      <c r="T1359" s="81" t="s">
        <v>48</v>
      </c>
      <c r="U1359" s="81" t="s">
        <v>48</v>
      </c>
      <c r="V1359" s="81" t="s">
        <v>49</v>
      </c>
      <c r="W1359" s="81" t="s">
        <v>48</v>
      </c>
      <c r="X1359" s="81" t="s">
        <v>48</v>
      </c>
      <c r="Y1359" s="81" t="s">
        <v>48</v>
      </c>
    </row>
    <row r="1360" spans="1:25" x14ac:dyDescent="0.3">
      <c r="A1360" s="16">
        <v>7501054502777</v>
      </c>
      <c r="B1360" s="81" t="s">
        <v>43</v>
      </c>
      <c r="C1360" s="81" t="s">
        <v>2035</v>
      </c>
      <c r="D1360" s="81" t="s">
        <v>45</v>
      </c>
      <c r="E1360" s="81" t="s">
        <v>2227</v>
      </c>
      <c r="F1360" s="81" t="s">
        <v>2227</v>
      </c>
      <c r="G1360" s="81" t="s">
        <v>5059</v>
      </c>
      <c r="H1360" s="81" t="s">
        <v>2310</v>
      </c>
      <c r="I1360" s="81" t="s">
        <v>6582</v>
      </c>
      <c r="J1360" s="81" t="s">
        <v>2186</v>
      </c>
      <c r="K1360" s="81" t="s">
        <v>6582</v>
      </c>
      <c r="L1360" s="81" t="s">
        <v>2392</v>
      </c>
      <c r="M1360" s="81" t="s">
        <v>6582</v>
      </c>
      <c r="N1360" s="81" t="s">
        <v>2231</v>
      </c>
      <c r="O1360" s="81" t="s">
        <v>2187</v>
      </c>
      <c r="P1360" s="81" t="s">
        <v>2187</v>
      </c>
      <c r="Q1360" s="81" t="s">
        <v>43</v>
      </c>
      <c r="R1360" s="81" t="s">
        <v>203</v>
      </c>
      <c r="S1360" s="81" t="s">
        <v>203</v>
      </c>
      <c r="T1360" s="81" t="s">
        <v>48</v>
      </c>
      <c r="U1360" s="81" t="s">
        <v>48</v>
      </c>
      <c r="V1360" s="81" t="s">
        <v>49</v>
      </c>
      <c r="W1360" s="81" t="s">
        <v>48</v>
      </c>
      <c r="X1360" s="81" t="s">
        <v>48</v>
      </c>
      <c r="Y1360" s="81" t="s">
        <v>48</v>
      </c>
    </row>
    <row r="1361" spans="1:25" x14ac:dyDescent="0.3">
      <c r="A1361" s="16">
        <v>7503046131224</v>
      </c>
      <c r="B1361" s="81" t="s">
        <v>43</v>
      </c>
      <c r="C1361" s="81" t="s">
        <v>3801</v>
      </c>
      <c r="D1361" s="81" t="s">
        <v>45</v>
      </c>
      <c r="E1361" s="81" t="s">
        <v>3376</v>
      </c>
      <c r="F1361" s="81" t="s">
        <v>2857</v>
      </c>
      <c r="G1361" s="81" t="s">
        <v>4768</v>
      </c>
      <c r="H1361" s="81" t="s">
        <v>2325</v>
      </c>
      <c r="I1361" s="81" t="s">
        <v>2331</v>
      </c>
      <c r="J1361" s="81" t="s">
        <v>2186</v>
      </c>
      <c r="K1361" s="81" t="s">
        <v>2331</v>
      </c>
      <c r="L1361" s="81" t="s">
        <v>2392</v>
      </c>
      <c r="M1361" s="81" t="s">
        <v>2331</v>
      </c>
      <c r="N1361" s="81" t="s">
        <v>2231</v>
      </c>
      <c r="O1361" s="81" t="s">
        <v>2187</v>
      </c>
      <c r="P1361" s="81" t="s">
        <v>2187</v>
      </c>
      <c r="Q1361" s="81" t="s">
        <v>43</v>
      </c>
      <c r="R1361" s="81" t="s">
        <v>122</v>
      </c>
      <c r="S1361" s="81" t="s">
        <v>123</v>
      </c>
      <c r="T1361" s="81" t="s">
        <v>48</v>
      </c>
      <c r="U1361" s="81" t="s">
        <v>48</v>
      </c>
      <c r="V1361" s="81" t="s">
        <v>48</v>
      </c>
      <c r="W1361" s="81" t="s">
        <v>49</v>
      </c>
      <c r="X1361" s="81" t="s">
        <v>48</v>
      </c>
      <c r="Y1361" s="81" t="s">
        <v>48</v>
      </c>
    </row>
    <row r="1362" spans="1:25" x14ac:dyDescent="0.3">
      <c r="A1362" s="16">
        <v>7502001167124</v>
      </c>
      <c r="B1362" s="81" t="s">
        <v>43</v>
      </c>
      <c r="C1362" s="81" t="s">
        <v>2162</v>
      </c>
      <c r="D1362" s="81" t="s">
        <v>45</v>
      </c>
      <c r="E1362" s="81" t="s">
        <v>2227</v>
      </c>
      <c r="F1362" s="81" t="s">
        <v>2227</v>
      </c>
      <c r="G1362" s="81" t="s">
        <v>3378</v>
      </c>
      <c r="H1362" s="81" t="s">
        <v>2243</v>
      </c>
      <c r="I1362" s="81" t="s">
        <v>5659</v>
      </c>
      <c r="J1362" s="81" t="s">
        <v>2186</v>
      </c>
      <c r="K1362" s="81" t="s">
        <v>5659</v>
      </c>
      <c r="L1362" s="81" t="s">
        <v>2392</v>
      </c>
      <c r="M1362" s="81" t="s">
        <v>5659</v>
      </c>
      <c r="N1362" s="81" t="s">
        <v>2231</v>
      </c>
      <c r="O1362" s="81" t="s">
        <v>2187</v>
      </c>
      <c r="P1362" s="81" t="s">
        <v>2187</v>
      </c>
      <c r="Q1362" s="81" t="s">
        <v>43</v>
      </c>
      <c r="R1362" s="81" t="s">
        <v>46</v>
      </c>
      <c r="S1362" s="81" t="s">
        <v>46</v>
      </c>
      <c r="T1362" s="81" t="s">
        <v>48</v>
      </c>
      <c r="U1362" s="81" t="s">
        <v>48</v>
      </c>
      <c r="V1362" s="81" t="s">
        <v>48</v>
      </c>
      <c r="W1362" s="81" t="s">
        <v>49</v>
      </c>
      <c r="X1362" s="81" t="s">
        <v>48</v>
      </c>
      <c r="Y1362" s="81" t="s">
        <v>48</v>
      </c>
    </row>
    <row r="1363" spans="1:25" x14ac:dyDescent="0.3">
      <c r="A1363" s="16">
        <v>656599040561</v>
      </c>
      <c r="B1363" s="81" t="s">
        <v>43</v>
      </c>
      <c r="C1363" s="81" t="s">
        <v>1202</v>
      </c>
      <c r="D1363" s="81" t="s">
        <v>45</v>
      </c>
      <c r="E1363" s="81" t="s">
        <v>2227</v>
      </c>
      <c r="F1363" s="81" t="s">
        <v>2227</v>
      </c>
      <c r="G1363" s="81" t="s">
        <v>3802</v>
      </c>
      <c r="H1363" s="81" t="s">
        <v>2259</v>
      </c>
      <c r="I1363" s="81" t="s">
        <v>3987</v>
      </c>
      <c r="J1363" s="81" t="s">
        <v>2186</v>
      </c>
      <c r="K1363" s="81" t="s">
        <v>3987</v>
      </c>
      <c r="L1363" s="81" t="s">
        <v>2392</v>
      </c>
      <c r="M1363" s="81" t="s">
        <v>3987</v>
      </c>
      <c r="N1363" s="81" t="s">
        <v>2231</v>
      </c>
      <c r="O1363" s="81" t="s">
        <v>2187</v>
      </c>
      <c r="P1363" s="81" t="s">
        <v>2187</v>
      </c>
      <c r="Q1363" s="81" t="s">
        <v>43</v>
      </c>
      <c r="R1363" s="81" t="s">
        <v>46</v>
      </c>
      <c r="S1363" s="81" t="s">
        <v>46</v>
      </c>
      <c r="T1363" s="81" t="s">
        <v>48</v>
      </c>
      <c r="U1363" s="81" t="s">
        <v>48</v>
      </c>
      <c r="V1363" s="81" t="s">
        <v>48</v>
      </c>
      <c r="W1363" s="81" t="s">
        <v>49</v>
      </c>
      <c r="X1363" s="81" t="s">
        <v>48</v>
      </c>
      <c r="Y1363" s="81" t="s">
        <v>48</v>
      </c>
    </row>
    <row r="1364" spans="1:25" x14ac:dyDescent="0.3">
      <c r="A1364" s="16">
        <v>7502009746215</v>
      </c>
      <c r="B1364" s="81" t="s">
        <v>43</v>
      </c>
      <c r="C1364" s="81" t="s">
        <v>2036</v>
      </c>
      <c r="D1364" s="81" t="s">
        <v>45</v>
      </c>
      <c r="E1364" s="81" t="s">
        <v>2227</v>
      </c>
      <c r="F1364" s="81" t="s">
        <v>2227</v>
      </c>
      <c r="G1364" s="81" t="s">
        <v>3803</v>
      </c>
      <c r="H1364" s="81" t="s">
        <v>2209</v>
      </c>
      <c r="I1364" s="81" t="s">
        <v>6583</v>
      </c>
      <c r="J1364" s="81" t="s">
        <v>2186</v>
      </c>
      <c r="K1364" s="81" t="s">
        <v>6583</v>
      </c>
      <c r="L1364" s="81" t="s">
        <v>2392</v>
      </c>
      <c r="M1364" s="81" t="s">
        <v>6583</v>
      </c>
      <c r="N1364" s="81" t="s">
        <v>2231</v>
      </c>
      <c r="O1364" s="81" t="s">
        <v>2187</v>
      </c>
      <c r="P1364" s="81" t="s">
        <v>2187</v>
      </c>
      <c r="Q1364" s="81" t="s">
        <v>43</v>
      </c>
      <c r="R1364" s="81" t="s">
        <v>46</v>
      </c>
      <c r="S1364" s="81" t="s">
        <v>46</v>
      </c>
      <c r="T1364" s="81" t="s">
        <v>48</v>
      </c>
      <c r="U1364" s="81" t="s">
        <v>48</v>
      </c>
      <c r="V1364" s="81" t="s">
        <v>48</v>
      </c>
      <c r="W1364" s="81" t="s">
        <v>49</v>
      </c>
      <c r="X1364" s="81" t="s">
        <v>48</v>
      </c>
      <c r="Y1364" s="81" t="s">
        <v>48</v>
      </c>
    </row>
    <row r="1365" spans="1:25" x14ac:dyDescent="0.3">
      <c r="A1365" s="16">
        <v>7501349020276</v>
      </c>
      <c r="B1365" s="81" t="s">
        <v>43</v>
      </c>
      <c r="C1365" s="81" t="s">
        <v>1203</v>
      </c>
      <c r="D1365" s="81" t="s">
        <v>45</v>
      </c>
      <c r="E1365" s="81" t="s">
        <v>2227</v>
      </c>
      <c r="F1365" s="81" t="s">
        <v>2227</v>
      </c>
      <c r="G1365" s="81" t="s">
        <v>3804</v>
      </c>
      <c r="H1365" s="81" t="s">
        <v>2994</v>
      </c>
      <c r="I1365" s="81" t="s">
        <v>6584</v>
      </c>
      <c r="J1365" s="81" t="s">
        <v>2186</v>
      </c>
      <c r="K1365" s="81" t="s">
        <v>6584</v>
      </c>
      <c r="L1365" s="81" t="s">
        <v>2392</v>
      </c>
      <c r="M1365" s="81" t="s">
        <v>6584</v>
      </c>
      <c r="N1365" s="81" t="s">
        <v>2231</v>
      </c>
      <c r="O1365" s="81" t="s">
        <v>2187</v>
      </c>
      <c r="P1365" s="81" t="s">
        <v>2187</v>
      </c>
      <c r="Q1365" s="81" t="s">
        <v>43</v>
      </c>
      <c r="R1365" s="81" t="s">
        <v>46</v>
      </c>
      <c r="S1365" s="81" t="s">
        <v>47</v>
      </c>
      <c r="T1365" s="81" t="s">
        <v>48</v>
      </c>
      <c r="U1365" s="81" t="s">
        <v>48</v>
      </c>
      <c r="V1365" s="81" t="s">
        <v>48</v>
      </c>
      <c r="W1365" s="81" t="s">
        <v>49</v>
      </c>
      <c r="X1365" s="81" t="s">
        <v>48</v>
      </c>
      <c r="Y1365" s="81" t="s">
        <v>48</v>
      </c>
    </row>
    <row r="1366" spans="1:25" x14ac:dyDescent="0.3">
      <c r="A1366" s="16">
        <v>7501478316189</v>
      </c>
      <c r="B1366" s="81" t="s">
        <v>43</v>
      </c>
      <c r="C1366" s="81" t="s">
        <v>1204</v>
      </c>
      <c r="D1366" s="81" t="s">
        <v>45</v>
      </c>
      <c r="E1366" s="81" t="s">
        <v>2227</v>
      </c>
      <c r="F1366" s="81" t="s">
        <v>2227</v>
      </c>
      <c r="G1366" s="81" t="s">
        <v>3805</v>
      </c>
      <c r="H1366" s="81" t="s">
        <v>2264</v>
      </c>
      <c r="I1366" s="81" t="s">
        <v>6585</v>
      </c>
      <c r="J1366" s="81" t="s">
        <v>2186</v>
      </c>
      <c r="K1366" s="81" t="s">
        <v>6585</v>
      </c>
      <c r="L1366" s="81" t="s">
        <v>2392</v>
      </c>
      <c r="M1366" s="81" t="s">
        <v>6585</v>
      </c>
      <c r="N1366" s="81" t="s">
        <v>2231</v>
      </c>
      <c r="O1366" s="81" t="s">
        <v>2187</v>
      </c>
      <c r="P1366" s="81" t="s">
        <v>2187</v>
      </c>
      <c r="Q1366" s="81" t="s">
        <v>43</v>
      </c>
      <c r="R1366" s="81" t="s">
        <v>101</v>
      </c>
      <c r="S1366" s="81" t="s">
        <v>101</v>
      </c>
      <c r="T1366" s="81" t="s">
        <v>48</v>
      </c>
      <c r="U1366" s="81" t="s">
        <v>48</v>
      </c>
      <c r="V1366" s="81" t="s">
        <v>49</v>
      </c>
      <c r="W1366" s="81" t="s">
        <v>48</v>
      </c>
      <c r="X1366" s="81" t="s">
        <v>48</v>
      </c>
      <c r="Y1366" s="81" t="s">
        <v>48</v>
      </c>
    </row>
    <row r="1367" spans="1:25" x14ac:dyDescent="0.3">
      <c r="A1367" s="16">
        <v>7506306223905</v>
      </c>
      <c r="B1367" s="81" t="s">
        <v>43</v>
      </c>
      <c r="C1367" s="81" t="s">
        <v>1205</v>
      </c>
      <c r="D1367" s="81" t="s">
        <v>45</v>
      </c>
      <c r="E1367" s="81" t="s">
        <v>2313</v>
      </c>
      <c r="F1367" s="81" t="s">
        <v>2352</v>
      </c>
      <c r="G1367" s="81" t="s">
        <v>3806</v>
      </c>
      <c r="H1367" s="81" t="s">
        <v>6586</v>
      </c>
      <c r="I1367" s="81" t="s">
        <v>6587</v>
      </c>
      <c r="J1367" s="81" t="s">
        <v>2186</v>
      </c>
      <c r="K1367" s="81" t="s">
        <v>6587</v>
      </c>
      <c r="L1367" s="81" t="s">
        <v>2392</v>
      </c>
      <c r="M1367" s="81" t="s">
        <v>6587</v>
      </c>
      <c r="N1367" s="81" t="s">
        <v>2231</v>
      </c>
      <c r="O1367" s="81" t="s">
        <v>2187</v>
      </c>
      <c r="P1367" s="81" t="s">
        <v>2187</v>
      </c>
      <c r="Q1367" s="81" t="s">
        <v>43</v>
      </c>
      <c r="R1367" s="81" t="s">
        <v>524</v>
      </c>
      <c r="S1367" s="81" t="s">
        <v>525</v>
      </c>
      <c r="T1367" s="81" t="s">
        <v>48</v>
      </c>
      <c r="U1367" s="81" t="s">
        <v>48</v>
      </c>
      <c r="V1367" s="81" t="s">
        <v>49</v>
      </c>
      <c r="W1367" s="81" t="s">
        <v>48</v>
      </c>
      <c r="X1367" s="81" t="s">
        <v>48</v>
      </c>
      <c r="Y1367" s="81" t="s">
        <v>48</v>
      </c>
    </row>
    <row r="1368" spans="1:25" x14ac:dyDescent="0.3">
      <c r="A1368" s="16" t="s">
        <v>1206</v>
      </c>
      <c r="B1368" s="81" t="s">
        <v>43</v>
      </c>
      <c r="C1368" s="81" t="s">
        <v>1207</v>
      </c>
      <c r="D1368" s="81" t="s">
        <v>45</v>
      </c>
      <c r="E1368" s="81" t="s">
        <v>2195</v>
      </c>
      <c r="F1368" s="81" t="s">
        <v>2877</v>
      </c>
      <c r="G1368" s="81" t="s">
        <v>2411</v>
      </c>
      <c r="H1368" s="81" t="s">
        <v>2270</v>
      </c>
      <c r="I1368" s="81" t="s">
        <v>6128</v>
      </c>
      <c r="J1368" s="81" t="s">
        <v>2186</v>
      </c>
      <c r="K1368" s="81" t="s">
        <v>6128</v>
      </c>
      <c r="L1368" s="81" t="s">
        <v>2392</v>
      </c>
      <c r="M1368" s="81" t="s">
        <v>6128</v>
      </c>
      <c r="N1368" s="81" t="s">
        <v>2231</v>
      </c>
      <c r="O1368" s="81" t="s">
        <v>2187</v>
      </c>
      <c r="P1368" s="81" t="s">
        <v>2187</v>
      </c>
      <c r="Q1368" s="81" t="s">
        <v>43</v>
      </c>
      <c r="R1368" s="81" t="s">
        <v>46</v>
      </c>
      <c r="S1368" s="81" t="s">
        <v>164</v>
      </c>
      <c r="T1368" s="81" t="s">
        <v>48</v>
      </c>
      <c r="U1368" s="81" t="s">
        <v>48</v>
      </c>
      <c r="V1368" s="81" t="s">
        <v>48</v>
      </c>
      <c r="W1368" s="81" t="s">
        <v>49</v>
      </c>
      <c r="X1368" s="81" t="s">
        <v>48</v>
      </c>
      <c r="Y1368" s="81" t="s">
        <v>48</v>
      </c>
    </row>
    <row r="1369" spans="1:25" x14ac:dyDescent="0.3">
      <c r="A1369" s="16" t="s">
        <v>1208</v>
      </c>
      <c r="B1369" s="81" t="s">
        <v>43</v>
      </c>
      <c r="C1369" s="81" t="s">
        <v>1209</v>
      </c>
      <c r="D1369" s="81" t="s">
        <v>45</v>
      </c>
      <c r="E1369" s="81" t="s">
        <v>2263</v>
      </c>
      <c r="F1369" s="81" t="s">
        <v>2335</v>
      </c>
      <c r="G1369" s="81" t="s">
        <v>3807</v>
      </c>
      <c r="H1369" s="81" t="s">
        <v>6588</v>
      </c>
      <c r="I1369" s="81" t="s">
        <v>6589</v>
      </c>
      <c r="J1369" s="81" t="s">
        <v>2186</v>
      </c>
      <c r="K1369" s="81" t="s">
        <v>6589</v>
      </c>
      <c r="L1369" s="81" t="s">
        <v>2392</v>
      </c>
      <c r="M1369" s="81" t="s">
        <v>6589</v>
      </c>
      <c r="N1369" s="81" t="s">
        <v>2231</v>
      </c>
      <c r="O1369" s="81" t="s">
        <v>2187</v>
      </c>
      <c r="P1369" s="81" t="s">
        <v>2187</v>
      </c>
      <c r="Q1369" s="81" t="s">
        <v>662</v>
      </c>
      <c r="R1369" s="81" t="s">
        <v>46</v>
      </c>
      <c r="S1369" s="81" t="s">
        <v>46</v>
      </c>
      <c r="T1369" s="81" t="s">
        <v>48</v>
      </c>
      <c r="U1369" s="81" t="s">
        <v>48</v>
      </c>
      <c r="V1369" s="81" t="s">
        <v>48</v>
      </c>
      <c r="W1369" s="81" t="s">
        <v>49</v>
      </c>
      <c r="X1369" s="81" t="s">
        <v>48</v>
      </c>
      <c r="Y1369" s="81" t="s">
        <v>48</v>
      </c>
    </row>
    <row r="1370" spans="1:25" x14ac:dyDescent="0.3">
      <c r="A1370" s="16" t="s">
        <v>1210</v>
      </c>
      <c r="B1370" s="81" t="s">
        <v>43</v>
      </c>
      <c r="C1370" s="81" t="s">
        <v>1211</v>
      </c>
      <c r="D1370" s="81" t="s">
        <v>45</v>
      </c>
      <c r="E1370" s="81" t="s">
        <v>2312</v>
      </c>
      <c r="F1370" s="81" t="s">
        <v>2313</v>
      </c>
      <c r="G1370" s="81" t="s">
        <v>3808</v>
      </c>
      <c r="H1370" s="81" t="s">
        <v>2377</v>
      </c>
      <c r="I1370" s="81" t="s">
        <v>6590</v>
      </c>
      <c r="J1370" s="81" t="s">
        <v>2186</v>
      </c>
      <c r="K1370" s="81" t="s">
        <v>6590</v>
      </c>
      <c r="L1370" s="81" t="s">
        <v>2392</v>
      </c>
      <c r="M1370" s="81" t="s">
        <v>6590</v>
      </c>
      <c r="N1370" s="81" t="s">
        <v>2231</v>
      </c>
      <c r="O1370" s="81" t="s">
        <v>2187</v>
      </c>
      <c r="P1370" s="81" t="s">
        <v>2187</v>
      </c>
      <c r="Q1370" s="81" t="s">
        <v>43</v>
      </c>
      <c r="R1370" s="81" t="s">
        <v>46</v>
      </c>
      <c r="S1370" s="81" t="s">
        <v>46</v>
      </c>
      <c r="T1370" s="81" t="s">
        <v>48</v>
      </c>
      <c r="U1370" s="81" t="s">
        <v>48</v>
      </c>
      <c r="V1370" s="81" t="s">
        <v>48</v>
      </c>
      <c r="W1370" s="81" t="s">
        <v>49</v>
      </c>
      <c r="X1370" s="81" t="s">
        <v>48</v>
      </c>
      <c r="Y1370" s="81" t="s">
        <v>48</v>
      </c>
    </row>
    <row r="1371" spans="1:25" x14ac:dyDescent="0.3">
      <c r="A1371" s="16" t="s">
        <v>1212</v>
      </c>
      <c r="B1371" s="81" t="s">
        <v>43</v>
      </c>
      <c r="C1371" s="81" t="s">
        <v>1213</v>
      </c>
      <c r="D1371" s="81" t="s">
        <v>45</v>
      </c>
      <c r="E1371" s="81" t="s">
        <v>2227</v>
      </c>
      <c r="F1371" s="81" t="s">
        <v>2227</v>
      </c>
      <c r="G1371" s="81" t="s">
        <v>3486</v>
      </c>
      <c r="H1371" s="81" t="s">
        <v>6257</v>
      </c>
      <c r="I1371" s="81" t="s">
        <v>6258</v>
      </c>
      <c r="J1371" s="81" t="s">
        <v>2186</v>
      </c>
      <c r="K1371" s="81" t="s">
        <v>6258</v>
      </c>
      <c r="L1371" s="81" t="s">
        <v>2392</v>
      </c>
      <c r="M1371" s="81" t="s">
        <v>6258</v>
      </c>
      <c r="N1371" s="81" t="s">
        <v>2231</v>
      </c>
      <c r="O1371" s="81" t="s">
        <v>2187</v>
      </c>
      <c r="P1371" s="81" t="s">
        <v>2187</v>
      </c>
      <c r="Q1371" s="81" t="s">
        <v>1214</v>
      </c>
      <c r="R1371" s="81" t="s">
        <v>46</v>
      </c>
      <c r="S1371" s="81" t="s">
        <v>46</v>
      </c>
      <c r="T1371" s="81" t="s">
        <v>48</v>
      </c>
      <c r="U1371" s="81" t="s">
        <v>48</v>
      </c>
      <c r="V1371" s="81" t="s">
        <v>48</v>
      </c>
      <c r="W1371" s="81" t="s">
        <v>49</v>
      </c>
      <c r="X1371" s="81" t="s">
        <v>48</v>
      </c>
      <c r="Y1371" s="81" t="s">
        <v>48</v>
      </c>
    </row>
    <row r="1372" spans="1:25" x14ac:dyDescent="0.3">
      <c r="A1372" s="16" t="s">
        <v>1215</v>
      </c>
      <c r="B1372" s="81" t="s">
        <v>43</v>
      </c>
      <c r="C1372" s="81" t="s">
        <v>1216</v>
      </c>
      <c r="D1372" s="81" t="s">
        <v>45</v>
      </c>
      <c r="E1372" s="81" t="s">
        <v>2245</v>
      </c>
      <c r="F1372" s="81" t="s">
        <v>2402</v>
      </c>
      <c r="G1372" s="81" t="s">
        <v>3809</v>
      </c>
      <c r="H1372" s="81" t="s">
        <v>6591</v>
      </c>
      <c r="I1372" s="81" t="s">
        <v>6592</v>
      </c>
      <c r="J1372" s="81" t="s">
        <v>2186</v>
      </c>
      <c r="K1372" s="81" t="s">
        <v>6592</v>
      </c>
      <c r="L1372" s="81" t="s">
        <v>2392</v>
      </c>
      <c r="M1372" s="81" t="s">
        <v>6592</v>
      </c>
      <c r="N1372" s="81" t="s">
        <v>2231</v>
      </c>
      <c r="O1372" s="81" t="s">
        <v>2187</v>
      </c>
      <c r="P1372" s="81" t="s">
        <v>2187</v>
      </c>
      <c r="Q1372" s="81" t="s">
        <v>153</v>
      </c>
      <c r="R1372" s="81" t="s">
        <v>51</v>
      </c>
      <c r="S1372" s="81" t="s">
        <v>81</v>
      </c>
      <c r="T1372" s="81" t="s">
        <v>49</v>
      </c>
      <c r="U1372" s="81" t="s">
        <v>48</v>
      </c>
      <c r="V1372" s="81" t="s">
        <v>48</v>
      </c>
      <c r="W1372" s="81" t="s">
        <v>49</v>
      </c>
      <c r="X1372" s="81" t="s">
        <v>48</v>
      </c>
      <c r="Y1372" s="81" t="s">
        <v>48</v>
      </c>
    </row>
    <row r="1373" spans="1:25" x14ac:dyDescent="0.3">
      <c r="A1373" s="16">
        <v>785118754334</v>
      </c>
      <c r="B1373" s="81" t="s">
        <v>43</v>
      </c>
      <c r="C1373" s="81" t="s">
        <v>1217</v>
      </c>
      <c r="D1373" s="81" t="s">
        <v>45</v>
      </c>
      <c r="E1373" s="81" t="s">
        <v>2227</v>
      </c>
      <c r="F1373" s="81" t="s">
        <v>2227</v>
      </c>
      <c r="G1373" s="81" t="s">
        <v>5171</v>
      </c>
      <c r="H1373" s="81" t="s">
        <v>2325</v>
      </c>
      <c r="I1373" s="81" t="s">
        <v>2291</v>
      </c>
      <c r="J1373" s="81" t="s">
        <v>2186</v>
      </c>
      <c r="K1373" s="81" t="s">
        <v>2268</v>
      </c>
      <c r="L1373" s="81" t="s">
        <v>2392</v>
      </c>
      <c r="M1373" s="81" t="s">
        <v>2251</v>
      </c>
      <c r="N1373" s="81" t="s">
        <v>2231</v>
      </c>
      <c r="O1373" s="81" t="s">
        <v>2187</v>
      </c>
      <c r="P1373" s="81" t="s">
        <v>2187</v>
      </c>
      <c r="Q1373" s="81" t="s">
        <v>43</v>
      </c>
      <c r="R1373" s="81" t="s">
        <v>46</v>
      </c>
      <c r="S1373" s="81" t="s">
        <v>46</v>
      </c>
      <c r="T1373" s="81" t="s">
        <v>48</v>
      </c>
      <c r="U1373" s="81" t="s">
        <v>48</v>
      </c>
      <c r="V1373" s="81" t="s">
        <v>48</v>
      </c>
      <c r="W1373" s="81" t="s">
        <v>49</v>
      </c>
      <c r="X1373" s="81" t="s">
        <v>48</v>
      </c>
      <c r="Y1373" s="81" t="s">
        <v>48</v>
      </c>
    </row>
    <row r="1374" spans="1:25" x14ac:dyDescent="0.3">
      <c r="A1374" s="16">
        <v>7501299385098</v>
      </c>
      <c r="B1374" s="81" t="s">
        <v>43</v>
      </c>
      <c r="C1374" s="81" t="s">
        <v>1218</v>
      </c>
      <c r="D1374" s="81" t="s">
        <v>45</v>
      </c>
      <c r="E1374" s="81" t="s">
        <v>2257</v>
      </c>
      <c r="F1374" s="81" t="s">
        <v>2323</v>
      </c>
      <c r="G1374" s="81" t="s">
        <v>3810</v>
      </c>
      <c r="H1374" s="81" t="s">
        <v>2337</v>
      </c>
      <c r="I1374" s="81" t="s">
        <v>6238</v>
      </c>
      <c r="J1374" s="81" t="s">
        <v>2186</v>
      </c>
      <c r="K1374" s="81" t="s">
        <v>6238</v>
      </c>
      <c r="L1374" s="81" t="s">
        <v>2392</v>
      </c>
      <c r="M1374" s="81" t="s">
        <v>6238</v>
      </c>
      <c r="N1374" s="81" t="s">
        <v>2231</v>
      </c>
      <c r="O1374" s="81" t="s">
        <v>2187</v>
      </c>
      <c r="P1374" s="81" t="s">
        <v>2187</v>
      </c>
      <c r="Q1374" s="81" t="s">
        <v>43</v>
      </c>
      <c r="R1374" s="81" t="s">
        <v>46</v>
      </c>
      <c r="S1374" s="81" t="s">
        <v>73</v>
      </c>
      <c r="T1374" s="81" t="s">
        <v>48</v>
      </c>
      <c r="U1374" s="81" t="s">
        <v>48</v>
      </c>
      <c r="V1374" s="81" t="s">
        <v>48</v>
      </c>
      <c r="W1374" s="81" t="s">
        <v>49</v>
      </c>
      <c r="X1374" s="81" t="s">
        <v>48</v>
      </c>
      <c r="Y1374" s="81" t="s">
        <v>48</v>
      </c>
    </row>
    <row r="1375" spans="1:25" x14ac:dyDescent="0.3">
      <c r="A1375" s="16">
        <v>7501019032424</v>
      </c>
      <c r="B1375" s="81" t="s">
        <v>43</v>
      </c>
      <c r="C1375" s="81" t="s">
        <v>1219</v>
      </c>
      <c r="D1375" s="81" t="s">
        <v>45</v>
      </c>
      <c r="E1375" s="81" t="s">
        <v>2483</v>
      </c>
      <c r="F1375" s="81" t="s">
        <v>2338</v>
      </c>
      <c r="G1375" s="81" t="s">
        <v>3811</v>
      </c>
      <c r="H1375" s="81" t="s">
        <v>2193</v>
      </c>
      <c r="I1375" s="81" t="s">
        <v>6593</v>
      </c>
      <c r="J1375" s="81" t="s">
        <v>2186</v>
      </c>
      <c r="K1375" s="81" t="s">
        <v>6593</v>
      </c>
      <c r="L1375" s="81" t="s">
        <v>2392</v>
      </c>
      <c r="M1375" s="81" t="s">
        <v>6593</v>
      </c>
      <c r="N1375" s="81" t="s">
        <v>2231</v>
      </c>
      <c r="O1375" s="81" t="s">
        <v>2187</v>
      </c>
      <c r="P1375" s="81" t="s">
        <v>2187</v>
      </c>
      <c r="Q1375" s="81" t="s">
        <v>43</v>
      </c>
      <c r="R1375" s="81" t="s">
        <v>524</v>
      </c>
      <c r="S1375" s="81" t="s">
        <v>525</v>
      </c>
      <c r="T1375" s="81" t="s">
        <v>48</v>
      </c>
      <c r="U1375" s="81" t="s">
        <v>48</v>
      </c>
      <c r="V1375" s="81" t="s">
        <v>48</v>
      </c>
      <c r="W1375" s="81" t="s">
        <v>49</v>
      </c>
      <c r="X1375" s="81" t="s">
        <v>48</v>
      </c>
      <c r="Y1375" s="81" t="s">
        <v>48</v>
      </c>
    </row>
    <row r="1376" spans="1:25" x14ac:dyDescent="0.3">
      <c r="A1376" s="16">
        <v>7502216793446</v>
      </c>
      <c r="B1376" s="81" t="s">
        <v>43</v>
      </c>
      <c r="C1376" s="81" t="s">
        <v>1220</v>
      </c>
      <c r="D1376" s="81" t="s">
        <v>45</v>
      </c>
      <c r="E1376" s="81" t="s">
        <v>2227</v>
      </c>
      <c r="F1376" s="81" t="s">
        <v>2227</v>
      </c>
      <c r="G1376" s="81" t="s">
        <v>3812</v>
      </c>
      <c r="H1376" s="81" t="s">
        <v>2415</v>
      </c>
      <c r="I1376" s="81" t="s">
        <v>5923</v>
      </c>
      <c r="J1376" s="81" t="s">
        <v>2186</v>
      </c>
      <c r="K1376" s="81" t="s">
        <v>5923</v>
      </c>
      <c r="L1376" s="81" t="s">
        <v>2392</v>
      </c>
      <c r="M1376" s="81" t="s">
        <v>5923</v>
      </c>
      <c r="N1376" s="81" t="s">
        <v>2231</v>
      </c>
      <c r="O1376" s="81" t="s">
        <v>2187</v>
      </c>
      <c r="P1376" s="81" t="s">
        <v>2187</v>
      </c>
      <c r="Q1376" s="81" t="s">
        <v>43</v>
      </c>
      <c r="R1376" s="81" t="s">
        <v>46</v>
      </c>
      <c r="S1376" s="81" t="s">
        <v>46</v>
      </c>
      <c r="T1376" s="81" t="s">
        <v>48</v>
      </c>
      <c r="U1376" s="81" t="s">
        <v>48</v>
      </c>
      <c r="V1376" s="81" t="s">
        <v>48</v>
      </c>
      <c r="W1376" s="81" t="s">
        <v>49</v>
      </c>
      <c r="X1376" s="81" t="s">
        <v>48</v>
      </c>
      <c r="Y1376" s="81" t="s">
        <v>48</v>
      </c>
    </row>
    <row r="1377" spans="1:25" x14ac:dyDescent="0.3">
      <c r="A1377" s="16">
        <v>7501125174841</v>
      </c>
      <c r="B1377" s="81" t="s">
        <v>43</v>
      </c>
      <c r="C1377" s="81" t="s">
        <v>1221</v>
      </c>
      <c r="D1377" s="81" t="s">
        <v>45</v>
      </c>
      <c r="E1377" s="81" t="s">
        <v>3376</v>
      </c>
      <c r="F1377" s="81" t="s">
        <v>2857</v>
      </c>
      <c r="G1377" s="81" t="s">
        <v>4768</v>
      </c>
      <c r="H1377" s="81" t="s">
        <v>2325</v>
      </c>
      <c r="I1377" s="81" t="s">
        <v>2331</v>
      </c>
      <c r="J1377" s="81" t="s">
        <v>2186</v>
      </c>
      <c r="K1377" s="81" t="s">
        <v>2331</v>
      </c>
      <c r="L1377" s="81" t="s">
        <v>2392</v>
      </c>
      <c r="M1377" s="81" t="s">
        <v>2331</v>
      </c>
      <c r="N1377" s="81" t="s">
        <v>2231</v>
      </c>
      <c r="O1377" s="81" t="s">
        <v>2187</v>
      </c>
      <c r="P1377" s="81" t="s">
        <v>2187</v>
      </c>
      <c r="Q1377" s="81" t="s">
        <v>43</v>
      </c>
      <c r="R1377" s="81" t="s">
        <v>122</v>
      </c>
      <c r="S1377" s="81" t="s">
        <v>123</v>
      </c>
      <c r="T1377" s="81" t="s">
        <v>48</v>
      </c>
      <c r="U1377" s="81" t="s">
        <v>48</v>
      </c>
      <c r="V1377" s="81" t="s">
        <v>48</v>
      </c>
      <c r="W1377" s="81" t="s">
        <v>49</v>
      </c>
      <c r="X1377" s="81" t="s">
        <v>48</v>
      </c>
      <c r="Y1377" s="81" t="s">
        <v>48</v>
      </c>
    </row>
    <row r="1378" spans="1:25" x14ac:dyDescent="0.3">
      <c r="A1378" s="16">
        <v>7501384544577</v>
      </c>
      <c r="B1378" s="81" t="s">
        <v>43</v>
      </c>
      <c r="C1378" s="81" t="s">
        <v>2037</v>
      </c>
      <c r="D1378" s="81" t="s">
        <v>45</v>
      </c>
      <c r="E1378" s="81" t="s">
        <v>2227</v>
      </c>
      <c r="F1378" s="81" t="s">
        <v>2227</v>
      </c>
      <c r="G1378" s="81" t="s">
        <v>3698</v>
      </c>
      <c r="H1378" s="81" t="s">
        <v>2264</v>
      </c>
      <c r="I1378" s="81" t="s">
        <v>6594</v>
      </c>
      <c r="J1378" s="81" t="s">
        <v>2186</v>
      </c>
      <c r="K1378" s="81" t="s">
        <v>6594</v>
      </c>
      <c r="L1378" s="81" t="s">
        <v>2392</v>
      </c>
      <c r="M1378" s="81" t="s">
        <v>6594</v>
      </c>
      <c r="N1378" s="81" t="s">
        <v>2231</v>
      </c>
      <c r="O1378" s="81" t="s">
        <v>2187</v>
      </c>
      <c r="P1378" s="81" t="s">
        <v>2187</v>
      </c>
      <c r="Q1378" s="81" t="s">
        <v>43</v>
      </c>
      <c r="R1378" s="81" t="s">
        <v>122</v>
      </c>
      <c r="S1378" s="81" t="s">
        <v>123</v>
      </c>
      <c r="T1378" s="81" t="s">
        <v>48</v>
      </c>
      <c r="U1378" s="81" t="s">
        <v>48</v>
      </c>
      <c r="V1378" s="81" t="s">
        <v>48</v>
      </c>
      <c r="W1378" s="81" t="s">
        <v>49</v>
      </c>
      <c r="X1378" s="81" t="s">
        <v>48</v>
      </c>
      <c r="Y1378" s="81" t="s">
        <v>48</v>
      </c>
    </row>
    <row r="1379" spans="1:25" x14ac:dyDescent="0.3">
      <c r="A1379" s="16">
        <v>7501836010087</v>
      </c>
      <c r="B1379" s="81" t="s">
        <v>43</v>
      </c>
      <c r="C1379" s="81" t="s">
        <v>1835</v>
      </c>
      <c r="D1379" s="81" t="s">
        <v>45</v>
      </c>
      <c r="E1379" s="81" t="s">
        <v>2227</v>
      </c>
      <c r="F1379" s="81" t="s">
        <v>2227</v>
      </c>
      <c r="G1379" s="81" t="s">
        <v>4821</v>
      </c>
      <c r="H1379" s="81" t="s">
        <v>2336</v>
      </c>
      <c r="I1379" s="81" t="s">
        <v>5559</v>
      </c>
      <c r="J1379" s="81" t="s">
        <v>2186</v>
      </c>
      <c r="K1379" s="81" t="s">
        <v>5559</v>
      </c>
      <c r="L1379" s="81" t="s">
        <v>2392</v>
      </c>
      <c r="M1379" s="81" t="s">
        <v>5559</v>
      </c>
      <c r="N1379" s="81" t="s">
        <v>2231</v>
      </c>
      <c r="O1379" s="81" t="s">
        <v>2187</v>
      </c>
      <c r="P1379" s="81" t="s">
        <v>2187</v>
      </c>
      <c r="Q1379" s="81" t="s">
        <v>43</v>
      </c>
      <c r="R1379" s="81" t="s">
        <v>46</v>
      </c>
      <c r="S1379" s="81" t="s">
        <v>46</v>
      </c>
      <c r="T1379" s="81" t="s">
        <v>48</v>
      </c>
      <c r="U1379" s="81" t="s">
        <v>48</v>
      </c>
      <c r="V1379" s="81" t="s">
        <v>48</v>
      </c>
      <c r="W1379" s="81" t="s">
        <v>49</v>
      </c>
      <c r="X1379" s="81" t="s">
        <v>48</v>
      </c>
      <c r="Y1379" s="81" t="s">
        <v>48</v>
      </c>
    </row>
    <row r="1380" spans="1:25" x14ac:dyDescent="0.3">
      <c r="A1380" s="16">
        <v>7501349025806</v>
      </c>
      <c r="B1380" s="81" t="s">
        <v>43</v>
      </c>
      <c r="C1380" s="81" t="s">
        <v>2038</v>
      </c>
      <c r="D1380" s="81" t="s">
        <v>45</v>
      </c>
      <c r="E1380" s="81" t="s">
        <v>2227</v>
      </c>
      <c r="F1380" s="81" t="s">
        <v>2227</v>
      </c>
      <c r="G1380" s="81" t="s">
        <v>3813</v>
      </c>
      <c r="H1380" s="81" t="s">
        <v>2190</v>
      </c>
      <c r="I1380" s="81" t="s">
        <v>6595</v>
      </c>
      <c r="J1380" s="81" t="s">
        <v>2186</v>
      </c>
      <c r="K1380" s="81" t="s">
        <v>6595</v>
      </c>
      <c r="L1380" s="81" t="s">
        <v>2392</v>
      </c>
      <c r="M1380" s="81" t="s">
        <v>6595</v>
      </c>
      <c r="N1380" s="81" t="s">
        <v>2231</v>
      </c>
      <c r="O1380" s="81" t="s">
        <v>2187</v>
      </c>
      <c r="P1380" s="81" t="s">
        <v>2187</v>
      </c>
      <c r="Q1380" s="81" t="s">
        <v>43</v>
      </c>
      <c r="R1380" s="81" t="s">
        <v>46</v>
      </c>
      <c r="S1380" s="81" t="s">
        <v>46</v>
      </c>
      <c r="T1380" s="81" t="s">
        <v>48</v>
      </c>
      <c r="U1380" s="81" t="s">
        <v>48</v>
      </c>
      <c r="V1380" s="81" t="s">
        <v>48</v>
      </c>
      <c r="W1380" s="81" t="s">
        <v>49</v>
      </c>
      <c r="X1380" s="81" t="s">
        <v>48</v>
      </c>
      <c r="Y1380" s="81" t="s">
        <v>48</v>
      </c>
    </row>
    <row r="1381" spans="1:25" x14ac:dyDescent="0.3">
      <c r="A1381" s="16">
        <v>7501349025844</v>
      </c>
      <c r="B1381" s="81" t="s">
        <v>43</v>
      </c>
      <c r="C1381" s="81" t="s">
        <v>1836</v>
      </c>
      <c r="D1381" s="81" t="s">
        <v>45</v>
      </c>
      <c r="E1381" s="81" t="s">
        <v>2704</v>
      </c>
      <c r="F1381" s="81" t="s">
        <v>2312</v>
      </c>
      <c r="G1381" s="81" t="s">
        <v>2390</v>
      </c>
      <c r="H1381" s="81" t="s">
        <v>2213</v>
      </c>
      <c r="I1381" s="81" t="s">
        <v>6596</v>
      </c>
      <c r="J1381" s="81" t="s">
        <v>2186</v>
      </c>
      <c r="K1381" s="81" t="s">
        <v>6596</v>
      </c>
      <c r="L1381" s="81" t="s">
        <v>2392</v>
      </c>
      <c r="M1381" s="81" t="s">
        <v>6596</v>
      </c>
      <c r="N1381" s="81" t="s">
        <v>2231</v>
      </c>
      <c r="O1381" s="81" t="s">
        <v>2187</v>
      </c>
      <c r="P1381" s="81" t="s">
        <v>2187</v>
      </c>
      <c r="Q1381" s="81" t="s">
        <v>43</v>
      </c>
      <c r="R1381" s="81" t="s">
        <v>46</v>
      </c>
      <c r="S1381" s="81" t="s">
        <v>46</v>
      </c>
      <c r="T1381" s="81" t="s">
        <v>48</v>
      </c>
      <c r="U1381" s="81" t="s">
        <v>48</v>
      </c>
      <c r="V1381" s="81" t="s">
        <v>48</v>
      </c>
      <c r="W1381" s="81" t="s">
        <v>49</v>
      </c>
      <c r="X1381" s="81" t="s">
        <v>48</v>
      </c>
      <c r="Y1381" s="81" t="s">
        <v>48</v>
      </c>
    </row>
    <row r="1382" spans="1:25" x14ac:dyDescent="0.3">
      <c r="A1382" s="16">
        <v>7500462933746</v>
      </c>
      <c r="B1382" s="81" t="s">
        <v>43</v>
      </c>
      <c r="C1382" s="81" t="s">
        <v>1222</v>
      </c>
      <c r="D1382" s="81" t="s">
        <v>45</v>
      </c>
      <c r="E1382" s="81" t="s">
        <v>2227</v>
      </c>
      <c r="F1382" s="81" t="s">
        <v>2227</v>
      </c>
      <c r="G1382" s="81" t="s">
        <v>3121</v>
      </c>
      <c r="H1382" s="81" t="s">
        <v>2264</v>
      </c>
      <c r="I1382" s="81" t="s">
        <v>6597</v>
      </c>
      <c r="J1382" s="81" t="s">
        <v>2186</v>
      </c>
      <c r="K1382" s="81" t="s">
        <v>6597</v>
      </c>
      <c r="L1382" s="81" t="s">
        <v>2392</v>
      </c>
      <c r="M1382" s="81" t="s">
        <v>6597</v>
      </c>
      <c r="N1382" s="81" t="s">
        <v>2231</v>
      </c>
      <c r="O1382" s="81" t="s">
        <v>2187</v>
      </c>
      <c r="P1382" s="81" t="s">
        <v>2187</v>
      </c>
      <c r="Q1382" s="81" t="s">
        <v>43</v>
      </c>
      <c r="R1382" s="81" t="s">
        <v>203</v>
      </c>
      <c r="S1382" s="81" t="s">
        <v>203</v>
      </c>
      <c r="T1382" s="81" t="s">
        <v>48</v>
      </c>
      <c r="U1382" s="81" t="s">
        <v>48</v>
      </c>
      <c r="V1382" s="81" t="s">
        <v>49</v>
      </c>
      <c r="W1382" s="81" t="s">
        <v>48</v>
      </c>
      <c r="X1382" s="81" t="s">
        <v>48</v>
      </c>
      <c r="Y1382" s="81" t="s">
        <v>48</v>
      </c>
    </row>
    <row r="1383" spans="1:25" x14ac:dyDescent="0.3">
      <c r="A1383" s="16">
        <v>7501349019706</v>
      </c>
      <c r="B1383" s="81" t="s">
        <v>43</v>
      </c>
      <c r="C1383" s="81" t="s">
        <v>1223</v>
      </c>
      <c r="D1383" s="81" t="s">
        <v>45</v>
      </c>
      <c r="E1383" s="81" t="s">
        <v>2227</v>
      </c>
      <c r="F1383" s="81" t="s">
        <v>2227</v>
      </c>
      <c r="G1383" s="81" t="s">
        <v>3815</v>
      </c>
      <c r="H1383" s="81" t="s">
        <v>2296</v>
      </c>
      <c r="I1383" s="81" t="s">
        <v>6598</v>
      </c>
      <c r="J1383" s="81" t="s">
        <v>2186</v>
      </c>
      <c r="K1383" s="81" t="s">
        <v>6598</v>
      </c>
      <c r="L1383" s="81" t="s">
        <v>2392</v>
      </c>
      <c r="M1383" s="81" t="s">
        <v>6598</v>
      </c>
      <c r="N1383" s="81" t="s">
        <v>2231</v>
      </c>
      <c r="O1383" s="81" t="s">
        <v>2187</v>
      </c>
      <c r="P1383" s="81" t="s">
        <v>2187</v>
      </c>
      <c r="Q1383" s="81" t="s">
        <v>43</v>
      </c>
      <c r="R1383" s="81" t="s">
        <v>462</v>
      </c>
      <c r="S1383" s="81" t="s">
        <v>462</v>
      </c>
      <c r="T1383" s="81" t="s">
        <v>48</v>
      </c>
      <c r="U1383" s="81" t="s">
        <v>48</v>
      </c>
      <c r="V1383" s="81" t="s">
        <v>48</v>
      </c>
      <c r="W1383" s="81" t="s">
        <v>49</v>
      </c>
      <c r="X1383" s="81" t="s">
        <v>48</v>
      </c>
      <c r="Y1383" s="81" t="s">
        <v>48</v>
      </c>
    </row>
    <row r="1384" spans="1:25" x14ac:dyDescent="0.3">
      <c r="A1384" s="16">
        <v>7501349029194</v>
      </c>
      <c r="B1384" s="81" t="s">
        <v>43</v>
      </c>
      <c r="C1384" s="81" t="s">
        <v>1224</v>
      </c>
      <c r="D1384" s="81" t="s">
        <v>45</v>
      </c>
      <c r="E1384" s="81" t="s">
        <v>2227</v>
      </c>
      <c r="F1384" s="81" t="s">
        <v>2227</v>
      </c>
      <c r="G1384" s="81" t="s">
        <v>3816</v>
      </c>
      <c r="H1384" s="81" t="s">
        <v>3819</v>
      </c>
      <c r="I1384" s="81" t="s">
        <v>6599</v>
      </c>
      <c r="J1384" s="81" t="s">
        <v>2186</v>
      </c>
      <c r="K1384" s="81" t="s">
        <v>6599</v>
      </c>
      <c r="L1384" s="81" t="s">
        <v>2392</v>
      </c>
      <c r="M1384" s="81" t="s">
        <v>6599</v>
      </c>
      <c r="N1384" s="81" t="s">
        <v>2231</v>
      </c>
      <c r="O1384" s="81" t="s">
        <v>2187</v>
      </c>
      <c r="P1384" s="81" t="s">
        <v>2187</v>
      </c>
      <c r="Q1384" s="81" t="s">
        <v>43</v>
      </c>
      <c r="R1384" s="81" t="s">
        <v>462</v>
      </c>
      <c r="S1384" s="81" t="s">
        <v>462</v>
      </c>
      <c r="T1384" s="81" t="s">
        <v>48</v>
      </c>
      <c r="U1384" s="81" t="s">
        <v>48</v>
      </c>
      <c r="V1384" s="81" t="s">
        <v>48</v>
      </c>
      <c r="W1384" s="81" t="s">
        <v>49</v>
      </c>
      <c r="X1384" s="81" t="s">
        <v>48</v>
      </c>
      <c r="Y1384" s="81" t="s">
        <v>48</v>
      </c>
    </row>
    <row r="1385" spans="1:25" x14ac:dyDescent="0.3">
      <c r="A1385" s="16">
        <v>7501349029200</v>
      </c>
      <c r="B1385" s="81" t="s">
        <v>43</v>
      </c>
      <c r="C1385" s="81" t="s">
        <v>1225</v>
      </c>
      <c r="D1385" s="81" t="s">
        <v>45</v>
      </c>
      <c r="E1385" s="81" t="s">
        <v>2227</v>
      </c>
      <c r="F1385" s="81" t="s">
        <v>2227</v>
      </c>
      <c r="G1385" s="81" t="s">
        <v>3817</v>
      </c>
      <c r="H1385" s="81" t="s">
        <v>6600</v>
      </c>
      <c r="I1385" s="81" t="s">
        <v>6601</v>
      </c>
      <c r="J1385" s="81" t="s">
        <v>2186</v>
      </c>
      <c r="K1385" s="81" t="s">
        <v>6601</v>
      </c>
      <c r="L1385" s="81" t="s">
        <v>2392</v>
      </c>
      <c r="M1385" s="81" t="s">
        <v>6601</v>
      </c>
      <c r="N1385" s="81" t="s">
        <v>2231</v>
      </c>
      <c r="O1385" s="81" t="s">
        <v>2187</v>
      </c>
      <c r="P1385" s="81" t="s">
        <v>2187</v>
      </c>
      <c r="Q1385" s="81" t="s">
        <v>43</v>
      </c>
      <c r="R1385" s="81" t="s">
        <v>462</v>
      </c>
      <c r="S1385" s="81" t="s">
        <v>462</v>
      </c>
      <c r="T1385" s="81" t="s">
        <v>48</v>
      </c>
      <c r="U1385" s="81" t="s">
        <v>48</v>
      </c>
      <c r="V1385" s="81" t="s">
        <v>48</v>
      </c>
      <c r="W1385" s="81" t="s">
        <v>49</v>
      </c>
      <c r="X1385" s="81" t="s">
        <v>48</v>
      </c>
      <c r="Y1385" s="81" t="s">
        <v>48</v>
      </c>
    </row>
    <row r="1386" spans="1:25" x14ac:dyDescent="0.3">
      <c r="A1386" s="16">
        <v>7501349011984</v>
      </c>
      <c r="B1386" s="81" t="s">
        <v>43</v>
      </c>
      <c r="C1386" s="81" t="s">
        <v>1226</v>
      </c>
      <c r="D1386" s="81" t="s">
        <v>45</v>
      </c>
      <c r="E1386" s="81" t="s">
        <v>2227</v>
      </c>
      <c r="F1386" s="81" t="s">
        <v>2227</v>
      </c>
      <c r="G1386" s="81" t="s">
        <v>3818</v>
      </c>
      <c r="H1386" s="81" t="s">
        <v>2269</v>
      </c>
      <c r="I1386" s="81" t="s">
        <v>3639</v>
      </c>
      <c r="J1386" s="81" t="s">
        <v>2186</v>
      </c>
      <c r="K1386" s="81" t="s">
        <v>2297</v>
      </c>
      <c r="L1386" s="81" t="s">
        <v>2392</v>
      </c>
      <c r="M1386" s="81" t="s">
        <v>3819</v>
      </c>
      <c r="N1386" s="81" t="s">
        <v>2231</v>
      </c>
      <c r="O1386" s="81" t="s">
        <v>2187</v>
      </c>
      <c r="P1386" s="81" t="s">
        <v>2187</v>
      </c>
      <c r="Q1386" s="81" t="s">
        <v>43</v>
      </c>
      <c r="R1386" s="81" t="s">
        <v>462</v>
      </c>
      <c r="S1386" s="81" t="s">
        <v>462</v>
      </c>
      <c r="T1386" s="81" t="s">
        <v>48</v>
      </c>
      <c r="U1386" s="81" t="s">
        <v>48</v>
      </c>
      <c r="V1386" s="81" t="s">
        <v>48</v>
      </c>
      <c r="W1386" s="81" t="s">
        <v>49</v>
      </c>
      <c r="X1386" s="81" t="s">
        <v>48</v>
      </c>
      <c r="Y1386" s="81" t="s">
        <v>48</v>
      </c>
    </row>
    <row r="1387" spans="1:25" x14ac:dyDescent="0.3">
      <c r="A1387" s="16">
        <v>7501349029064</v>
      </c>
      <c r="B1387" s="81" t="s">
        <v>43</v>
      </c>
      <c r="C1387" s="81" t="s">
        <v>1227</v>
      </c>
      <c r="D1387" s="81" t="s">
        <v>45</v>
      </c>
      <c r="E1387" s="81" t="s">
        <v>2227</v>
      </c>
      <c r="F1387" s="81" t="s">
        <v>2227</v>
      </c>
      <c r="G1387" s="81" t="s">
        <v>3799</v>
      </c>
      <c r="H1387" s="81" t="s">
        <v>2269</v>
      </c>
      <c r="I1387" s="81" t="s">
        <v>5306</v>
      </c>
      <c r="J1387" s="81" t="s">
        <v>2186</v>
      </c>
      <c r="K1387" s="81" t="s">
        <v>5306</v>
      </c>
      <c r="L1387" s="81" t="s">
        <v>2392</v>
      </c>
      <c r="M1387" s="81" t="s">
        <v>5306</v>
      </c>
      <c r="N1387" s="81" t="s">
        <v>2231</v>
      </c>
      <c r="O1387" s="81" t="s">
        <v>2187</v>
      </c>
      <c r="P1387" s="81" t="s">
        <v>2187</v>
      </c>
      <c r="Q1387" s="81" t="s">
        <v>43</v>
      </c>
      <c r="R1387" s="81" t="s">
        <v>462</v>
      </c>
      <c r="S1387" s="81" t="s">
        <v>462</v>
      </c>
      <c r="T1387" s="81" t="s">
        <v>48</v>
      </c>
      <c r="U1387" s="81" t="s">
        <v>48</v>
      </c>
      <c r="V1387" s="81" t="s">
        <v>48</v>
      </c>
      <c r="W1387" s="81" t="s">
        <v>49</v>
      </c>
      <c r="X1387" s="81" t="s">
        <v>48</v>
      </c>
      <c r="Y1387" s="81" t="s">
        <v>48</v>
      </c>
    </row>
    <row r="1388" spans="1:25" x14ac:dyDescent="0.3">
      <c r="A1388" s="16">
        <v>7501349011779</v>
      </c>
      <c r="B1388" s="81" t="s">
        <v>43</v>
      </c>
      <c r="C1388" s="81" t="s">
        <v>1228</v>
      </c>
      <c r="D1388" s="81" t="s">
        <v>45</v>
      </c>
      <c r="E1388" s="81" t="s">
        <v>2227</v>
      </c>
      <c r="F1388" s="81" t="s">
        <v>2227</v>
      </c>
      <c r="G1388" s="81" t="s">
        <v>3820</v>
      </c>
      <c r="H1388" s="81" t="s">
        <v>2264</v>
      </c>
      <c r="I1388" s="81" t="s">
        <v>5809</v>
      </c>
      <c r="J1388" s="81" t="s">
        <v>2186</v>
      </c>
      <c r="K1388" s="81" t="s">
        <v>5809</v>
      </c>
      <c r="L1388" s="81" t="s">
        <v>2392</v>
      </c>
      <c r="M1388" s="81" t="s">
        <v>5809</v>
      </c>
      <c r="N1388" s="81" t="s">
        <v>2231</v>
      </c>
      <c r="O1388" s="81" t="s">
        <v>2187</v>
      </c>
      <c r="P1388" s="81" t="s">
        <v>2187</v>
      </c>
      <c r="Q1388" s="81" t="s">
        <v>43</v>
      </c>
      <c r="R1388" s="81" t="s">
        <v>462</v>
      </c>
      <c r="S1388" s="81" t="s">
        <v>462</v>
      </c>
      <c r="T1388" s="81" t="s">
        <v>48</v>
      </c>
      <c r="U1388" s="81" t="s">
        <v>48</v>
      </c>
      <c r="V1388" s="81" t="s">
        <v>48</v>
      </c>
      <c r="W1388" s="81" t="s">
        <v>49</v>
      </c>
      <c r="X1388" s="81" t="s">
        <v>48</v>
      </c>
      <c r="Y1388" s="81" t="s">
        <v>48</v>
      </c>
    </row>
    <row r="1389" spans="1:25" x14ac:dyDescent="0.3">
      <c r="A1389" s="16">
        <v>7501349029071</v>
      </c>
      <c r="B1389" s="81" t="s">
        <v>43</v>
      </c>
      <c r="C1389" s="81" t="s">
        <v>1229</v>
      </c>
      <c r="D1389" s="81" t="s">
        <v>45</v>
      </c>
      <c r="E1389" s="81" t="s">
        <v>2227</v>
      </c>
      <c r="F1389" s="81" t="s">
        <v>2227</v>
      </c>
      <c r="G1389" s="81" t="s">
        <v>3821</v>
      </c>
      <c r="H1389" s="81" t="s">
        <v>3814</v>
      </c>
      <c r="I1389" s="81" t="s">
        <v>6602</v>
      </c>
      <c r="J1389" s="81" t="s">
        <v>2186</v>
      </c>
      <c r="K1389" s="81" t="s">
        <v>6602</v>
      </c>
      <c r="L1389" s="81" t="s">
        <v>2392</v>
      </c>
      <c r="M1389" s="81" t="s">
        <v>6602</v>
      </c>
      <c r="N1389" s="81" t="s">
        <v>2231</v>
      </c>
      <c r="O1389" s="81" t="s">
        <v>2187</v>
      </c>
      <c r="P1389" s="81" t="s">
        <v>2187</v>
      </c>
      <c r="Q1389" s="81" t="s">
        <v>43</v>
      </c>
      <c r="R1389" s="81" t="s">
        <v>462</v>
      </c>
      <c r="S1389" s="81" t="s">
        <v>462</v>
      </c>
      <c r="T1389" s="81" t="s">
        <v>48</v>
      </c>
      <c r="U1389" s="81" t="s">
        <v>48</v>
      </c>
      <c r="V1389" s="81" t="s">
        <v>48</v>
      </c>
      <c r="W1389" s="81" t="s">
        <v>49</v>
      </c>
      <c r="X1389" s="81" t="s">
        <v>48</v>
      </c>
      <c r="Y1389" s="81" t="s">
        <v>48</v>
      </c>
    </row>
    <row r="1390" spans="1:25" x14ac:dyDescent="0.3">
      <c r="A1390" s="16">
        <v>7501349029101</v>
      </c>
      <c r="B1390" s="81" t="s">
        <v>43</v>
      </c>
      <c r="C1390" s="81" t="s">
        <v>1230</v>
      </c>
      <c r="D1390" s="81" t="s">
        <v>45</v>
      </c>
      <c r="E1390" s="81" t="s">
        <v>2227</v>
      </c>
      <c r="F1390" s="81" t="s">
        <v>2227</v>
      </c>
      <c r="G1390" s="81" t="s">
        <v>3822</v>
      </c>
      <c r="H1390" s="81" t="s">
        <v>2269</v>
      </c>
      <c r="I1390" s="81" t="s">
        <v>2450</v>
      </c>
      <c r="J1390" s="81" t="s">
        <v>2186</v>
      </c>
      <c r="K1390" s="81" t="s">
        <v>2238</v>
      </c>
      <c r="L1390" s="81" t="s">
        <v>2392</v>
      </c>
      <c r="M1390" s="81" t="s">
        <v>3823</v>
      </c>
      <c r="N1390" s="81" t="s">
        <v>2231</v>
      </c>
      <c r="O1390" s="81" t="s">
        <v>2187</v>
      </c>
      <c r="P1390" s="81" t="s">
        <v>2187</v>
      </c>
      <c r="Q1390" s="81" t="s">
        <v>43</v>
      </c>
      <c r="R1390" s="81" t="s">
        <v>462</v>
      </c>
      <c r="S1390" s="81" t="s">
        <v>462</v>
      </c>
      <c r="T1390" s="81" t="s">
        <v>48</v>
      </c>
      <c r="U1390" s="81" t="s">
        <v>48</v>
      </c>
      <c r="V1390" s="81" t="s">
        <v>48</v>
      </c>
      <c r="W1390" s="81" t="s">
        <v>49</v>
      </c>
      <c r="X1390" s="81" t="s">
        <v>48</v>
      </c>
      <c r="Y1390" s="81" t="s">
        <v>48</v>
      </c>
    </row>
    <row r="1391" spans="1:25" x14ac:dyDescent="0.3">
      <c r="A1391" s="16">
        <v>7501868901100</v>
      </c>
      <c r="B1391" s="81" t="s">
        <v>43</v>
      </c>
      <c r="C1391" s="81" t="s">
        <v>1231</v>
      </c>
      <c r="D1391" s="81" t="s">
        <v>45</v>
      </c>
      <c r="E1391" s="81" t="s">
        <v>3029</v>
      </c>
      <c r="F1391" s="81" t="s">
        <v>3526</v>
      </c>
      <c r="G1391" s="81" t="s">
        <v>3824</v>
      </c>
      <c r="H1391" s="81" t="s">
        <v>3042</v>
      </c>
      <c r="I1391" s="81" t="s">
        <v>6603</v>
      </c>
      <c r="J1391" s="81" t="s">
        <v>2186</v>
      </c>
      <c r="K1391" s="81" t="s">
        <v>6603</v>
      </c>
      <c r="L1391" s="81" t="s">
        <v>2392</v>
      </c>
      <c r="M1391" s="81" t="s">
        <v>6603</v>
      </c>
      <c r="N1391" s="81" t="s">
        <v>2231</v>
      </c>
      <c r="O1391" s="81" t="s">
        <v>2187</v>
      </c>
      <c r="P1391" s="81" t="s">
        <v>2187</v>
      </c>
      <c r="Q1391" s="81" t="s">
        <v>43</v>
      </c>
      <c r="R1391" s="81" t="s">
        <v>122</v>
      </c>
      <c r="S1391" s="81" t="s">
        <v>123</v>
      </c>
      <c r="T1391" s="81" t="s">
        <v>48</v>
      </c>
      <c r="U1391" s="81" t="s">
        <v>48</v>
      </c>
      <c r="V1391" s="81" t="s">
        <v>49</v>
      </c>
      <c r="W1391" s="81" t="s">
        <v>48</v>
      </c>
      <c r="X1391" s="81" t="s">
        <v>48</v>
      </c>
      <c r="Y1391" s="81" t="s">
        <v>48</v>
      </c>
    </row>
    <row r="1392" spans="1:25" x14ac:dyDescent="0.3">
      <c r="A1392" s="16">
        <v>7502209858183</v>
      </c>
      <c r="B1392" s="81" t="s">
        <v>43</v>
      </c>
      <c r="C1392" s="81" t="s">
        <v>2039</v>
      </c>
      <c r="D1392" s="81" t="s">
        <v>45</v>
      </c>
      <c r="E1392" s="81" t="s">
        <v>2227</v>
      </c>
      <c r="F1392" s="81" t="s">
        <v>2227</v>
      </c>
      <c r="G1392" s="81" t="s">
        <v>7116</v>
      </c>
      <c r="H1392" s="81" t="s">
        <v>2209</v>
      </c>
      <c r="I1392" s="81" t="s">
        <v>6175</v>
      </c>
      <c r="J1392" s="81" t="s">
        <v>2186</v>
      </c>
      <c r="K1392" s="81" t="s">
        <v>6175</v>
      </c>
      <c r="L1392" s="81" t="s">
        <v>2392</v>
      </c>
      <c r="M1392" s="81" t="s">
        <v>6175</v>
      </c>
      <c r="N1392" s="81" t="s">
        <v>2231</v>
      </c>
      <c r="O1392" s="81" t="s">
        <v>2187</v>
      </c>
      <c r="P1392" s="81" t="s">
        <v>2187</v>
      </c>
      <c r="Q1392" s="81" t="s">
        <v>43</v>
      </c>
      <c r="R1392" s="81" t="s">
        <v>46</v>
      </c>
      <c r="S1392" s="81" t="s">
        <v>46</v>
      </c>
      <c r="T1392" s="81" t="s">
        <v>48</v>
      </c>
      <c r="U1392" s="81" t="s">
        <v>48</v>
      </c>
      <c r="V1392" s="81" t="s">
        <v>48</v>
      </c>
      <c r="W1392" s="81" t="s">
        <v>49</v>
      </c>
      <c r="X1392" s="81" t="s">
        <v>48</v>
      </c>
      <c r="Y1392" s="81" t="s">
        <v>48</v>
      </c>
    </row>
    <row r="1393" spans="1:25" x14ac:dyDescent="0.3">
      <c r="A1393" s="16">
        <v>7501342804040</v>
      </c>
      <c r="B1393" s="81" t="s">
        <v>43</v>
      </c>
      <c r="C1393" s="81" t="s">
        <v>1232</v>
      </c>
      <c r="D1393" s="81" t="s">
        <v>45</v>
      </c>
      <c r="E1393" s="81" t="s">
        <v>2227</v>
      </c>
      <c r="F1393" s="81" t="s">
        <v>2227</v>
      </c>
      <c r="G1393" s="81" t="s">
        <v>3826</v>
      </c>
      <c r="H1393" s="81" t="s">
        <v>2237</v>
      </c>
      <c r="I1393" s="81" t="s">
        <v>2382</v>
      </c>
      <c r="J1393" s="81" t="s">
        <v>2186</v>
      </c>
      <c r="K1393" s="81" t="s">
        <v>2383</v>
      </c>
      <c r="L1393" s="81" t="s">
        <v>2392</v>
      </c>
      <c r="M1393" s="81" t="s">
        <v>2376</v>
      </c>
      <c r="N1393" s="81" t="s">
        <v>2231</v>
      </c>
      <c r="O1393" s="81" t="s">
        <v>2187</v>
      </c>
      <c r="P1393" s="81" t="s">
        <v>2187</v>
      </c>
      <c r="Q1393" s="81" t="s">
        <v>43</v>
      </c>
      <c r="R1393" s="81" t="s">
        <v>46</v>
      </c>
      <c r="S1393" s="81" t="s">
        <v>46</v>
      </c>
      <c r="T1393" s="81" t="s">
        <v>48</v>
      </c>
      <c r="U1393" s="81" t="s">
        <v>48</v>
      </c>
      <c r="V1393" s="81" t="s">
        <v>48</v>
      </c>
      <c r="W1393" s="81" t="s">
        <v>49</v>
      </c>
      <c r="X1393" s="81" t="s">
        <v>48</v>
      </c>
      <c r="Y1393" s="81" t="s">
        <v>48</v>
      </c>
    </row>
    <row r="1394" spans="1:25" x14ac:dyDescent="0.3">
      <c r="A1394" s="16">
        <v>7501563611809</v>
      </c>
      <c r="B1394" s="81" t="s">
        <v>43</v>
      </c>
      <c r="C1394" s="81" t="s">
        <v>1233</v>
      </c>
      <c r="D1394" s="81" t="s">
        <v>45</v>
      </c>
      <c r="E1394" s="81" t="s">
        <v>2227</v>
      </c>
      <c r="F1394" s="81" t="s">
        <v>2227</v>
      </c>
      <c r="G1394" s="81" t="s">
        <v>3248</v>
      </c>
      <c r="H1394" s="81" t="s">
        <v>3827</v>
      </c>
      <c r="I1394" s="81" t="s">
        <v>6604</v>
      </c>
      <c r="J1394" s="81" t="s">
        <v>2186</v>
      </c>
      <c r="K1394" s="81" t="s">
        <v>6604</v>
      </c>
      <c r="L1394" s="81" t="s">
        <v>2392</v>
      </c>
      <c r="M1394" s="81" t="s">
        <v>6604</v>
      </c>
      <c r="N1394" s="81" t="s">
        <v>2231</v>
      </c>
      <c r="O1394" s="81" t="s">
        <v>2187</v>
      </c>
      <c r="P1394" s="81" t="s">
        <v>2187</v>
      </c>
      <c r="Q1394" s="81" t="s">
        <v>43</v>
      </c>
      <c r="R1394" s="81" t="s">
        <v>122</v>
      </c>
      <c r="S1394" s="81" t="s">
        <v>123</v>
      </c>
      <c r="T1394" s="81" t="s">
        <v>48</v>
      </c>
      <c r="U1394" s="81" t="s">
        <v>48</v>
      </c>
      <c r="V1394" s="81" t="s">
        <v>49</v>
      </c>
      <c r="W1394" s="81" t="s">
        <v>48</v>
      </c>
      <c r="X1394" s="81" t="s">
        <v>48</v>
      </c>
      <c r="Y1394" s="81" t="s">
        <v>48</v>
      </c>
    </row>
    <row r="1395" spans="1:25" x14ac:dyDescent="0.3">
      <c r="A1395" s="16">
        <v>7502208894892</v>
      </c>
      <c r="B1395" s="81" t="s">
        <v>43</v>
      </c>
      <c r="C1395" s="81" t="s">
        <v>2163</v>
      </c>
      <c r="D1395" s="81" t="s">
        <v>45</v>
      </c>
      <c r="E1395" s="81" t="s">
        <v>2427</v>
      </c>
      <c r="F1395" s="81" t="s">
        <v>2428</v>
      </c>
      <c r="G1395" s="81" t="s">
        <v>2301</v>
      </c>
      <c r="H1395" s="81" t="s">
        <v>2236</v>
      </c>
      <c r="I1395" s="81" t="s">
        <v>6605</v>
      </c>
      <c r="J1395" s="81" t="s">
        <v>2186</v>
      </c>
      <c r="K1395" s="81" t="s">
        <v>6605</v>
      </c>
      <c r="L1395" s="81" t="s">
        <v>2392</v>
      </c>
      <c r="M1395" s="81" t="s">
        <v>6605</v>
      </c>
      <c r="N1395" s="81" t="s">
        <v>2231</v>
      </c>
      <c r="O1395" s="81" t="s">
        <v>2187</v>
      </c>
      <c r="P1395" s="81" t="s">
        <v>2187</v>
      </c>
      <c r="Q1395" s="81" t="s">
        <v>43</v>
      </c>
      <c r="R1395" s="81" t="s">
        <v>468</v>
      </c>
      <c r="S1395" s="81" t="s">
        <v>47</v>
      </c>
      <c r="T1395" s="81" t="s">
        <v>48</v>
      </c>
      <c r="U1395" s="81" t="s">
        <v>48</v>
      </c>
      <c r="V1395" s="81" t="s">
        <v>48</v>
      </c>
      <c r="W1395" s="81" t="s">
        <v>49</v>
      </c>
      <c r="X1395" s="81" t="s">
        <v>48</v>
      </c>
      <c r="Y1395" s="81" t="s">
        <v>48</v>
      </c>
    </row>
    <row r="1396" spans="1:25" x14ac:dyDescent="0.3">
      <c r="A1396" s="16">
        <v>7501943471900</v>
      </c>
      <c r="B1396" s="81" t="s">
        <v>43</v>
      </c>
      <c r="C1396" s="81" t="s">
        <v>2040</v>
      </c>
      <c r="D1396" s="81" t="s">
        <v>45</v>
      </c>
      <c r="E1396" s="81" t="s">
        <v>2227</v>
      </c>
      <c r="F1396" s="81" t="s">
        <v>2227</v>
      </c>
      <c r="G1396" s="81" t="s">
        <v>4328</v>
      </c>
      <c r="H1396" s="81" t="s">
        <v>3504</v>
      </c>
      <c r="I1396" s="81" t="s">
        <v>6606</v>
      </c>
      <c r="J1396" s="81" t="s">
        <v>2186</v>
      </c>
      <c r="K1396" s="81" t="s">
        <v>6606</v>
      </c>
      <c r="L1396" s="81" t="s">
        <v>2392</v>
      </c>
      <c r="M1396" s="81" t="s">
        <v>6606</v>
      </c>
      <c r="N1396" s="81" t="s">
        <v>2231</v>
      </c>
      <c r="O1396" s="81" t="s">
        <v>2187</v>
      </c>
      <c r="P1396" s="81" t="s">
        <v>2187</v>
      </c>
      <c r="Q1396" s="81" t="s">
        <v>43</v>
      </c>
      <c r="R1396" s="81" t="s">
        <v>524</v>
      </c>
      <c r="S1396" s="81" t="s">
        <v>525</v>
      </c>
      <c r="T1396" s="81" t="s">
        <v>48</v>
      </c>
      <c r="U1396" s="81" t="s">
        <v>48</v>
      </c>
      <c r="V1396" s="81" t="s">
        <v>49</v>
      </c>
      <c r="W1396" s="81" t="s">
        <v>48</v>
      </c>
      <c r="X1396" s="81" t="s">
        <v>48</v>
      </c>
      <c r="Y1396" s="81" t="s">
        <v>48</v>
      </c>
    </row>
    <row r="1397" spans="1:25" x14ac:dyDescent="0.3">
      <c r="A1397" s="16">
        <v>7502216793378</v>
      </c>
      <c r="B1397" s="81" t="s">
        <v>43</v>
      </c>
      <c r="C1397" s="81" t="s">
        <v>2041</v>
      </c>
      <c r="D1397" s="81" t="s">
        <v>45</v>
      </c>
      <c r="E1397" s="81" t="s">
        <v>2227</v>
      </c>
      <c r="F1397" s="81" t="s">
        <v>2227</v>
      </c>
      <c r="G1397" s="81" t="s">
        <v>4731</v>
      </c>
      <c r="H1397" s="81" t="s">
        <v>2209</v>
      </c>
      <c r="I1397" s="81" t="s">
        <v>6607</v>
      </c>
      <c r="J1397" s="81" t="s">
        <v>2186</v>
      </c>
      <c r="K1397" s="81" t="s">
        <v>6607</v>
      </c>
      <c r="L1397" s="81" t="s">
        <v>2392</v>
      </c>
      <c r="M1397" s="81" t="s">
        <v>6607</v>
      </c>
      <c r="N1397" s="81" t="s">
        <v>2231</v>
      </c>
      <c r="O1397" s="81" t="s">
        <v>2187</v>
      </c>
      <c r="P1397" s="81" t="s">
        <v>2187</v>
      </c>
      <c r="Q1397" s="81" t="s">
        <v>43</v>
      </c>
      <c r="R1397" s="81" t="s">
        <v>46</v>
      </c>
      <c r="S1397" s="81" t="s">
        <v>46</v>
      </c>
      <c r="T1397" s="81" t="s">
        <v>48</v>
      </c>
      <c r="U1397" s="81" t="s">
        <v>48</v>
      </c>
      <c r="V1397" s="81" t="s">
        <v>48</v>
      </c>
      <c r="W1397" s="81" t="s">
        <v>49</v>
      </c>
      <c r="X1397" s="81" t="s">
        <v>48</v>
      </c>
      <c r="Y1397" s="81" t="s">
        <v>48</v>
      </c>
    </row>
    <row r="1398" spans="1:25" x14ac:dyDescent="0.3">
      <c r="A1398" s="16">
        <v>7501300407276</v>
      </c>
      <c r="B1398" s="81" t="s">
        <v>43</v>
      </c>
      <c r="C1398" s="81" t="s">
        <v>1234</v>
      </c>
      <c r="D1398" s="81" t="s">
        <v>45</v>
      </c>
      <c r="E1398" s="81" t="s">
        <v>2227</v>
      </c>
      <c r="F1398" s="81" t="s">
        <v>2227</v>
      </c>
      <c r="G1398" s="81" t="s">
        <v>3829</v>
      </c>
      <c r="H1398" s="81" t="s">
        <v>2928</v>
      </c>
      <c r="I1398" s="81" t="s">
        <v>6608</v>
      </c>
      <c r="J1398" s="81" t="s">
        <v>2186</v>
      </c>
      <c r="K1398" s="81" t="s">
        <v>6608</v>
      </c>
      <c r="L1398" s="81" t="s">
        <v>2392</v>
      </c>
      <c r="M1398" s="81" t="s">
        <v>6608</v>
      </c>
      <c r="N1398" s="81" t="s">
        <v>2231</v>
      </c>
      <c r="O1398" s="81" t="s">
        <v>2187</v>
      </c>
      <c r="P1398" s="81" t="s">
        <v>2187</v>
      </c>
      <c r="Q1398" s="81" t="s">
        <v>43</v>
      </c>
      <c r="R1398" s="81" t="s">
        <v>101</v>
      </c>
      <c r="S1398" s="81" t="s">
        <v>101</v>
      </c>
      <c r="T1398" s="81" t="s">
        <v>48</v>
      </c>
      <c r="U1398" s="81" t="s">
        <v>48</v>
      </c>
      <c r="V1398" s="81" t="s">
        <v>48</v>
      </c>
      <c r="W1398" s="81" t="s">
        <v>49</v>
      </c>
      <c r="X1398" s="81" t="s">
        <v>48</v>
      </c>
      <c r="Y1398" s="81" t="s">
        <v>48</v>
      </c>
    </row>
    <row r="1399" spans="1:25" x14ac:dyDescent="0.3">
      <c r="A1399" s="16">
        <v>7501165006430</v>
      </c>
      <c r="B1399" s="81" t="s">
        <v>43</v>
      </c>
      <c r="C1399" s="81" t="s">
        <v>1235</v>
      </c>
      <c r="D1399" s="81" t="s">
        <v>45</v>
      </c>
      <c r="E1399" s="81" t="s">
        <v>2368</v>
      </c>
      <c r="F1399" s="81" t="s">
        <v>2369</v>
      </c>
      <c r="G1399" s="81" t="s">
        <v>3830</v>
      </c>
      <c r="H1399" s="81" t="s">
        <v>3218</v>
      </c>
      <c r="I1399" s="81" t="s">
        <v>6609</v>
      </c>
      <c r="J1399" s="81" t="s">
        <v>2186</v>
      </c>
      <c r="K1399" s="81" t="s">
        <v>6609</v>
      </c>
      <c r="L1399" s="81" t="s">
        <v>2392</v>
      </c>
      <c r="M1399" s="81" t="s">
        <v>6609</v>
      </c>
      <c r="N1399" s="81" t="s">
        <v>2231</v>
      </c>
      <c r="O1399" s="81" t="s">
        <v>2187</v>
      </c>
      <c r="P1399" s="81" t="s">
        <v>2187</v>
      </c>
      <c r="Q1399" s="81" t="s">
        <v>43</v>
      </c>
      <c r="R1399" s="81" t="s">
        <v>203</v>
      </c>
      <c r="S1399" s="81" t="s">
        <v>203</v>
      </c>
      <c r="T1399" s="81" t="s">
        <v>48</v>
      </c>
      <c r="U1399" s="81" t="s">
        <v>48</v>
      </c>
      <c r="V1399" s="81" t="s">
        <v>48</v>
      </c>
      <c r="W1399" s="81" t="s">
        <v>49</v>
      </c>
      <c r="X1399" s="81" t="s">
        <v>48</v>
      </c>
      <c r="Y1399" s="81" t="s">
        <v>48</v>
      </c>
    </row>
    <row r="1400" spans="1:25" x14ac:dyDescent="0.3">
      <c r="A1400" s="16">
        <v>7891317019747</v>
      </c>
      <c r="B1400" s="81" t="s">
        <v>43</v>
      </c>
      <c r="C1400" s="81" t="s">
        <v>2042</v>
      </c>
      <c r="D1400" s="81" t="s">
        <v>45</v>
      </c>
      <c r="E1400" s="81" t="s">
        <v>2215</v>
      </c>
      <c r="F1400" s="81" t="s">
        <v>2216</v>
      </c>
      <c r="G1400" s="81" t="s">
        <v>3831</v>
      </c>
      <c r="H1400" s="81" t="s">
        <v>6610</v>
      </c>
      <c r="I1400" s="81" t="s">
        <v>6611</v>
      </c>
      <c r="J1400" s="81" t="s">
        <v>2186</v>
      </c>
      <c r="K1400" s="81" t="s">
        <v>6611</v>
      </c>
      <c r="L1400" s="81" t="s">
        <v>2392</v>
      </c>
      <c r="M1400" s="81" t="s">
        <v>6611</v>
      </c>
      <c r="N1400" s="81" t="s">
        <v>2231</v>
      </c>
      <c r="O1400" s="81" t="s">
        <v>2187</v>
      </c>
      <c r="P1400" s="81" t="s">
        <v>2187</v>
      </c>
      <c r="Q1400" s="81" t="s">
        <v>707</v>
      </c>
      <c r="R1400" s="81" t="s">
        <v>46</v>
      </c>
      <c r="S1400" s="81" t="s">
        <v>46</v>
      </c>
      <c r="T1400" s="81" t="s">
        <v>48</v>
      </c>
      <c r="U1400" s="81" t="s">
        <v>48</v>
      </c>
      <c r="V1400" s="81" t="s">
        <v>48</v>
      </c>
      <c r="W1400" s="81" t="s">
        <v>49</v>
      </c>
      <c r="X1400" s="81" t="s">
        <v>48</v>
      </c>
      <c r="Y1400" s="81" t="s">
        <v>48</v>
      </c>
    </row>
    <row r="1401" spans="1:25" x14ac:dyDescent="0.3">
      <c r="A1401" s="16">
        <v>7501048780235</v>
      </c>
      <c r="B1401" s="81" t="s">
        <v>43</v>
      </c>
      <c r="C1401" s="81" t="s">
        <v>1236</v>
      </c>
      <c r="D1401" s="81" t="s">
        <v>45</v>
      </c>
      <c r="E1401" s="81" t="s">
        <v>2227</v>
      </c>
      <c r="F1401" s="81" t="s">
        <v>2227</v>
      </c>
      <c r="G1401" s="81" t="s">
        <v>3081</v>
      </c>
      <c r="H1401" s="81" t="s">
        <v>6612</v>
      </c>
      <c r="I1401" s="81" t="s">
        <v>6613</v>
      </c>
      <c r="J1401" s="81" t="s">
        <v>2186</v>
      </c>
      <c r="K1401" s="81" t="s">
        <v>6613</v>
      </c>
      <c r="L1401" s="81" t="s">
        <v>2392</v>
      </c>
      <c r="M1401" s="81" t="s">
        <v>6613</v>
      </c>
      <c r="N1401" s="81" t="s">
        <v>2231</v>
      </c>
      <c r="O1401" s="81" t="s">
        <v>2187</v>
      </c>
      <c r="P1401" s="81" t="s">
        <v>2187</v>
      </c>
      <c r="Q1401" s="81" t="s">
        <v>43</v>
      </c>
      <c r="R1401" s="81" t="s">
        <v>1191</v>
      </c>
      <c r="S1401" s="81" t="s">
        <v>1192</v>
      </c>
      <c r="T1401" s="81" t="s">
        <v>48</v>
      </c>
      <c r="U1401" s="81" t="s">
        <v>48</v>
      </c>
      <c r="V1401" s="81" t="s">
        <v>49</v>
      </c>
      <c r="W1401" s="81" t="s">
        <v>48</v>
      </c>
      <c r="X1401" s="81" t="s">
        <v>48</v>
      </c>
      <c r="Y1401" s="81" t="s">
        <v>48</v>
      </c>
    </row>
    <row r="1402" spans="1:25" x14ac:dyDescent="0.3">
      <c r="A1402" s="16">
        <v>7501061810032</v>
      </c>
      <c r="B1402" s="81" t="s">
        <v>43</v>
      </c>
      <c r="C1402" s="81" t="s">
        <v>1237</v>
      </c>
      <c r="D1402" s="81" t="s">
        <v>45</v>
      </c>
      <c r="E1402" s="81" t="s">
        <v>2227</v>
      </c>
      <c r="F1402" s="81" t="s">
        <v>2227</v>
      </c>
      <c r="G1402" s="81" t="s">
        <v>3832</v>
      </c>
      <c r="H1402" s="81" t="s">
        <v>3257</v>
      </c>
      <c r="I1402" s="81" t="s">
        <v>6614</v>
      </c>
      <c r="J1402" s="81" t="s">
        <v>2186</v>
      </c>
      <c r="K1402" s="81" t="s">
        <v>6614</v>
      </c>
      <c r="L1402" s="81" t="s">
        <v>2392</v>
      </c>
      <c r="M1402" s="81" t="s">
        <v>6614</v>
      </c>
      <c r="N1402" s="81" t="s">
        <v>2231</v>
      </c>
      <c r="O1402" s="81" t="s">
        <v>2187</v>
      </c>
      <c r="P1402" s="81" t="s">
        <v>2187</v>
      </c>
      <c r="Q1402" s="81" t="s">
        <v>43</v>
      </c>
      <c r="R1402" s="81" t="s">
        <v>524</v>
      </c>
      <c r="S1402" s="81" t="s">
        <v>525</v>
      </c>
      <c r="T1402" s="81" t="s">
        <v>48</v>
      </c>
      <c r="U1402" s="81" t="s">
        <v>48</v>
      </c>
      <c r="V1402" s="81" t="s">
        <v>49</v>
      </c>
      <c r="W1402" s="81" t="s">
        <v>48</v>
      </c>
      <c r="X1402" s="81" t="s">
        <v>48</v>
      </c>
      <c r="Y1402" s="81" t="s">
        <v>48</v>
      </c>
    </row>
    <row r="1403" spans="1:25" x14ac:dyDescent="0.3">
      <c r="A1403" s="16">
        <v>7501590222221</v>
      </c>
      <c r="B1403" s="81" t="s">
        <v>43</v>
      </c>
      <c r="C1403" s="81" t="s">
        <v>1238</v>
      </c>
      <c r="D1403" s="81" t="s">
        <v>45</v>
      </c>
      <c r="E1403" s="81" t="s">
        <v>2227</v>
      </c>
      <c r="F1403" s="81" t="s">
        <v>2227</v>
      </c>
      <c r="G1403" s="81" t="s">
        <v>3833</v>
      </c>
      <c r="H1403" s="81" t="s">
        <v>2400</v>
      </c>
      <c r="I1403" s="81" t="s">
        <v>3688</v>
      </c>
      <c r="J1403" s="81" t="s">
        <v>2186</v>
      </c>
      <c r="K1403" s="81" t="s">
        <v>3688</v>
      </c>
      <c r="L1403" s="81" t="s">
        <v>2392</v>
      </c>
      <c r="M1403" s="81" t="s">
        <v>3688</v>
      </c>
      <c r="N1403" s="81" t="s">
        <v>2231</v>
      </c>
      <c r="O1403" s="81" t="s">
        <v>2187</v>
      </c>
      <c r="P1403" s="81" t="s">
        <v>2187</v>
      </c>
      <c r="Q1403" s="81" t="s">
        <v>43</v>
      </c>
      <c r="R1403" s="81" t="s">
        <v>101</v>
      </c>
      <c r="S1403" s="81" t="s">
        <v>101</v>
      </c>
      <c r="T1403" s="81" t="s">
        <v>48</v>
      </c>
      <c r="U1403" s="81" t="s">
        <v>48</v>
      </c>
      <c r="V1403" s="81" t="s">
        <v>48</v>
      </c>
      <c r="W1403" s="81" t="s">
        <v>49</v>
      </c>
      <c r="X1403" s="81" t="s">
        <v>48</v>
      </c>
      <c r="Y1403" s="81" t="s">
        <v>48</v>
      </c>
    </row>
    <row r="1404" spans="1:25" x14ac:dyDescent="0.3">
      <c r="A1404" s="16">
        <v>780083142827</v>
      </c>
      <c r="B1404" s="81" t="s">
        <v>43</v>
      </c>
      <c r="C1404" s="81" t="s">
        <v>1239</v>
      </c>
      <c r="D1404" s="81" t="s">
        <v>45</v>
      </c>
      <c r="E1404" s="81" t="s">
        <v>2227</v>
      </c>
      <c r="F1404" s="81" t="s">
        <v>2227</v>
      </c>
      <c r="G1404" s="81" t="s">
        <v>3834</v>
      </c>
      <c r="H1404" s="81" t="s">
        <v>2223</v>
      </c>
      <c r="I1404" s="81" t="s">
        <v>6615</v>
      </c>
      <c r="J1404" s="81" t="s">
        <v>2186</v>
      </c>
      <c r="K1404" s="81" t="s">
        <v>6615</v>
      </c>
      <c r="L1404" s="81" t="s">
        <v>2392</v>
      </c>
      <c r="M1404" s="81" t="s">
        <v>6615</v>
      </c>
      <c r="N1404" s="81" t="s">
        <v>2231</v>
      </c>
      <c r="O1404" s="81" t="s">
        <v>2187</v>
      </c>
      <c r="P1404" s="81" t="s">
        <v>2187</v>
      </c>
      <c r="Q1404" s="81" t="s">
        <v>43</v>
      </c>
      <c r="R1404" s="81" t="s">
        <v>46</v>
      </c>
      <c r="S1404" s="81" t="s">
        <v>46</v>
      </c>
      <c r="T1404" s="81" t="s">
        <v>48</v>
      </c>
      <c r="U1404" s="81" t="s">
        <v>48</v>
      </c>
      <c r="V1404" s="81" t="s">
        <v>48</v>
      </c>
      <c r="W1404" s="81" t="s">
        <v>49</v>
      </c>
      <c r="X1404" s="81" t="s">
        <v>48</v>
      </c>
      <c r="Y1404" s="81" t="s">
        <v>48</v>
      </c>
    </row>
    <row r="1405" spans="1:25" x14ac:dyDescent="0.3">
      <c r="A1405" s="16">
        <v>785120755497</v>
      </c>
      <c r="B1405" s="81" t="s">
        <v>43</v>
      </c>
      <c r="C1405" s="81" t="s">
        <v>2043</v>
      </c>
      <c r="D1405" s="81" t="s">
        <v>45</v>
      </c>
      <c r="E1405" s="81" t="s">
        <v>2227</v>
      </c>
      <c r="F1405" s="81" t="s">
        <v>2227</v>
      </c>
      <c r="G1405" s="81" t="s">
        <v>5041</v>
      </c>
      <c r="H1405" s="81" t="s">
        <v>2441</v>
      </c>
      <c r="I1405" s="81" t="s">
        <v>5533</v>
      </c>
      <c r="J1405" s="81" t="s">
        <v>2186</v>
      </c>
      <c r="K1405" s="81" t="s">
        <v>5533</v>
      </c>
      <c r="L1405" s="81" t="s">
        <v>2392</v>
      </c>
      <c r="M1405" s="81" t="s">
        <v>5533</v>
      </c>
      <c r="N1405" s="81" t="s">
        <v>2231</v>
      </c>
      <c r="O1405" s="81" t="s">
        <v>2187</v>
      </c>
      <c r="P1405" s="81" t="s">
        <v>2187</v>
      </c>
      <c r="Q1405" s="81" t="s">
        <v>43</v>
      </c>
      <c r="R1405" s="81" t="s">
        <v>51</v>
      </c>
      <c r="S1405" s="81" t="s">
        <v>81</v>
      </c>
      <c r="T1405" s="81" t="s">
        <v>48</v>
      </c>
      <c r="U1405" s="81" t="s">
        <v>48</v>
      </c>
      <c r="V1405" s="81" t="s">
        <v>48</v>
      </c>
      <c r="W1405" s="81" t="s">
        <v>49</v>
      </c>
      <c r="X1405" s="81" t="s">
        <v>48</v>
      </c>
      <c r="Y1405" s="81" t="s">
        <v>48</v>
      </c>
    </row>
    <row r="1406" spans="1:25" x14ac:dyDescent="0.3">
      <c r="A1406" s="16">
        <v>759684076152</v>
      </c>
      <c r="B1406" s="81" t="s">
        <v>43</v>
      </c>
      <c r="C1406" s="81" t="s">
        <v>1240</v>
      </c>
      <c r="D1406" s="81" t="s">
        <v>45</v>
      </c>
      <c r="E1406" s="81" t="s">
        <v>2227</v>
      </c>
      <c r="F1406" s="81" t="s">
        <v>2227</v>
      </c>
      <c r="G1406" s="81" t="s">
        <v>3748</v>
      </c>
      <c r="H1406" s="81" t="s">
        <v>3041</v>
      </c>
      <c r="I1406" s="81" t="s">
        <v>6616</v>
      </c>
      <c r="J1406" s="81" t="s">
        <v>2186</v>
      </c>
      <c r="K1406" s="81" t="s">
        <v>6616</v>
      </c>
      <c r="L1406" s="81" t="s">
        <v>2392</v>
      </c>
      <c r="M1406" s="81" t="s">
        <v>6616</v>
      </c>
      <c r="N1406" s="81" t="s">
        <v>2231</v>
      </c>
      <c r="O1406" s="81" t="s">
        <v>2187</v>
      </c>
      <c r="P1406" s="81" t="s">
        <v>2187</v>
      </c>
      <c r="Q1406" s="81" t="s">
        <v>43</v>
      </c>
      <c r="R1406" s="81" t="s">
        <v>122</v>
      </c>
      <c r="S1406" s="81" t="s">
        <v>123</v>
      </c>
      <c r="T1406" s="81" t="s">
        <v>48</v>
      </c>
      <c r="U1406" s="81" t="s">
        <v>48</v>
      </c>
      <c r="V1406" s="81" t="s">
        <v>49</v>
      </c>
      <c r="W1406" s="81" t="s">
        <v>48</v>
      </c>
      <c r="X1406" s="81" t="s">
        <v>48</v>
      </c>
      <c r="Y1406" s="81" t="s">
        <v>48</v>
      </c>
    </row>
    <row r="1407" spans="1:25" x14ac:dyDescent="0.3">
      <c r="A1407" s="16">
        <v>7891024028827</v>
      </c>
      <c r="B1407" s="81" t="s">
        <v>43</v>
      </c>
      <c r="C1407" s="81" t="s">
        <v>1241</v>
      </c>
      <c r="D1407" s="81" t="s">
        <v>45</v>
      </c>
      <c r="E1407" s="81" t="s">
        <v>2227</v>
      </c>
      <c r="F1407" s="81" t="s">
        <v>2227</v>
      </c>
      <c r="G1407" s="81" t="s">
        <v>5423</v>
      </c>
      <c r="H1407" s="81" t="s">
        <v>3350</v>
      </c>
      <c r="I1407" s="81" t="s">
        <v>6617</v>
      </c>
      <c r="J1407" s="81" t="s">
        <v>2186</v>
      </c>
      <c r="K1407" s="81" t="s">
        <v>6617</v>
      </c>
      <c r="L1407" s="81" t="s">
        <v>2392</v>
      </c>
      <c r="M1407" s="81" t="s">
        <v>6617</v>
      </c>
      <c r="N1407" s="81" t="s">
        <v>2231</v>
      </c>
      <c r="O1407" s="81" t="s">
        <v>2187</v>
      </c>
      <c r="P1407" s="81" t="s">
        <v>2187</v>
      </c>
      <c r="Q1407" s="81" t="s">
        <v>43</v>
      </c>
      <c r="R1407" s="81" t="s">
        <v>524</v>
      </c>
      <c r="S1407" s="81" t="s">
        <v>525</v>
      </c>
      <c r="T1407" s="81" t="s">
        <v>48</v>
      </c>
      <c r="U1407" s="81" t="s">
        <v>48</v>
      </c>
      <c r="V1407" s="81" t="s">
        <v>49</v>
      </c>
      <c r="W1407" s="81" t="s">
        <v>48</v>
      </c>
      <c r="X1407" s="81" t="s">
        <v>48</v>
      </c>
      <c r="Y1407" s="81" t="s">
        <v>48</v>
      </c>
    </row>
    <row r="1408" spans="1:25" x14ac:dyDescent="0.3">
      <c r="A1408" s="16">
        <v>7502216800984</v>
      </c>
      <c r="B1408" s="81" t="s">
        <v>43</v>
      </c>
      <c r="C1408" s="81" t="s">
        <v>1672</v>
      </c>
      <c r="D1408" s="81" t="s">
        <v>45</v>
      </c>
      <c r="E1408" s="81" t="s">
        <v>2227</v>
      </c>
      <c r="F1408" s="81" t="s">
        <v>2227</v>
      </c>
      <c r="G1408" s="81" t="s">
        <v>3836</v>
      </c>
      <c r="H1408" s="81" t="s">
        <v>2279</v>
      </c>
      <c r="I1408" s="81" t="s">
        <v>6618</v>
      </c>
      <c r="J1408" s="81" t="s">
        <v>2186</v>
      </c>
      <c r="K1408" s="81" t="s">
        <v>6618</v>
      </c>
      <c r="L1408" s="81" t="s">
        <v>2392</v>
      </c>
      <c r="M1408" s="81" t="s">
        <v>6618</v>
      </c>
      <c r="N1408" s="81" t="s">
        <v>2231</v>
      </c>
      <c r="O1408" s="81" t="s">
        <v>2187</v>
      </c>
      <c r="P1408" s="81" t="s">
        <v>2187</v>
      </c>
      <c r="Q1408" s="81" t="s">
        <v>43</v>
      </c>
      <c r="R1408" s="81" t="s">
        <v>46</v>
      </c>
      <c r="S1408" s="81" t="s">
        <v>46</v>
      </c>
      <c r="T1408" s="81" t="s">
        <v>48</v>
      </c>
      <c r="U1408" s="81" t="s">
        <v>48</v>
      </c>
      <c r="V1408" s="81" t="s">
        <v>48</v>
      </c>
      <c r="W1408" s="81" t="s">
        <v>49</v>
      </c>
      <c r="X1408" s="81" t="s">
        <v>48</v>
      </c>
      <c r="Y1408" s="81" t="s">
        <v>48</v>
      </c>
    </row>
    <row r="1409" spans="1:25" x14ac:dyDescent="0.3">
      <c r="A1409" s="16">
        <v>7503028771684</v>
      </c>
      <c r="B1409" s="81" t="s">
        <v>43</v>
      </c>
      <c r="C1409" s="81" t="s">
        <v>2164</v>
      </c>
      <c r="D1409" s="81" t="s">
        <v>45</v>
      </c>
      <c r="E1409" s="81" t="s">
        <v>2227</v>
      </c>
      <c r="F1409" s="81" t="s">
        <v>2227</v>
      </c>
      <c r="G1409" s="81" t="s">
        <v>5353</v>
      </c>
      <c r="H1409" s="81" t="s">
        <v>2220</v>
      </c>
      <c r="I1409" s="81" t="s">
        <v>5659</v>
      </c>
      <c r="J1409" s="81" t="s">
        <v>2186</v>
      </c>
      <c r="K1409" s="81" t="s">
        <v>5659</v>
      </c>
      <c r="L1409" s="81" t="s">
        <v>2392</v>
      </c>
      <c r="M1409" s="81" t="s">
        <v>5659</v>
      </c>
      <c r="N1409" s="81" t="s">
        <v>2231</v>
      </c>
      <c r="O1409" s="81" t="s">
        <v>2187</v>
      </c>
      <c r="P1409" s="81" t="s">
        <v>2187</v>
      </c>
      <c r="Q1409" s="81" t="s">
        <v>43</v>
      </c>
      <c r="R1409" s="81" t="s">
        <v>203</v>
      </c>
      <c r="S1409" s="81" t="s">
        <v>203</v>
      </c>
      <c r="T1409" s="81" t="s">
        <v>48</v>
      </c>
      <c r="U1409" s="81" t="s">
        <v>48</v>
      </c>
      <c r="V1409" s="81" t="s">
        <v>48</v>
      </c>
      <c r="W1409" s="81" t="s">
        <v>49</v>
      </c>
      <c r="X1409" s="81" t="s">
        <v>48</v>
      </c>
      <c r="Y1409" s="81" t="s">
        <v>48</v>
      </c>
    </row>
    <row r="1410" spans="1:25" x14ac:dyDescent="0.3">
      <c r="A1410" s="16">
        <v>729513130065</v>
      </c>
      <c r="B1410" s="81" t="s">
        <v>43</v>
      </c>
      <c r="C1410" s="81" t="s">
        <v>1242</v>
      </c>
      <c r="D1410" s="81" t="s">
        <v>45</v>
      </c>
      <c r="E1410" s="81" t="s">
        <v>2227</v>
      </c>
      <c r="F1410" s="81" t="s">
        <v>2227</v>
      </c>
      <c r="G1410" s="81" t="s">
        <v>2285</v>
      </c>
      <c r="H1410" s="81" t="s">
        <v>2867</v>
      </c>
      <c r="I1410" s="81" t="s">
        <v>6619</v>
      </c>
      <c r="J1410" s="81" t="s">
        <v>2186</v>
      </c>
      <c r="K1410" s="81" t="s">
        <v>6619</v>
      </c>
      <c r="L1410" s="81" t="s">
        <v>2392</v>
      </c>
      <c r="M1410" s="81" t="s">
        <v>6619</v>
      </c>
      <c r="N1410" s="81" t="s">
        <v>2231</v>
      </c>
      <c r="O1410" s="81" t="s">
        <v>2187</v>
      </c>
      <c r="P1410" s="81" t="s">
        <v>2187</v>
      </c>
      <c r="Q1410" s="81" t="s">
        <v>43</v>
      </c>
      <c r="R1410" s="81" t="s">
        <v>122</v>
      </c>
      <c r="S1410" s="81" t="s">
        <v>123</v>
      </c>
      <c r="T1410" s="81" t="s">
        <v>48</v>
      </c>
      <c r="U1410" s="81" t="s">
        <v>48</v>
      </c>
      <c r="V1410" s="81" t="s">
        <v>49</v>
      </c>
      <c r="W1410" s="81" t="s">
        <v>48</v>
      </c>
      <c r="X1410" s="81" t="s">
        <v>48</v>
      </c>
      <c r="Y1410" s="81" t="s">
        <v>48</v>
      </c>
    </row>
    <row r="1411" spans="1:25" x14ac:dyDescent="0.3">
      <c r="A1411" s="16">
        <v>759684352324</v>
      </c>
      <c r="B1411" s="81" t="s">
        <v>43</v>
      </c>
      <c r="C1411" s="81" t="s">
        <v>1243</v>
      </c>
      <c r="D1411" s="81" t="s">
        <v>45</v>
      </c>
      <c r="E1411" s="81" t="s">
        <v>2227</v>
      </c>
      <c r="F1411" s="81" t="s">
        <v>2227</v>
      </c>
      <c r="G1411" s="81" t="s">
        <v>3838</v>
      </c>
      <c r="H1411" s="81" t="s">
        <v>2867</v>
      </c>
      <c r="I1411" s="81" t="s">
        <v>6620</v>
      </c>
      <c r="J1411" s="81" t="s">
        <v>2186</v>
      </c>
      <c r="K1411" s="81" t="s">
        <v>6620</v>
      </c>
      <c r="L1411" s="81" t="s">
        <v>2392</v>
      </c>
      <c r="M1411" s="81" t="s">
        <v>6620</v>
      </c>
      <c r="N1411" s="81" t="s">
        <v>2231</v>
      </c>
      <c r="O1411" s="81" t="s">
        <v>2187</v>
      </c>
      <c r="P1411" s="81" t="s">
        <v>2187</v>
      </c>
      <c r="Q1411" s="81" t="s">
        <v>43</v>
      </c>
      <c r="R1411" s="81" t="s">
        <v>524</v>
      </c>
      <c r="S1411" s="81" t="s">
        <v>525</v>
      </c>
      <c r="T1411" s="81" t="s">
        <v>48</v>
      </c>
      <c r="U1411" s="81" t="s">
        <v>48</v>
      </c>
      <c r="V1411" s="81" t="s">
        <v>49</v>
      </c>
      <c r="W1411" s="81" t="s">
        <v>48</v>
      </c>
      <c r="X1411" s="81" t="s">
        <v>48</v>
      </c>
      <c r="Y1411" s="81" t="s">
        <v>48</v>
      </c>
    </row>
    <row r="1412" spans="1:25" x14ac:dyDescent="0.3">
      <c r="A1412" s="16">
        <v>7501626700778</v>
      </c>
      <c r="B1412" s="81" t="s">
        <v>43</v>
      </c>
      <c r="C1412" s="81" t="s">
        <v>1244</v>
      </c>
      <c r="D1412" s="81" t="s">
        <v>45</v>
      </c>
      <c r="E1412" s="81" t="s">
        <v>2227</v>
      </c>
      <c r="F1412" s="81" t="s">
        <v>2227</v>
      </c>
      <c r="G1412" s="81" t="s">
        <v>3839</v>
      </c>
      <c r="H1412" s="81" t="s">
        <v>3290</v>
      </c>
      <c r="I1412" s="81" t="s">
        <v>6621</v>
      </c>
      <c r="J1412" s="81" t="s">
        <v>2186</v>
      </c>
      <c r="K1412" s="81" t="s">
        <v>6621</v>
      </c>
      <c r="L1412" s="81" t="s">
        <v>2392</v>
      </c>
      <c r="M1412" s="81" t="s">
        <v>6621</v>
      </c>
      <c r="N1412" s="81" t="s">
        <v>2231</v>
      </c>
      <c r="O1412" s="81" t="s">
        <v>2187</v>
      </c>
      <c r="P1412" s="81" t="s">
        <v>2187</v>
      </c>
      <c r="Q1412" s="81" t="s">
        <v>43</v>
      </c>
      <c r="R1412" s="81" t="s">
        <v>46</v>
      </c>
      <c r="S1412" s="81" t="s">
        <v>46</v>
      </c>
      <c r="T1412" s="81" t="s">
        <v>48</v>
      </c>
      <c r="U1412" s="81" t="s">
        <v>48</v>
      </c>
      <c r="V1412" s="81" t="s">
        <v>49</v>
      </c>
      <c r="W1412" s="81" t="s">
        <v>48</v>
      </c>
      <c r="X1412" s="81" t="s">
        <v>48</v>
      </c>
      <c r="Y1412" s="81" t="s">
        <v>48</v>
      </c>
    </row>
    <row r="1413" spans="1:25" x14ac:dyDescent="0.3">
      <c r="A1413" s="16">
        <v>7501277028696</v>
      </c>
      <c r="B1413" s="81" t="s">
        <v>43</v>
      </c>
      <c r="C1413" s="81" t="s">
        <v>1245</v>
      </c>
      <c r="D1413" s="81" t="s">
        <v>45</v>
      </c>
      <c r="E1413" s="81" t="s">
        <v>2227</v>
      </c>
      <c r="F1413" s="81" t="s">
        <v>2227</v>
      </c>
      <c r="G1413" s="81" t="s">
        <v>3840</v>
      </c>
      <c r="H1413" s="81" t="s">
        <v>3841</v>
      </c>
      <c r="I1413" s="81" t="s">
        <v>6622</v>
      </c>
      <c r="J1413" s="81" t="s">
        <v>2186</v>
      </c>
      <c r="K1413" s="81" t="s">
        <v>6622</v>
      </c>
      <c r="L1413" s="81" t="s">
        <v>2392</v>
      </c>
      <c r="M1413" s="81" t="s">
        <v>6622</v>
      </c>
      <c r="N1413" s="81" t="s">
        <v>2231</v>
      </c>
      <c r="O1413" s="81" t="s">
        <v>2187</v>
      </c>
      <c r="P1413" s="81" t="s">
        <v>2187</v>
      </c>
      <c r="Q1413" s="81" t="s">
        <v>43</v>
      </c>
      <c r="R1413" s="81" t="s">
        <v>46</v>
      </c>
      <c r="S1413" s="81" t="s">
        <v>46</v>
      </c>
      <c r="T1413" s="81" t="s">
        <v>48</v>
      </c>
      <c r="U1413" s="81" t="s">
        <v>48</v>
      </c>
      <c r="V1413" s="81" t="s">
        <v>48</v>
      </c>
      <c r="W1413" s="81" t="s">
        <v>49</v>
      </c>
      <c r="X1413" s="81" t="s">
        <v>48</v>
      </c>
      <c r="Y1413" s="81" t="s">
        <v>48</v>
      </c>
    </row>
    <row r="1414" spans="1:25" x14ac:dyDescent="0.3">
      <c r="A1414" s="16">
        <v>7501303458503</v>
      </c>
      <c r="B1414" s="81" t="s">
        <v>43</v>
      </c>
      <c r="C1414" s="81" t="s">
        <v>1246</v>
      </c>
      <c r="D1414" s="81" t="s">
        <v>45</v>
      </c>
      <c r="E1414" s="81" t="s">
        <v>2227</v>
      </c>
      <c r="F1414" s="81" t="s">
        <v>2227</v>
      </c>
      <c r="G1414" s="81" t="s">
        <v>3843</v>
      </c>
      <c r="H1414" s="81" t="s">
        <v>3394</v>
      </c>
      <c r="I1414" s="81" t="s">
        <v>6623</v>
      </c>
      <c r="J1414" s="81" t="s">
        <v>2186</v>
      </c>
      <c r="K1414" s="81" t="s">
        <v>6623</v>
      </c>
      <c r="L1414" s="81" t="s">
        <v>2392</v>
      </c>
      <c r="M1414" s="81" t="s">
        <v>6623</v>
      </c>
      <c r="N1414" s="81" t="s">
        <v>2231</v>
      </c>
      <c r="O1414" s="81" t="s">
        <v>2187</v>
      </c>
      <c r="P1414" s="81" t="s">
        <v>2187</v>
      </c>
      <c r="Q1414" s="81" t="s">
        <v>43</v>
      </c>
      <c r="R1414" s="81" t="s">
        <v>46</v>
      </c>
      <c r="S1414" s="81" t="s">
        <v>46</v>
      </c>
      <c r="T1414" s="81" t="s">
        <v>48</v>
      </c>
      <c r="U1414" s="81" t="s">
        <v>48</v>
      </c>
      <c r="V1414" s="81" t="s">
        <v>48</v>
      </c>
      <c r="W1414" s="81" t="s">
        <v>49</v>
      </c>
      <c r="X1414" s="81" t="s">
        <v>48</v>
      </c>
      <c r="Y1414" s="81" t="s">
        <v>48</v>
      </c>
    </row>
    <row r="1415" spans="1:25" x14ac:dyDescent="0.3">
      <c r="A1415" s="16">
        <v>7506306206625</v>
      </c>
      <c r="B1415" s="81" t="s">
        <v>43</v>
      </c>
      <c r="C1415" s="81" t="s">
        <v>1247</v>
      </c>
      <c r="D1415" s="81" t="s">
        <v>45</v>
      </c>
      <c r="E1415" s="81" t="s">
        <v>2227</v>
      </c>
      <c r="F1415" s="81" t="s">
        <v>2227</v>
      </c>
      <c r="G1415" s="81" t="s">
        <v>3560</v>
      </c>
      <c r="H1415" s="81" t="s">
        <v>6334</v>
      </c>
      <c r="I1415" s="81" t="s">
        <v>6335</v>
      </c>
      <c r="J1415" s="81" t="s">
        <v>2186</v>
      </c>
      <c r="K1415" s="81" t="s">
        <v>6335</v>
      </c>
      <c r="L1415" s="81" t="s">
        <v>2392</v>
      </c>
      <c r="M1415" s="81" t="s">
        <v>6335</v>
      </c>
      <c r="N1415" s="81" t="s">
        <v>2231</v>
      </c>
      <c r="O1415" s="81" t="s">
        <v>2187</v>
      </c>
      <c r="P1415" s="81" t="s">
        <v>2187</v>
      </c>
      <c r="Q1415" s="81" t="s">
        <v>43</v>
      </c>
      <c r="R1415" s="81" t="s">
        <v>524</v>
      </c>
      <c r="S1415" s="81" t="s">
        <v>525</v>
      </c>
      <c r="T1415" s="81" t="s">
        <v>48</v>
      </c>
      <c r="U1415" s="81" t="s">
        <v>48</v>
      </c>
      <c r="V1415" s="81" t="s">
        <v>49</v>
      </c>
      <c r="W1415" s="81" t="s">
        <v>48</v>
      </c>
      <c r="X1415" s="81" t="s">
        <v>48</v>
      </c>
      <c r="Y1415" s="81" t="s">
        <v>48</v>
      </c>
    </row>
    <row r="1416" spans="1:25" x14ac:dyDescent="0.3">
      <c r="A1416" s="16">
        <v>7501125173547</v>
      </c>
      <c r="B1416" s="81" t="s">
        <v>43</v>
      </c>
      <c r="C1416" s="81" t="s">
        <v>1248</v>
      </c>
      <c r="D1416" s="81" t="s">
        <v>45</v>
      </c>
      <c r="E1416" s="81" t="s">
        <v>2878</v>
      </c>
      <c r="F1416" s="81" t="s">
        <v>2929</v>
      </c>
      <c r="G1416" s="81" t="s">
        <v>4768</v>
      </c>
      <c r="H1416" s="81" t="s">
        <v>2325</v>
      </c>
      <c r="I1416" s="81" t="s">
        <v>2331</v>
      </c>
      <c r="J1416" s="81" t="s">
        <v>2186</v>
      </c>
      <c r="K1416" s="81" t="s">
        <v>2331</v>
      </c>
      <c r="L1416" s="81" t="s">
        <v>2392</v>
      </c>
      <c r="M1416" s="81" t="s">
        <v>2331</v>
      </c>
      <c r="N1416" s="81" t="s">
        <v>2231</v>
      </c>
      <c r="O1416" s="81" t="s">
        <v>2187</v>
      </c>
      <c r="P1416" s="81" t="s">
        <v>2187</v>
      </c>
      <c r="Q1416" s="81" t="s">
        <v>43</v>
      </c>
      <c r="R1416" s="81" t="s">
        <v>122</v>
      </c>
      <c r="S1416" s="81" t="s">
        <v>123</v>
      </c>
      <c r="T1416" s="81" t="s">
        <v>48</v>
      </c>
      <c r="U1416" s="81" t="s">
        <v>48</v>
      </c>
      <c r="V1416" s="81" t="s">
        <v>48</v>
      </c>
      <c r="W1416" s="81" t="s">
        <v>49</v>
      </c>
      <c r="X1416" s="81" t="s">
        <v>48</v>
      </c>
      <c r="Y1416" s="81" t="s">
        <v>48</v>
      </c>
    </row>
    <row r="1417" spans="1:25" x14ac:dyDescent="0.3">
      <c r="A1417" s="16">
        <v>7702010631207</v>
      </c>
      <c r="B1417" s="81" t="s">
        <v>43</v>
      </c>
      <c r="C1417" s="81" t="s">
        <v>1249</v>
      </c>
      <c r="D1417" s="81" t="s">
        <v>45</v>
      </c>
      <c r="E1417" s="81" t="s">
        <v>2227</v>
      </c>
      <c r="F1417" s="81" t="s">
        <v>2227</v>
      </c>
      <c r="G1417" s="81" t="s">
        <v>3288</v>
      </c>
      <c r="H1417" s="81" t="s">
        <v>3224</v>
      </c>
      <c r="I1417" s="81" t="s">
        <v>3083</v>
      </c>
      <c r="J1417" s="81" t="s">
        <v>2186</v>
      </c>
      <c r="K1417" s="81" t="s">
        <v>3083</v>
      </c>
      <c r="L1417" s="81" t="s">
        <v>2392</v>
      </c>
      <c r="M1417" s="81" t="s">
        <v>3083</v>
      </c>
      <c r="N1417" s="81" t="s">
        <v>2231</v>
      </c>
      <c r="O1417" s="81" t="s">
        <v>2187</v>
      </c>
      <c r="P1417" s="81" t="s">
        <v>2187</v>
      </c>
      <c r="Q1417" s="81" t="s">
        <v>43</v>
      </c>
      <c r="R1417" s="81" t="s">
        <v>203</v>
      </c>
      <c r="S1417" s="81" t="s">
        <v>203</v>
      </c>
      <c r="T1417" s="81" t="s">
        <v>48</v>
      </c>
      <c r="U1417" s="81" t="s">
        <v>48</v>
      </c>
      <c r="V1417" s="81" t="s">
        <v>49</v>
      </c>
      <c r="W1417" s="81" t="s">
        <v>48</v>
      </c>
      <c r="X1417" s="81" t="s">
        <v>48</v>
      </c>
      <c r="Y1417" s="81" t="s">
        <v>48</v>
      </c>
    </row>
    <row r="1418" spans="1:25" x14ac:dyDescent="0.3">
      <c r="A1418" s="16">
        <v>7501027516299</v>
      </c>
      <c r="B1418" s="81" t="s">
        <v>43</v>
      </c>
      <c r="C1418" s="81" t="s">
        <v>1250</v>
      </c>
      <c r="D1418" s="81" t="s">
        <v>45</v>
      </c>
      <c r="E1418" s="81" t="s">
        <v>2227</v>
      </c>
      <c r="F1418" s="81" t="s">
        <v>2227</v>
      </c>
      <c r="G1418" s="81" t="s">
        <v>3844</v>
      </c>
      <c r="H1418" s="81" t="s">
        <v>4612</v>
      </c>
      <c r="I1418" s="81" t="s">
        <v>6624</v>
      </c>
      <c r="J1418" s="81" t="s">
        <v>2186</v>
      </c>
      <c r="K1418" s="81" t="s">
        <v>6624</v>
      </c>
      <c r="L1418" s="81" t="s">
        <v>2392</v>
      </c>
      <c r="M1418" s="81" t="s">
        <v>6624</v>
      </c>
      <c r="N1418" s="81" t="s">
        <v>2231</v>
      </c>
      <c r="O1418" s="81" t="s">
        <v>2187</v>
      </c>
      <c r="P1418" s="81" t="s">
        <v>2187</v>
      </c>
      <c r="Q1418" s="81" t="s">
        <v>43</v>
      </c>
      <c r="R1418" s="81" t="s">
        <v>203</v>
      </c>
      <c r="S1418" s="81" t="s">
        <v>203</v>
      </c>
      <c r="T1418" s="81" t="s">
        <v>48</v>
      </c>
      <c r="U1418" s="81" t="s">
        <v>48</v>
      </c>
      <c r="V1418" s="81" t="s">
        <v>49</v>
      </c>
      <c r="W1418" s="81" t="s">
        <v>48</v>
      </c>
      <c r="X1418" s="81" t="s">
        <v>48</v>
      </c>
      <c r="Y1418" s="81" t="s">
        <v>48</v>
      </c>
    </row>
    <row r="1419" spans="1:25" x14ac:dyDescent="0.3">
      <c r="A1419" s="16">
        <v>714706903359</v>
      </c>
      <c r="B1419" s="81" t="s">
        <v>43</v>
      </c>
      <c r="C1419" s="81" t="s">
        <v>1027</v>
      </c>
      <c r="D1419" s="81" t="s">
        <v>45</v>
      </c>
      <c r="E1419" s="81" t="s">
        <v>2227</v>
      </c>
      <c r="F1419" s="81" t="s">
        <v>2227</v>
      </c>
      <c r="G1419" s="81" t="s">
        <v>3845</v>
      </c>
      <c r="H1419" s="81" t="s">
        <v>2397</v>
      </c>
      <c r="I1419" s="81" t="s">
        <v>6038</v>
      </c>
      <c r="J1419" s="81" t="s">
        <v>2186</v>
      </c>
      <c r="K1419" s="81" t="s">
        <v>6038</v>
      </c>
      <c r="L1419" s="81" t="s">
        <v>2392</v>
      </c>
      <c r="M1419" s="81" t="s">
        <v>6038</v>
      </c>
      <c r="N1419" s="81" t="s">
        <v>2231</v>
      </c>
      <c r="O1419" s="81" t="s">
        <v>2187</v>
      </c>
      <c r="P1419" s="81" t="s">
        <v>2187</v>
      </c>
      <c r="Q1419" s="81" t="s">
        <v>43</v>
      </c>
      <c r="R1419" s="81" t="s">
        <v>46</v>
      </c>
      <c r="S1419" s="81" t="s">
        <v>46</v>
      </c>
      <c r="T1419" s="81" t="s">
        <v>48</v>
      </c>
      <c r="U1419" s="81" t="s">
        <v>48</v>
      </c>
      <c r="V1419" s="81" t="s">
        <v>48</v>
      </c>
      <c r="W1419" s="81" t="s">
        <v>49</v>
      </c>
      <c r="X1419" s="81" t="s">
        <v>48</v>
      </c>
      <c r="Y1419" s="81" t="s">
        <v>48</v>
      </c>
    </row>
    <row r="1420" spans="1:25" x14ac:dyDescent="0.3">
      <c r="A1420" s="16" t="s">
        <v>1251</v>
      </c>
      <c r="B1420" s="81" t="s">
        <v>43</v>
      </c>
      <c r="C1420" s="81" t="s">
        <v>1252</v>
      </c>
      <c r="D1420" s="81" t="s">
        <v>45</v>
      </c>
      <c r="E1420" s="81" t="s">
        <v>3163</v>
      </c>
      <c r="F1420" s="81" t="s">
        <v>3164</v>
      </c>
      <c r="G1420" s="81" t="s">
        <v>3846</v>
      </c>
      <c r="H1420" s="81" t="s">
        <v>2218</v>
      </c>
      <c r="I1420" s="81" t="s">
        <v>4578</v>
      </c>
      <c r="J1420" s="81" t="s">
        <v>2186</v>
      </c>
      <c r="K1420" s="81" t="s">
        <v>4578</v>
      </c>
      <c r="L1420" s="81" t="s">
        <v>2392</v>
      </c>
      <c r="M1420" s="81" t="s">
        <v>4578</v>
      </c>
      <c r="N1420" s="81" t="s">
        <v>2231</v>
      </c>
      <c r="O1420" s="81" t="s">
        <v>2187</v>
      </c>
      <c r="P1420" s="81" t="s">
        <v>2187</v>
      </c>
      <c r="Q1420" s="81" t="s">
        <v>43</v>
      </c>
      <c r="R1420" s="81" t="s">
        <v>51</v>
      </c>
      <c r="S1420" s="81" t="s">
        <v>73</v>
      </c>
      <c r="T1420" s="81" t="s">
        <v>49</v>
      </c>
      <c r="U1420" s="81" t="s">
        <v>48</v>
      </c>
      <c r="V1420" s="81" t="s">
        <v>48</v>
      </c>
      <c r="W1420" s="81" t="s">
        <v>49</v>
      </c>
      <c r="X1420" s="81" t="s">
        <v>48</v>
      </c>
      <c r="Y1420" s="81" t="s">
        <v>48</v>
      </c>
    </row>
    <row r="1421" spans="1:25" x14ac:dyDescent="0.3">
      <c r="A1421" s="16">
        <v>7502276040610</v>
      </c>
      <c r="B1421" s="81" t="s">
        <v>43</v>
      </c>
      <c r="C1421" s="81" t="s">
        <v>1253</v>
      </c>
      <c r="D1421" s="81" t="s">
        <v>45</v>
      </c>
      <c r="E1421" s="81" t="s">
        <v>2227</v>
      </c>
      <c r="F1421" s="81" t="s">
        <v>2227</v>
      </c>
      <c r="G1421" s="81" t="s">
        <v>3847</v>
      </c>
      <c r="H1421" s="81" t="s">
        <v>2424</v>
      </c>
      <c r="I1421" s="81" t="s">
        <v>6625</v>
      </c>
      <c r="J1421" s="81" t="s">
        <v>2186</v>
      </c>
      <c r="K1421" s="81" t="s">
        <v>6625</v>
      </c>
      <c r="L1421" s="81" t="s">
        <v>2392</v>
      </c>
      <c r="M1421" s="81" t="s">
        <v>6625</v>
      </c>
      <c r="N1421" s="81" t="s">
        <v>2231</v>
      </c>
      <c r="O1421" s="81" t="s">
        <v>2187</v>
      </c>
      <c r="P1421" s="81" t="s">
        <v>2187</v>
      </c>
      <c r="Q1421" s="81" t="s">
        <v>43</v>
      </c>
      <c r="R1421" s="81" t="s">
        <v>203</v>
      </c>
      <c r="S1421" s="81" t="s">
        <v>203</v>
      </c>
      <c r="T1421" s="81" t="s">
        <v>48</v>
      </c>
      <c r="U1421" s="81" t="s">
        <v>48</v>
      </c>
      <c r="V1421" s="81" t="s">
        <v>48</v>
      </c>
      <c r="W1421" s="81" t="s">
        <v>49</v>
      </c>
      <c r="X1421" s="81" t="s">
        <v>48</v>
      </c>
      <c r="Y1421" s="81" t="s">
        <v>48</v>
      </c>
    </row>
    <row r="1422" spans="1:25" x14ac:dyDescent="0.3">
      <c r="A1422" s="16">
        <v>7502216808478</v>
      </c>
      <c r="B1422" s="81" t="s">
        <v>43</v>
      </c>
      <c r="C1422" s="81" t="s">
        <v>1254</v>
      </c>
      <c r="D1422" s="81" t="s">
        <v>45</v>
      </c>
      <c r="E1422" s="81" t="s">
        <v>2227</v>
      </c>
      <c r="F1422" s="81" t="s">
        <v>2227</v>
      </c>
      <c r="G1422" s="81" t="s">
        <v>3848</v>
      </c>
      <c r="H1422" s="81" t="s">
        <v>2259</v>
      </c>
      <c r="I1422" s="81" t="s">
        <v>6626</v>
      </c>
      <c r="J1422" s="81" t="s">
        <v>2186</v>
      </c>
      <c r="K1422" s="81" t="s">
        <v>6626</v>
      </c>
      <c r="L1422" s="81" t="s">
        <v>2392</v>
      </c>
      <c r="M1422" s="81" t="s">
        <v>6626</v>
      </c>
      <c r="N1422" s="81" t="s">
        <v>2231</v>
      </c>
      <c r="O1422" s="81" t="s">
        <v>2187</v>
      </c>
      <c r="P1422" s="81" t="s">
        <v>2187</v>
      </c>
      <c r="Q1422" s="81" t="s">
        <v>43</v>
      </c>
      <c r="R1422" s="81" t="s">
        <v>46</v>
      </c>
      <c r="S1422" s="81" t="s">
        <v>46</v>
      </c>
      <c r="T1422" s="81" t="s">
        <v>48</v>
      </c>
      <c r="U1422" s="81" t="s">
        <v>48</v>
      </c>
      <c r="V1422" s="81" t="s">
        <v>48</v>
      </c>
      <c r="W1422" s="81" t="s">
        <v>49</v>
      </c>
      <c r="X1422" s="81" t="s">
        <v>48</v>
      </c>
      <c r="Y1422" s="81" t="s">
        <v>48</v>
      </c>
    </row>
    <row r="1423" spans="1:25" x14ac:dyDescent="0.3">
      <c r="A1423" s="16">
        <v>7501052719320</v>
      </c>
      <c r="B1423" s="81" t="s">
        <v>43</v>
      </c>
      <c r="C1423" s="81" t="s">
        <v>2044</v>
      </c>
      <c r="D1423" s="81" t="s">
        <v>45</v>
      </c>
      <c r="E1423" s="81" t="s">
        <v>2227</v>
      </c>
      <c r="F1423" s="81" t="s">
        <v>2227</v>
      </c>
      <c r="G1423" s="81" t="s">
        <v>2537</v>
      </c>
      <c r="H1423" s="81" t="s">
        <v>2243</v>
      </c>
      <c r="I1423" s="81" t="s">
        <v>6627</v>
      </c>
      <c r="J1423" s="81" t="s">
        <v>2186</v>
      </c>
      <c r="K1423" s="81" t="s">
        <v>6627</v>
      </c>
      <c r="L1423" s="81" t="s">
        <v>2392</v>
      </c>
      <c r="M1423" s="81" t="s">
        <v>6627</v>
      </c>
      <c r="N1423" s="81" t="s">
        <v>2231</v>
      </c>
      <c r="O1423" s="81" t="s">
        <v>2187</v>
      </c>
      <c r="P1423" s="81" t="s">
        <v>2187</v>
      </c>
      <c r="Q1423" s="81" t="s">
        <v>43</v>
      </c>
      <c r="R1423" s="81" t="s">
        <v>101</v>
      </c>
      <c r="S1423" s="81" t="s">
        <v>101</v>
      </c>
      <c r="T1423" s="81" t="s">
        <v>48</v>
      </c>
      <c r="U1423" s="81" t="s">
        <v>48</v>
      </c>
      <c r="V1423" s="81" t="s">
        <v>48</v>
      </c>
      <c r="W1423" s="81" t="s">
        <v>49</v>
      </c>
      <c r="X1423" s="81" t="s">
        <v>48</v>
      </c>
      <c r="Y1423" s="81" t="s">
        <v>48</v>
      </c>
    </row>
    <row r="1424" spans="1:25" x14ac:dyDescent="0.3">
      <c r="A1424" s="16">
        <v>7501052719313</v>
      </c>
      <c r="B1424" s="81" t="s">
        <v>43</v>
      </c>
      <c r="C1424" s="81" t="s">
        <v>1255</v>
      </c>
      <c r="D1424" s="81" t="s">
        <v>45</v>
      </c>
      <c r="E1424" s="81" t="s">
        <v>2227</v>
      </c>
      <c r="F1424" s="81" t="s">
        <v>2227</v>
      </c>
      <c r="G1424" s="81" t="s">
        <v>2537</v>
      </c>
      <c r="H1424" s="81" t="s">
        <v>2217</v>
      </c>
      <c r="I1424" s="81" t="s">
        <v>6627</v>
      </c>
      <c r="J1424" s="81" t="s">
        <v>2186</v>
      </c>
      <c r="K1424" s="81" t="s">
        <v>6627</v>
      </c>
      <c r="L1424" s="81" t="s">
        <v>2392</v>
      </c>
      <c r="M1424" s="81" t="s">
        <v>6627</v>
      </c>
      <c r="N1424" s="81" t="s">
        <v>2231</v>
      </c>
      <c r="O1424" s="81" t="s">
        <v>2187</v>
      </c>
      <c r="P1424" s="81" t="s">
        <v>2187</v>
      </c>
      <c r="Q1424" s="81" t="s">
        <v>43</v>
      </c>
      <c r="R1424" s="81" t="s">
        <v>101</v>
      </c>
      <c r="S1424" s="81" t="s">
        <v>101</v>
      </c>
      <c r="T1424" s="81" t="s">
        <v>48</v>
      </c>
      <c r="U1424" s="81" t="s">
        <v>48</v>
      </c>
      <c r="V1424" s="81" t="s">
        <v>48</v>
      </c>
      <c r="W1424" s="81" t="s">
        <v>49</v>
      </c>
      <c r="X1424" s="81" t="s">
        <v>48</v>
      </c>
      <c r="Y1424" s="81" t="s">
        <v>48</v>
      </c>
    </row>
    <row r="1425" spans="1:25" x14ac:dyDescent="0.3">
      <c r="A1425" s="16">
        <v>7501052719306</v>
      </c>
      <c r="B1425" s="81" t="s">
        <v>43</v>
      </c>
      <c r="C1425" s="81" t="s">
        <v>1256</v>
      </c>
      <c r="D1425" s="81" t="s">
        <v>45</v>
      </c>
      <c r="E1425" s="81" t="s">
        <v>2227</v>
      </c>
      <c r="F1425" s="81" t="s">
        <v>2227</v>
      </c>
      <c r="G1425" s="81" t="s">
        <v>2537</v>
      </c>
      <c r="H1425" s="81" t="s">
        <v>2243</v>
      </c>
      <c r="I1425" s="81" t="s">
        <v>6627</v>
      </c>
      <c r="J1425" s="81" t="s">
        <v>2186</v>
      </c>
      <c r="K1425" s="81" t="s">
        <v>6627</v>
      </c>
      <c r="L1425" s="81" t="s">
        <v>2392</v>
      </c>
      <c r="M1425" s="81" t="s">
        <v>6627</v>
      </c>
      <c r="N1425" s="81" t="s">
        <v>2231</v>
      </c>
      <c r="O1425" s="81" t="s">
        <v>2187</v>
      </c>
      <c r="P1425" s="81" t="s">
        <v>2187</v>
      </c>
      <c r="Q1425" s="81" t="s">
        <v>43</v>
      </c>
      <c r="R1425" s="81" t="s">
        <v>101</v>
      </c>
      <c r="S1425" s="81" t="s">
        <v>101</v>
      </c>
      <c r="T1425" s="81" t="s">
        <v>48</v>
      </c>
      <c r="U1425" s="81" t="s">
        <v>48</v>
      </c>
      <c r="V1425" s="81" t="s">
        <v>48</v>
      </c>
      <c r="W1425" s="81" t="s">
        <v>49</v>
      </c>
      <c r="X1425" s="81" t="s">
        <v>48</v>
      </c>
      <c r="Y1425" s="81" t="s">
        <v>48</v>
      </c>
    </row>
    <row r="1426" spans="1:25" x14ac:dyDescent="0.3">
      <c r="A1426" s="16">
        <v>656599040608</v>
      </c>
      <c r="B1426" s="81" t="s">
        <v>43</v>
      </c>
      <c r="C1426" s="81" t="s">
        <v>1257</v>
      </c>
      <c r="D1426" s="81" t="s">
        <v>45</v>
      </c>
      <c r="E1426" s="81" t="s">
        <v>2283</v>
      </c>
      <c r="F1426" s="81" t="s">
        <v>2510</v>
      </c>
      <c r="G1426" s="81" t="s">
        <v>3849</v>
      </c>
      <c r="H1426" s="81" t="s">
        <v>2269</v>
      </c>
      <c r="I1426" s="81" t="s">
        <v>6628</v>
      </c>
      <c r="J1426" s="81" t="s">
        <v>2186</v>
      </c>
      <c r="K1426" s="81" t="s">
        <v>6628</v>
      </c>
      <c r="L1426" s="81" t="s">
        <v>2392</v>
      </c>
      <c r="M1426" s="81" t="s">
        <v>6628</v>
      </c>
      <c r="N1426" s="81" t="s">
        <v>2231</v>
      </c>
      <c r="O1426" s="81" t="s">
        <v>2187</v>
      </c>
      <c r="P1426" s="81" t="s">
        <v>2187</v>
      </c>
      <c r="Q1426" s="81" t="s">
        <v>232</v>
      </c>
      <c r="R1426" s="81" t="s">
        <v>46</v>
      </c>
      <c r="S1426" s="81" t="s">
        <v>47</v>
      </c>
      <c r="T1426" s="81" t="s">
        <v>48</v>
      </c>
      <c r="U1426" s="81" t="s">
        <v>48</v>
      </c>
      <c r="V1426" s="81" t="s">
        <v>48</v>
      </c>
      <c r="W1426" s="81" t="s">
        <v>49</v>
      </c>
      <c r="X1426" s="81" t="s">
        <v>48</v>
      </c>
      <c r="Y1426" s="81" t="s">
        <v>48</v>
      </c>
    </row>
    <row r="1427" spans="1:25" x14ac:dyDescent="0.3">
      <c r="A1427" s="16">
        <v>620540061622</v>
      </c>
      <c r="B1427" s="81" t="s">
        <v>43</v>
      </c>
      <c r="C1427" s="81" t="s">
        <v>1258</v>
      </c>
      <c r="D1427" s="81" t="s">
        <v>45</v>
      </c>
      <c r="E1427" s="81" t="s">
        <v>2227</v>
      </c>
      <c r="F1427" s="81" t="s">
        <v>2227</v>
      </c>
      <c r="G1427" s="81" t="s">
        <v>3850</v>
      </c>
      <c r="H1427" s="81" t="s">
        <v>5277</v>
      </c>
      <c r="I1427" s="81" t="s">
        <v>6629</v>
      </c>
      <c r="J1427" s="81" t="s">
        <v>2186</v>
      </c>
      <c r="K1427" s="81" t="s">
        <v>6629</v>
      </c>
      <c r="L1427" s="81" t="s">
        <v>2392</v>
      </c>
      <c r="M1427" s="81" t="s">
        <v>6629</v>
      </c>
      <c r="N1427" s="81" t="s">
        <v>2231</v>
      </c>
      <c r="O1427" s="81" t="s">
        <v>2187</v>
      </c>
      <c r="P1427" s="81" t="s">
        <v>2187</v>
      </c>
      <c r="Q1427" s="81" t="s">
        <v>43</v>
      </c>
      <c r="R1427" s="81" t="s">
        <v>203</v>
      </c>
      <c r="S1427" s="81" t="s">
        <v>203</v>
      </c>
      <c r="T1427" s="81" t="s">
        <v>48</v>
      </c>
      <c r="U1427" s="81" t="s">
        <v>48</v>
      </c>
      <c r="V1427" s="81" t="s">
        <v>48</v>
      </c>
      <c r="W1427" s="81" t="s">
        <v>49</v>
      </c>
      <c r="X1427" s="81" t="s">
        <v>48</v>
      </c>
      <c r="Y1427" s="81" t="s">
        <v>48</v>
      </c>
    </row>
    <row r="1428" spans="1:25" x14ac:dyDescent="0.3">
      <c r="A1428" s="16">
        <v>7501299309407</v>
      </c>
      <c r="B1428" s="81" t="s">
        <v>43</v>
      </c>
      <c r="C1428" s="81" t="s">
        <v>3851</v>
      </c>
      <c r="D1428" s="81" t="s">
        <v>45</v>
      </c>
      <c r="E1428" s="81" t="s">
        <v>2227</v>
      </c>
      <c r="F1428" s="81" t="s">
        <v>2227</v>
      </c>
      <c r="G1428" s="81" t="s">
        <v>3852</v>
      </c>
      <c r="H1428" s="81" t="s">
        <v>3853</v>
      </c>
      <c r="I1428" s="81" t="s">
        <v>6630</v>
      </c>
      <c r="J1428" s="81" t="s">
        <v>2186</v>
      </c>
      <c r="K1428" s="81" t="s">
        <v>6630</v>
      </c>
      <c r="L1428" s="81" t="s">
        <v>2392</v>
      </c>
      <c r="M1428" s="81" t="s">
        <v>6630</v>
      </c>
      <c r="N1428" s="81" t="s">
        <v>2231</v>
      </c>
      <c r="O1428" s="81" t="s">
        <v>2187</v>
      </c>
      <c r="P1428" s="81" t="s">
        <v>2187</v>
      </c>
      <c r="Q1428" s="81" t="s">
        <v>43</v>
      </c>
      <c r="R1428" s="81" t="s">
        <v>46</v>
      </c>
      <c r="S1428" s="81" t="s">
        <v>46</v>
      </c>
      <c r="T1428" s="81" t="s">
        <v>48</v>
      </c>
      <c r="U1428" s="81" t="s">
        <v>48</v>
      </c>
      <c r="V1428" s="81" t="s">
        <v>48</v>
      </c>
      <c r="W1428" s="81" t="s">
        <v>49</v>
      </c>
      <c r="X1428" s="81" t="s">
        <v>48</v>
      </c>
      <c r="Y1428" s="81" t="s">
        <v>48</v>
      </c>
    </row>
    <row r="1429" spans="1:25" x14ac:dyDescent="0.3">
      <c r="A1429" s="16">
        <v>7502216930599</v>
      </c>
      <c r="B1429" s="81" t="s">
        <v>43</v>
      </c>
      <c r="C1429" s="81" t="s">
        <v>1673</v>
      </c>
      <c r="D1429" s="81" t="s">
        <v>45</v>
      </c>
      <c r="E1429" s="81" t="s">
        <v>2227</v>
      </c>
      <c r="F1429" s="81" t="s">
        <v>2227</v>
      </c>
      <c r="G1429" s="81" t="s">
        <v>3854</v>
      </c>
      <c r="H1429" s="81" t="s">
        <v>2582</v>
      </c>
      <c r="I1429" s="81" t="s">
        <v>6631</v>
      </c>
      <c r="J1429" s="81" t="s">
        <v>2186</v>
      </c>
      <c r="K1429" s="81" t="s">
        <v>6631</v>
      </c>
      <c r="L1429" s="81" t="s">
        <v>2392</v>
      </c>
      <c r="M1429" s="81" t="s">
        <v>6631</v>
      </c>
      <c r="N1429" s="81" t="s">
        <v>2231</v>
      </c>
      <c r="O1429" s="81" t="s">
        <v>2187</v>
      </c>
      <c r="P1429" s="81" t="s">
        <v>2187</v>
      </c>
      <c r="Q1429" s="81" t="s">
        <v>43</v>
      </c>
      <c r="R1429" s="81" t="s">
        <v>46</v>
      </c>
      <c r="S1429" s="81" t="s">
        <v>46</v>
      </c>
      <c r="T1429" s="81" t="s">
        <v>48</v>
      </c>
      <c r="U1429" s="81" t="s">
        <v>48</v>
      </c>
      <c r="V1429" s="81" t="s">
        <v>48</v>
      </c>
      <c r="W1429" s="81" t="s">
        <v>49</v>
      </c>
      <c r="X1429" s="81" t="s">
        <v>48</v>
      </c>
      <c r="Y1429" s="81" t="s">
        <v>48</v>
      </c>
    </row>
    <row r="1430" spans="1:25" x14ac:dyDescent="0.3">
      <c r="A1430" s="16">
        <v>7501825300342</v>
      </c>
      <c r="B1430" s="81" t="s">
        <v>43</v>
      </c>
      <c r="C1430" s="81" t="s">
        <v>2165</v>
      </c>
      <c r="D1430" s="81" t="s">
        <v>45</v>
      </c>
      <c r="E1430" s="81" t="s">
        <v>2227</v>
      </c>
      <c r="F1430" s="81" t="s">
        <v>2227</v>
      </c>
      <c r="G1430" s="81" t="s">
        <v>3856</v>
      </c>
      <c r="H1430" s="81" t="s">
        <v>2209</v>
      </c>
      <c r="I1430" s="81" t="s">
        <v>5580</v>
      </c>
      <c r="J1430" s="81" t="s">
        <v>2186</v>
      </c>
      <c r="K1430" s="81" t="s">
        <v>5580</v>
      </c>
      <c r="L1430" s="81" t="s">
        <v>2392</v>
      </c>
      <c r="M1430" s="81" t="s">
        <v>5580</v>
      </c>
      <c r="N1430" s="81" t="s">
        <v>2231</v>
      </c>
      <c r="O1430" s="81" t="s">
        <v>2187</v>
      </c>
      <c r="P1430" s="81" t="s">
        <v>2187</v>
      </c>
      <c r="Q1430" s="81" t="s">
        <v>43</v>
      </c>
      <c r="R1430" s="81" t="s">
        <v>46</v>
      </c>
      <c r="S1430" s="81" t="s">
        <v>46</v>
      </c>
      <c r="T1430" s="81" t="s">
        <v>48</v>
      </c>
      <c r="U1430" s="81" t="s">
        <v>48</v>
      </c>
      <c r="V1430" s="81" t="s">
        <v>48</v>
      </c>
      <c r="W1430" s="81" t="s">
        <v>49</v>
      </c>
      <c r="X1430" s="81" t="s">
        <v>48</v>
      </c>
      <c r="Y1430" s="81" t="s">
        <v>48</v>
      </c>
    </row>
    <row r="1431" spans="1:25" x14ac:dyDescent="0.3">
      <c r="A1431" s="16">
        <v>7502227874165</v>
      </c>
      <c r="B1431" s="81" t="s">
        <v>43</v>
      </c>
      <c r="C1431" s="81" t="s">
        <v>2045</v>
      </c>
      <c r="D1431" s="81" t="s">
        <v>45</v>
      </c>
      <c r="E1431" s="81" t="s">
        <v>2227</v>
      </c>
      <c r="F1431" s="81" t="s">
        <v>2227</v>
      </c>
      <c r="G1431" s="81" t="s">
        <v>4710</v>
      </c>
      <c r="H1431" s="81" t="s">
        <v>6632</v>
      </c>
      <c r="I1431" s="81" t="s">
        <v>6578</v>
      </c>
      <c r="J1431" s="81" t="s">
        <v>2186</v>
      </c>
      <c r="K1431" s="81" t="s">
        <v>6578</v>
      </c>
      <c r="L1431" s="81" t="s">
        <v>2392</v>
      </c>
      <c r="M1431" s="81" t="s">
        <v>6578</v>
      </c>
      <c r="N1431" s="81" t="s">
        <v>2231</v>
      </c>
      <c r="O1431" s="81" t="s">
        <v>2187</v>
      </c>
      <c r="P1431" s="81" t="s">
        <v>2187</v>
      </c>
      <c r="Q1431" s="81" t="s">
        <v>43</v>
      </c>
      <c r="R1431" s="81" t="s">
        <v>46</v>
      </c>
      <c r="S1431" s="81" t="s">
        <v>46</v>
      </c>
      <c r="T1431" s="81" t="s">
        <v>48</v>
      </c>
      <c r="U1431" s="81" t="s">
        <v>48</v>
      </c>
      <c r="V1431" s="81" t="s">
        <v>48</v>
      </c>
      <c r="W1431" s="81" t="s">
        <v>49</v>
      </c>
      <c r="X1431" s="81" t="s">
        <v>48</v>
      </c>
      <c r="Y1431" s="81" t="s">
        <v>48</v>
      </c>
    </row>
    <row r="1432" spans="1:25" x14ac:dyDescent="0.3">
      <c r="A1432" s="16">
        <v>7502208894960</v>
      </c>
      <c r="B1432" s="81" t="s">
        <v>43</v>
      </c>
      <c r="C1432" s="81" t="s">
        <v>1259</v>
      </c>
      <c r="D1432" s="81" t="s">
        <v>45</v>
      </c>
      <c r="E1432" s="81" t="s">
        <v>3857</v>
      </c>
      <c r="F1432" s="81" t="s">
        <v>3858</v>
      </c>
      <c r="G1432" s="81" t="s">
        <v>3385</v>
      </c>
      <c r="H1432" s="81" t="s">
        <v>2730</v>
      </c>
      <c r="I1432" s="81" t="s">
        <v>6633</v>
      </c>
      <c r="J1432" s="81" t="s">
        <v>2186</v>
      </c>
      <c r="K1432" s="81" t="s">
        <v>6633</v>
      </c>
      <c r="L1432" s="81" t="s">
        <v>2392</v>
      </c>
      <c r="M1432" s="81" t="s">
        <v>6633</v>
      </c>
      <c r="N1432" s="81" t="s">
        <v>2231</v>
      </c>
      <c r="O1432" s="81" t="s">
        <v>2187</v>
      </c>
      <c r="P1432" s="81" t="s">
        <v>2187</v>
      </c>
      <c r="Q1432" s="81" t="s">
        <v>43</v>
      </c>
      <c r="R1432" s="81" t="s">
        <v>46</v>
      </c>
      <c r="S1432" s="81" t="s">
        <v>47</v>
      </c>
      <c r="T1432" s="81" t="s">
        <v>48</v>
      </c>
      <c r="U1432" s="81" t="s">
        <v>48</v>
      </c>
      <c r="V1432" s="81" t="s">
        <v>48</v>
      </c>
      <c r="W1432" s="81" t="s">
        <v>49</v>
      </c>
      <c r="X1432" s="81" t="s">
        <v>48</v>
      </c>
      <c r="Y1432" s="81" t="s">
        <v>48</v>
      </c>
    </row>
    <row r="1433" spans="1:25" x14ac:dyDescent="0.3">
      <c r="A1433" s="16">
        <v>7501054500063</v>
      </c>
      <c r="B1433" s="81" t="s">
        <v>43</v>
      </c>
      <c r="C1433" s="81" t="s">
        <v>1260</v>
      </c>
      <c r="D1433" s="81" t="s">
        <v>45</v>
      </c>
      <c r="E1433" s="81" t="s">
        <v>2227</v>
      </c>
      <c r="F1433" s="81" t="s">
        <v>2227</v>
      </c>
      <c r="G1433" s="81" t="s">
        <v>3859</v>
      </c>
      <c r="H1433" s="81" t="s">
        <v>6634</v>
      </c>
      <c r="I1433" s="81" t="s">
        <v>4500</v>
      </c>
      <c r="J1433" s="81" t="s">
        <v>2186</v>
      </c>
      <c r="K1433" s="81" t="s">
        <v>4500</v>
      </c>
      <c r="L1433" s="81" t="s">
        <v>2392</v>
      </c>
      <c r="M1433" s="81" t="s">
        <v>4500</v>
      </c>
      <c r="N1433" s="81" t="s">
        <v>2231</v>
      </c>
      <c r="O1433" s="81" t="s">
        <v>2187</v>
      </c>
      <c r="P1433" s="81" t="s">
        <v>2187</v>
      </c>
      <c r="Q1433" s="81" t="s">
        <v>43</v>
      </c>
      <c r="R1433" s="81" t="s">
        <v>524</v>
      </c>
      <c r="S1433" s="81" t="s">
        <v>525</v>
      </c>
      <c r="T1433" s="81" t="s">
        <v>48</v>
      </c>
      <c r="U1433" s="81" t="s">
        <v>48</v>
      </c>
      <c r="V1433" s="81" t="s">
        <v>49</v>
      </c>
      <c r="W1433" s="81" t="s">
        <v>48</v>
      </c>
      <c r="X1433" s="81" t="s">
        <v>48</v>
      </c>
      <c r="Y1433" s="81" t="s">
        <v>48</v>
      </c>
    </row>
    <row r="1434" spans="1:25" x14ac:dyDescent="0.3">
      <c r="A1434" s="16">
        <v>7509546009179</v>
      </c>
      <c r="B1434" s="81" t="s">
        <v>43</v>
      </c>
      <c r="C1434" s="81" t="s">
        <v>1261</v>
      </c>
      <c r="D1434" s="81" t="s">
        <v>45</v>
      </c>
      <c r="E1434" s="81" t="s">
        <v>2227</v>
      </c>
      <c r="F1434" s="81" t="s">
        <v>2227</v>
      </c>
      <c r="G1434" s="81" t="s">
        <v>4757</v>
      </c>
      <c r="H1434" s="81" t="s">
        <v>2351</v>
      </c>
      <c r="I1434" s="81" t="s">
        <v>2843</v>
      </c>
      <c r="J1434" s="81" t="s">
        <v>2186</v>
      </c>
      <c r="K1434" s="81" t="s">
        <v>3671</v>
      </c>
      <c r="L1434" s="81" t="s">
        <v>2392</v>
      </c>
      <c r="M1434" s="81" t="s">
        <v>3860</v>
      </c>
      <c r="N1434" s="81" t="s">
        <v>2231</v>
      </c>
      <c r="O1434" s="81" t="s">
        <v>2187</v>
      </c>
      <c r="P1434" s="81" t="s">
        <v>2187</v>
      </c>
      <c r="Q1434" s="81" t="s">
        <v>43</v>
      </c>
      <c r="R1434" s="81" t="s">
        <v>524</v>
      </c>
      <c r="S1434" s="81" t="s">
        <v>525</v>
      </c>
      <c r="T1434" s="81" t="s">
        <v>48</v>
      </c>
      <c r="U1434" s="81" t="s">
        <v>48</v>
      </c>
      <c r="V1434" s="81" t="s">
        <v>49</v>
      </c>
      <c r="W1434" s="81" t="s">
        <v>48</v>
      </c>
      <c r="X1434" s="81" t="s">
        <v>48</v>
      </c>
      <c r="Y1434" s="81" t="s">
        <v>48</v>
      </c>
    </row>
    <row r="1435" spans="1:25" x14ac:dyDescent="0.3">
      <c r="A1435" s="16">
        <v>7501065028785</v>
      </c>
      <c r="B1435" s="81" t="s">
        <v>43</v>
      </c>
      <c r="C1435" s="81" t="s">
        <v>1262</v>
      </c>
      <c r="D1435" s="81" t="s">
        <v>45</v>
      </c>
      <c r="E1435" s="81" t="s">
        <v>2227</v>
      </c>
      <c r="F1435" s="81" t="s">
        <v>2227</v>
      </c>
      <c r="G1435" s="81" t="s">
        <v>2946</v>
      </c>
      <c r="H1435" s="81" t="s">
        <v>2217</v>
      </c>
      <c r="I1435" s="81" t="s">
        <v>3628</v>
      </c>
      <c r="J1435" s="81" t="s">
        <v>2186</v>
      </c>
      <c r="K1435" s="81" t="s">
        <v>3628</v>
      </c>
      <c r="L1435" s="81" t="s">
        <v>2392</v>
      </c>
      <c r="M1435" s="81" t="s">
        <v>3628</v>
      </c>
      <c r="N1435" s="81" t="s">
        <v>2231</v>
      </c>
      <c r="O1435" s="81" t="s">
        <v>2187</v>
      </c>
      <c r="P1435" s="81" t="s">
        <v>2187</v>
      </c>
      <c r="Q1435" s="81" t="s">
        <v>43</v>
      </c>
      <c r="R1435" s="81" t="s">
        <v>46</v>
      </c>
      <c r="S1435" s="81" t="s">
        <v>46</v>
      </c>
      <c r="T1435" s="81" t="s">
        <v>48</v>
      </c>
      <c r="U1435" s="81" t="s">
        <v>48</v>
      </c>
      <c r="V1435" s="81" t="s">
        <v>48</v>
      </c>
      <c r="W1435" s="81" t="s">
        <v>49</v>
      </c>
      <c r="X1435" s="81" t="s">
        <v>48</v>
      </c>
      <c r="Y1435" s="81" t="s">
        <v>48</v>
      </c>
    </row>
    <row r="1436" spans="1:25" x14ac:dyDescent="0.3">
      <c r="A1436" s="16">
        <v>7502216808638</v>
      </c>
      <c r="B1436" s="81" t="s">
        <v>43</v>
      </c>
      <c r="C1436" s="81" t="s">
        <v>1263</v>
      </c>
      <c r="D1436" s="81" t="s">
        <v>45</v>
      </c>
      <c r="E1436" s="81" t="s">
        <v>2557</v>
      </c>
      <c r="F1436" s="81" t="s">
        <v>2370</v>
      </c>
      <c r="G1436" s="81" t="s">
        <v>4518</v>
      </c>
      <c r="H1436" s="81" t="s">
        <v>2429</v>
      </c>
      <c r="I1436" s="81" t="s">
        <v>6635</v>
      </c>
      <c r="J1436" s="81" t="s">
        <v>2186</v>
      </c>
      <c r="K1436" s="81" t="s">
        <v>6635</v>
      </c>
      <c r="L1436" s="81" t="s">
        <v>2392</v>
      </c>
      <c r="M1436" s="81" t="s">
        <v>6635</v>
      </c>
      <c r="N1436" s="81" t="s">
        <v>2231</v>
      </c>
      <c r="O1436" s="81" t="s">
        <v>2187</v>
      </c>
      <c r="P1436" s="81" t="s">
        <v>2187</v>
      </c>
      <c r="Q1436" s="81" t="s">
        <v>43</v>
      </c>
      <c r="R1436" s="81" t="s">
        <v>46</v>
      </c>
      <c r="S1436" s="81" t="s">
        <v>1264</v>
      </c>
      <c r="T1436" s="81" t="s">
        <v>48</v>
      </c>
      <c r="U1436" s="81" t="s">
        <v>48</v>
      </c>
      <c r="V1436" s="81" t="s">
        <v>48</v>
      </c>
      <c r="W1436" s="81" t="s">
        <v>49</v>
      </c>
      <c r="X1436" s="81" t="s">
        <v>48</v>
      </c>
      <c r="Y1436" s="81" t="s">
        <v>48</v>
      </c>
    </row>
    <row r="1437" spans="1:25" x14ac:dyDescent="0.3">
      <c r="A1437" s="16" t="s">
        <v>1265</v>
      </c>
      <c r="B1437" s="81" t="s">
        <v>43</v>
      </c>
      <c r="C1437" s="81" t="s">
        <v>1266</v>
      </c>
      <c r="D1437" s="81" t="s">
        <v>45</v>
      </c>
      <c r="E1437" s="81" t="s">
        <v>3029</v>
      </c>
      <c r="F1437" s="81" t="s">
        <v>3030</v>
      </c>
      <c r="G1437" s="81" t="s">
        <v>3861</v>
      </c>
      <c r="H1437" s="81" t="s">
        <v>6636</v>
      </c>
      <c r="I1437" s="81" t="s">
        <v>6637</v>
      </c>
      <c r="J1437" s="81" t="s">
        <v>2186</v>
      </c>
      <c r="K1437" s="81" t="s">
        <v>6637</v>
      </c>
      <c r="L1437" s="81" t="s">
        <v>2392</v>
      </c>
      <c r="M1437" s="81" t="s">
        <v>6637</v>
      </c>
      <c r="N1437" s="81" t="s">
        <v>2231</v>
      </c>
      <c r="O1437" s="81" t="s">
        <v>2187</v>
      </c>
      <c r="P1437" s="81" t="s">
        <v>2187</v>
      </c>
      <c r="Q1437" s="81" t="s">
        <v>43</v>
      </c>
      <c r="R1437" s="81" t="s">
        <v>46</v>
      </c>
      <c r="S1437" s="81" t="s">
        <v>164</v>
      </c>
      <c r="T1437" s="81" t="s">
        <v>48</v>
      </c>
      <c r="U1437" s="81" t="s">
        <v>48</v>
      </c>
      <c r="V1437" s="81" t="s">
        <v>48</v>
      </c>
      <c r="W1437" s="81" t="s">
        <v>49</v>
      </c>
      <c r="X1437" s="81" t="s">
        <v>48</v>
      </c>
      <c r="Y1437" s="81" t="s">
        <v>48</v>
      </c>
    </row>
    <row r="1438" spans="1:25" x14ac:dyDescent="0.3">
      <c r="A1438" s="16" t="s">
        <v>1267</v>
      </c>
      <c r="B1438" s="81" t="s">
        <v>43</v>
      </c>
      <c r="C1438" s="81" t="s">
        <v>1268</v>
      </c>
      <c r="D1438" s="81" t="s">
        <v>45</v>
      </c>
      <c r="E1438" s="81" t="s">
        <v>2338</v>
      </c>
      <c r="F1438" s="81" t="s">
        <v>2526</v>
      </c>
      <c r="G1438" s="81" t="s">
        <v>3862</v>
      </c>
      <c r="H1438" s="81" t="s">
        <v>2381</v>
      </c>
      <c r="I1438" s="81" t="s">
        <v>6638</v>
      </c>
      <c r="J1438" s="81" t="s">
        <v>2186</v>
      </c>
      <c r="K1438" s="81" t="s">
        <v>6638</v>
      </c>
      <c r="L1438" s="81" t="s">
        <v>2392</v>
      </c>
      <c r="M1438" s="81" t="s">
        <v>6638</v>
      </c>
      <c r="N1438" s="81" t="s">
        <v>2231</v>
      </c>
      <c r="O1438" s="81" t="s">
        <v>2187</v>
      </c>
      <c r="P1438" s="81" t="s">
        <v>2187</v>
      </c>
      <c r="Q1438" s="81" t="s">
        <v>43</v>
      </c>
      <c r="R1438" s="81" t="s">
        <v>46</v>
      </c>
      <c r="S1438" s="81" t="s">
        <v>46</v>
      </c>
      <c r="T1438" s="81" t="s">
        <v>48</v>
      </c>
      <c r="U1438" s="81" t="s">
        <v>48</v>
      </c>
      <c r="V1438" s="81" t="s">
        <v>48</v>
      </c>
      <c r="W1438" s="81" t="s">
        <v>49</v>
      </c>
      <c r="X1438" s="81" t="s">
        <v>48</v>
      </c>
      <c r="Y1438" s="81" t="s">
        <v>48</v>
      </c>
    </row>
    <row r="1439" spans="1:25" x14ac:dyDescent="0.3">
      <c r="A1439" s="16" t="s">
        <v>1269</v>
      </c>
      <c r="B1439" s="81" t="s">
        <v>43</v>
      </c>
      <c r="C1439" s="81" t="s">
        <v>1270</v>
      </c>
      <c r="D1439" s="81" t="s">
        <v>45</v>
      </c>
      <c r="E1439" s="81" t="s">
        <v>2494</v>
      </c>
      <c r="F1439" s="81" t="s">
        <v>2495</v>
      </c>
      <c r="G1439" s="81" t="s">
        <v>3863</v>
      </c>
      <c r="H1439" s="81" t="s">
        <v>6639</v>
      </c>
      <c r="I1439" s="81" t="s">
        <v>6640</v>
      </c>
      <c r="J1439" s="81" t="s">
        <v>2186</v>
      </c>
      <c r="K1439" s="81" t="s">
        <v>6640</v>
      </c>
      <c r="L1439" s="81" t="s">
        <v>2392</v>
      </c>
      <c r="M1439" s="81" t="s">
        <v>6640</v>
      </c>
      <c r="N1439" s="81" t="s">
        <v>2231</v>
      </c>
      <c r="O1439" s="81" t="s">
        <v>2187</v>
      </c>
      <c r="P1439" s="81" t="s">
        <v>2187</v>
      </c>
      <c r="Q1439" s="81" t="s">
        <v>43</v>
      </c>
      <c r="R1439" s="81" t="s">
        <v>51</v>
      </c>
      <c r="S1439" s="81" t="s">
        <v>81</v>
      </c>
      <c r="T1439" s="81" t="s">
        <v>49</v>
      </c>
      <c r="U1439" s="81" t="s">
        <v>48</v>
      </c>
      <c r="V1439" s="81" t="s">
        <v>48</v>
      </c>
      <c r="W1439" s="81" t="s">
        <v>49</v>
      </c>
      <c r="X1439" s="81" t="s">
        <v>48</v>
      </c>
      <c r="Y1439" s="81" t="s">
        <v>48</v>
      </c>
    </row>
    <row r="1440" spans="1:25" x14ac:dyDescent="0.3">
      <c r="A1440" s="16" t="s">
        <v>1271</v>
      </c>
      <c r="B1440" s="81" t="s">
        <v>43</v>
      </c>
      <c r="C1440" s="81" t="s">
        <v>1272</v>
      </c>
      <c r="D1440" s="81" t="s">
        <v>45</v>
      </c>
      <c r="E1440" s="81" t="s">
        <v>2358</v>
      </c>
      <c r="F1440" s="81" t="s">
        <v>2354</v>
      </c>
      <c r="G1440" s="81" t="s">
        <v>3864</v>
      </c>
      <c r="H1440" s="81" t="s">
        <v>6641</v>
      </c>
      <c r="I1440" s="81" t="s">
        <v>6642</v>
      </c>
      <c r="J1440" s="81" t="s">
        <v>2186</v>
      </c>
      <c r="K1440" s="81" t="s">
        <v>6642</v>
      </c>
      <c r="L1440" s="81" t="s">
        <v>2392</v>
      </c>
      <c r="M1440" s="81" t="s">
        <v>6642</v>
      </c>
      <c r="N1440" s="81" t="s">
        <v>2231</v>
      </c>
      <c r="O1440" s="81" t="s">
        <v>2187</v>
      </c>
      <c r="P1440" s="81" t="s">
        <v>2187</v>
      </c>
      <c r="Q1440" s="81" t="s">
        <v>1273</v>
      </c>
      <c r="R1440" s="81" t="s">
        <v>51</v>
      </c>
      <c r="S1440" s="81" t="s">
        <v>81</v>
      </c>
      <c r="T1440" s="81" t="s">
        <v>49</v>
      </c>
      <c r="U1440" s="81" t="s">
        <v>48</v>
      </c>
      <c r="V1440" s="81" t="s">
        <v>48</v>
      </c>
      <c r="W1440" s="81" t="s">
        <v>49</v>
      </c>
      <c r="X1440" s="81" t="s">
        <v>48</v>
      </c>
      <c r="Y1440" s="81" t="s">
        <v>48</v>
      </c>
    </row>
    <row r="1441" spans="1:25" x14ac:dyDescent="0.3">
      <c r="A1441" s="16" t="s">
        <v>1274</v>
      </c>
      <c r="B1441" s="81" t="s">
        <v>43</v>
      </c>
      <c r="C1441" s="81" t="s">
        <v>1275</v>
      </c>
      <c r="D1441" s="81" t="s">
        <v>45</v>
      </c>
      <c r="E1441" s="81" t="s">
        <v>2312</v>
      </c>
      <c r="F1441" s="81" t="s">
        <v>2313</v>
      </c>
      <c r="G1441" s="81" t="s">
        <v>2505</v>
      </c>
      <c r="H1441" s="81" t="s">
        <v>2336</v>
      </c>
      <c r="I1441" s="81" t="s">
        <v>6643</v>
      </c>
      <c r="J1441" s="81" t="s">
        <v>2186</v>
      </c>
      <c r="K1441" s="81" t="s">
        <v>6643</v>
      </c>
      <c r="L1441" s="81" t="s">
        <v>2392</v>
      </c>
      <c r="M1441" s="81" t="s">
        <v>6643</v>
      </c>
      <c r="N1441" s="81" t="s">
        <v>2231</v>
      </c>
      <c r="O1441" s="81" t="s">
        <v>2187</v>
      </c>
      <c r="P1441" s="81" t="s">
        <v>2187</v>
      </c>
      <c r="Q1441" s="81" t="s">
        <v>43</v>
      </c>
      <c r="R1441" s="81" t="s">
        <v>46</v>
      </c>
      <c r="S1441" s="81" t="s">
        <v>46</v>
      </c>
      <c r="T1441" s="81" t="s">
        <v>48</v>
      </c>
      <c r="U1441" s="81" t="s">
        <v>48</v>
      </c>
      <c r="V1441" s="81" t="s">
        <v>48</v>
      </c>
      <c r="W1441" s="81" t="s">
        <v>49</v>
      </c>
      <c r="X1441" s="81" t="s">
        <v>48</v>
      </c>
      <c r="Y1441" s="81" t="s">
        <v>48</v>
      </c>
    </row>
    <row r="1442" spans="1:25" x14ac:dyDescent="0.3">
      <c r="A1442" s="16">
        <v>7501125189142</v>
      </c>
      <c r="B1442" s="81" t="s">
        <v>43</v>
      </c>
      <c r="C1442" s="81" t="s">
        <v>1276</v>
      </c>
      <c r="D1442" s="81" t="s">
        <v>45</v>
      </c>
      <c r="E1442" s="81" t="s">
        <v>2227</v>
      </c>
      <c r="F1442" s="81" t="s">
        <v>2227</v>
      </c>
      <c r="G1442" s="81" t="s">
        <v>3581</v>
      </c>
      <c r="H1442" s="81" t="s">
        <v>2209</v>
      </c>
      <c r="I1442" s="81" t="s">
        <v>6644</v>
      </c>
      <c r="J1442" s="81" t="s">
        <v>2186</v>
      </c>
      <c r="K1442" s="81" t="s">
        <v>6644</v>
      </c>
      <c r="L1442" s="81" t="s">
        <v>2392</v>
      </c>
      <c r="M1442" s="81" t="s">
        <v>6644</v>
      </c>
      <c r="N1442" s="81" t="s">
        <v>2231</v>
      </c>
      <c r="O1442" s="81" t="s">
        <v>2187</v>
      </c>
      <c r="P1442" s="81" t="s">
        <v>2187</v>
      </c>
      <c r="Q1442" s="81" t="s">
        <v>43</v>
      </c>
      <c r="R1442" s="81" t="s">
        <v>46</v>
      </c>
      <c r="S1442" s="81" t="s">
        <v>46</v>
      </c>
      <c r="T1442" s="81" t="s">
        <v>48</v>
      </c>
      <c r="U1442" s="81" t="s">
        <v>48</v>
      </c>
      <c r="V1442" s="81" t="s">
        <v>48</v>
      </c>
      <c r="W1442" s="81" t="s">
        <v>49</v>
      </c>
      <c r="X1442" s="81" t="s">
        <v>48</v>
      </c>
      <c r="Y1442" s="81" t="s">
        <v>48</v>
      </c>
    </row>
    <row r="1443" spans="1:25" x14ac:dyDescent="0.3">
      <c r="A1443" s="16">
        <v>759684353352</v>
      </c>
      <c r="B1443" s="81" t="s">
        <v>43</v>
      </c>
      <c r="C1443" s="81" t="s">
        <v>1277</v>
      </c>
      <c r="D1443" s="81" t="s">
        <v>45</v>
      </c>
      <c r="E1443" s="81" t="s">
        <v>2227</v>
      </c>
      <c r="F1443" s="81" t="s">
        <v>2227</v>
      </c>
      <c r="G1443" s="81" t="s">
        <v>3865</v>
      </c>
      <c r="H1443" s="81" t="s">
        <v>3160</v>
      </c>
      <c r="I1443" s="81" t="s">
        <v>6645</v>
      </c>
      <c r="J1443" s="81" t="s">
        <v>2186</v>
      </c>
      <c r="K1443" s="81" t="s">
        <v>6645</v>
      </c>
      <c r="L1443" s="81" t="s">
        <v>2392</v>
      </c>
      <c r="M1443" s="81" t="s">
        <v>6645</v>
      </c>
      <c r="N1443" s="81" t="s">
        <v>2231</v>
      </c>
      <c r="O1443" s="81" t="s">
        <v>2187</v>
      </c>
      <c r="P1443" s="81" t="s">
        <v>2187</v>
      </c>
      <c r="Q1443" s="81" t="s">
        <v>43</v>
      </c>
      <c r="R1443" s="81" t="s">
        <v>1278</v>
      </c>
      <c r="S1443" s="81" t="s">
        <v>1278</v>
      </c>
      <c r="T1443" s="81" t="s">
        <v>48</v>
      </c>
      <c r="U1443" s="81" t="s">
        <v>48</v>
      </c>
      <c r="V1443" s="81" t="s">
        <v>49</v>
      </c>
      <c r="W1443" s="81" t="s">
        <v>48</v>
      </c>
      <c r="X1443" s="81" t="s">
        <v>48</v>
      </c>
      <c r="Y1443" s="81" t="s">
        <v>48</v>
      </c>
    </row>
    <row r="1444" spans="1:25" x14ac:dyDescent="0.3">
      <c r="A1444" s="16">
        <v>7501563024555</v>
      </c>
      <c r="B1444" s="81" t="s">
        <v>43</v>
      </c>
      <c r="C1444" s="81" t="s">
        <v>1279</v>
      </c>
      <c r="D1444" s="81" t="s">
        <v>45</v>
      </c>
      <c r="E1444" s="81" t="s">
        <v>2227</v>
      </c>
      <c r="F1444" s="81" t="s">
        <v>2227</v>
      </c>
      <c r="G1444" s="81" t="s">
        <v>4616</v>
      </c>
      <c r="H1444" s="81" t="s">
        <v>3738</v>
      </c>
      <c r="I1444" s="81" t="s">
        <v>6646</v>
      </c>
      <c r="J1444" s="81" t="s">
        <v>2186</v>
      </c>
      <c r="K1444" s="81" t="s">
        <v>6646</v>
      </c>
      <c r="L1444" s="81" t="s">
        <v>2392</v>
      </c>
      <c r="M1444" s="81" t="s">
        <v>6646</v>
      </c>
      <c r="N1444" s="81" t="s">
        <v>2231</v>
      </c>
      <c r="O1444" s="81" t="s">
        <v>2187</v>
      </c>
      <c r="P1444" s="81" t="s">
        <v>2187</v>
      </c>
      <c r="Q1444" s="81" t="s">
        <v>43</v>
      </c>
      <c r="R1444" s="81" t="s">
        <v>122</v>
      </c>
      <c r="S1444" s="81" t="s">
        <v>122</v>
      </c>
      <c r="T1444" s="81" t="s">
        <v>48</v>
      </c>
      <c r="U1444" s="81" t="s">
        <v>48</v>
      </c>
      <c r="V1444" s="81" t="s">
        <v>49</v>
      </c>
      <c r="W1444" s="81" t="s">
        <v>48</v>
      </c>
      <c r="X1444" s="81" t="s">
        <v>48</v>
      </c>
      <c r="Y1444" s="81" t="s">
        <v>48</v>
      </c>
    </row>
    <row r="1445" spans="1:25" x14ac:dyDescent="0.3">
      <c r="A1445" s="16">
        <v>7501563024562</v>
      </c>
      <c r="B1445" s="81" t="s">
        <v>43</v>
      </c>
      <c r="C1445" s="81" t="s">
        <v>1280</v>
      </c>
      <c r="D1445" s="81" t="s">
        <v>45</v>
      </c>
      <c r="E1445" s="81" t="s">
        <v>2227</v>
      </c>
      <c r="F1445" s="81" t="s">
        <v>2227</v>
      </c>
      <c r="G1445" s="81" t="s">
        <v>4616</v>
      </c>
      <c r="H1445" s="81" t="s">
        <v>3738</v>
      </c>
      <c r="I1445" s="81" t="s">
        <v>6647</v>
      </c>
      <c r="J1445" s="81" t="s">
        <v>2186</v>
      </c>
      <c r="K1445" s="81" t="s">
        <v>6647</v>
      </c>
      <c r="L1445" s="81" t="s">
        <v>2392</v>
      </c>
      <c r="M1445" s="81" t="s">
        <v>6647</v>
      </c>
      <c r="N1445" s="81" t="s">
        <v>2231</v>
      </c>
      <c r="O1445" s="81" t="s">
        <v>2187</v>
      </c>
      <c r="P1445" s="81" t="s">
        <v>2187</v>
      </c>
      <c r="Q1445" s="81" t="s">
        <v>43</v>
      </c>
      <c r="R1445" s="81" t="s">
        <v>122</v>
      </c>
      <c r="S1445" s="81" t="s">
        <v>122</v>
      </c>
      <c r="T1445" s="81" t="s">
        <v>48</v>
      </c>
      <c r="U1445" s="81" t="s">
        <v>48</v>
      </c>
      <c r="V1445" s="81" t="s">
        <v>49</v>
      </c>
      <c r="W1445" s="81" t="s">
        <v>48</v>
      </c>
      <c r="X1445" s="81" t="s">
        <v>48</v>
      </c>
      <c r="Y1445" s="81" t="s">
        <v>48</v>
      </c>
    </row>
    <row r="1446" spans="1:25" x14ac:dyDescent="0.3">
      <c r="A1446" s="16">
        <v>7501563024623</v>
      </c>
      <c r="B1446" s="81" t="s">
        <v>43</v>
      </c>
      <c r="C1446" s="81" t="s">
        <v>1281</v>
      </c>
      <c r="D1446" s="81" t="s">
        <v>45</v>
      </c>
      <c r="E1446" s="81" t="s">
        <v>2227</v>
      </c>
      <c r="F1446" s="81" t="s">
        <v>2227</v>
      </c>
      <c r="G1446" s="81" t="s">
        <v>4479</v>
      </c>
      <c r="H1446" s="81" t="s">
        <v>2868</v>
      </c>
      <c r="I1446" s="81" t="s">
        <v>3054</v>
      </c>
      <c r="J1446" s="81" t="s">
        <v>2186</v>
      </c>
      <c r="K1446" s="81" t="s">
        <v>3042</v>
      </c>
      <c r="L1446" s="81" t="s">
        <v>2392</v>
      </c>
      <c r="M1446" s="81" t="s">
        <v>2943</v>
      </c>
      <c r="N1446" s="81" t="s">
        <v>2231</v>
      </c>
      <c r="O1446" s="81" t="s">
        <v>2187</v>
      </c>
      <c r="P1446" s="81" t="s">
        <v>2187</v>
      </c>
      <c r="Q1446" s="81" t="s">
        <v>43</v>
      </c>
      <c r="R1446" s="81" t="s">
        <v>122</v>
      </c>
      <c r="S1446" s="81" t="s">
        <v>122</v>
      </c>
      <c r="T1446" s="81" t="s">
        <v>48</v>
      </c>
      <c r="U1446" s="81" t="s">
        <v>48</v>
      </c>
      <c r="V1446" s="81" t="s">
        <v>49</v>
      </c>
      <c r="W1446" s="81" t="s">
        <v>48</v>
      </c>
      <c r="X1446" s="81" t="s">
        <v>48</v>
      </c>
      <c r="Y1446" s="81" t="s">
        <v>48</v>
      </c>
    </row>
    <row r="1447" spans="1:25" x14ac:dyDescent="0.3">
      <c r="A1447" s="16">
        <v>7506306215689</v>
      </c>
      <c r="B1447" s="81" t="s">
        <v>43</v>
      </c>
      <c r="C1447" s="81" t="s">
        <v>1282</v>
      </c>
      <c r="D1447" s="81" t="s">
        <v>45</v>
      </c>
      <c r="E1447" s="81" t="s">
        <v>2227</v>
      </c>
      <c r="F1447" s="81" t="s">
        <v>2227</v>
      </c>
      <c r="G1447" s="81" t="s">
        <v>3476</v>
      </c>
      <c r="H1447" s="81" t="s">
        <v>2867</v>
      </c>
      <c r="I1447" s="81" t="s">
        <v>6648</v>
      </c>
      <c r="J1447" s="81" t="s">
        <v>2186</v>
      </c>
      <c r="K1447" s="81" t="s">
        <v>6648</v>
      </c>
      <c r="L1447" s="81" t="s">
        <v>2392</v>
      </c>
      <c r="M1447" s="81" t="s">
        <v>6648</v>
      </c>
      <c r="N1447" s="81" t="s">
        <v>2231</v>
      </c>
      <c r="O1447" s="81" t="s">
        <v>2187</v>
      </c>
      <c r="P1447" s="81" t="s">
        <v>2187</v>
      </c>
      <c r="Q1447" s="81" t="s">
        <v>43</v>
      </c>
      <c r="R1447" s="81" t="s">
        <v>524</v>
      </c>
      <c r="S1447" s="81" t="s">
        <v>525</v>
      </c>
      <c r="T1447" s="81" t="s">
        <v>48</v>
      </c>
      <c r="U1447" s="81" t="s">
        <v>48</v>
      </c>
      <c r="V1447" s="81" t="s">
        <v>49</v>
      </c>
      <c r="W1447" s="81" t="s">
        <v>48</v>
      </c>
      <c r="X1447" s="81" t="s">
        <v>48</v>
      </c>
      <c r="Y1447" s="81" t="s">
        <v>48</v>
      </c>
    </row>
    <row r="1448" spans="1:25" x14ac:dyDescent="0.3">
      <c r="A1448" s="16">
        <v>7506306247468</v>
      </c>
      <c r="B1448" s="81" t="s">
        <v>43</v>
      </c>
      <c r="C1448" s="81" t="s">
        <v>1283</v>
      </c>
      <c r="D1448" s="81" t="s">
        <v>45</v>
      </c>
      <c r="E1448" s="81" t="s">
        <v>2227</v>
      </c>
      <c r="F1448" s="81" t="s">
        <v>2227</v>
      </c>
      <c r="G1448" s="81" t="s">
        <v>3476</v>
      </c>
      <c r="H1448" s="81" t="s">
        <v>2867</v>
      </c>
      <c r="I1448" s="81" t="s">
        <v>6648</v>
      </c>
      <c r="J1448" s="81" t="s">
        <v>2186</v>
      </c>
      <c r="K1448" s="81" t="s">
        <v>6648</v>
      </c>
      <c r="L1448" s="81" t="s">
        <v>2392</v>
      </c>
      <c r="M1448" s="81" t="s">
        <v>6648</v>
      </c>
      <c r="N1448" s="81" t="s">
        <v>2231</v>
      </c>
      <c r="O1448" s="81" t="s">
        <v>2187</v>
      </c>
      <c r="P1448" s="81" t="s">
        <v>2187</v>
      </c>
      <c r="Q1448" s="81" t="s">
        <v>43</v>
      </c>
      <c r="R1448" s="81" t="s">
        <v>524</v>
      </c>
      <c r="S1448" s="81" t="s">
        <v>525</v>
      </c>
      <c r="T1448" s="81" t="s">
        <v>48</v>
      </c>
      <c r="U1448" s="81" t="s">
        <v>48</v>
      </c>
      <c r="V1448" s="81" t="s">
        <v>49</v>
      </c>
      <c r="W1448" s="81" t="s">
        <v>48</v>
      </c>
      <c r="X1448" s="81" t="s">
        <v>48</v>
      </c>
      <c r="Y1448" s="81" t="s">
        <v>48</v>
      </c>
    </row>
    <row r="1449" spans="1:25" x14ac:dyDescent="0.3">
      <c r="A1449" s="16">
        <v>7501035908239</v>
      </c>
      <c r="B1449" s="81" t="s">
        <v>43</v>
      </c>
      <c r="C1449" s="81" t="s">
        <v>3866</v>
      </c>
      <c r="D1449" s="81" t="s">
        <v>45</v>
      </c>
      <c r="E1449" s="81" t="s">
        <v>2312</v>
      </c>
      <c r="F1449" s="81" t="s">
        <v>2313</v>
      </c>
      <c r="G1449" s="81" t="s">
        <v>4421</v>
      </c>
      <c r="H1449" s="81" t="s">
        <v>3224</v>
      </c>
      <c r="I1449" s="81" t="s">
        <v>3525</v>
      </c>
      <c r="J1449" s="81" t="s">
        <v>2186</v>
      </c>
      <c r="K1449" s="81" t="s">
        <v>3525</v>
      </c>
      <c r="L1449" s="81" t="s">
        <v>2392</v>
      </c>
      <c r="M1449" s="81" t="s">
        <v>3525</v>
      </c>
      <c r="N1449" s="81" t="s">
        <v>2231</v>
      </c>
      <c r="O1449" s="81" t="s">
        <v>2187</v>
      </c>
      <c r="P1449" s="81" t="s">
        <v>2187</v>
      </c>
      <c r="Q1449" s="81" t="s">
        <v>43</v>
      </c>
      <c r="R1449" s="81" t="s">
        <v>203</v>
      </c>
      <c r="S1449" s="81" t="s">
        <v>203</v>
      </c>
      <c r="T1449" s="81" t="s">
        <v>48</v>
      </c>
      <c r="U1449" s="81" t="s">
        <v>48</v>
      </c>
      <c r="V1449" s="81" t="s">
        <v>49</v>
      </c>
      <c r="W1449" s="81" t="s">
        <v>48</v>
      </c>
      <c r="X1449" s="81" t="s">
        <v>48</v>
      </c>
      <c r="Y1449" s="81" t="s">
        <v>48</v>
      </c>
    </row>
    <row r="1450" spans="1:25" x14ac:dyDescent="0.3">
      <c r="A1450" s="16">
        <v>7501033956331</v>
      </c>
      <c r="B1450" s="81" t="s">
        <v>43</v>
      </c>
      <c r="C1450" s="81" t="s">
        <v>1284</v>
      </c>
      <c r="D1450" s="81" t="s">
        <v>45</v>
      </c>
      <c r="E1450" s="81" t="s">
        <v>2227</v>
      </c>
      <c r="F1450" s="81" t="s">
        <v>2227</v>
      </c>
      <c r="G1450" s="81" t="s">
        <v>5115</v>
      </c>
      <c r="H1450" s="81" t="s">
        <v>6649</v>
      </c>
      <c r="I1450" s="81" t="s">
        <v>6650</v>
      </c>
      <c r="J1450" s="81" t="s">
        <v>2186</v>
      </c>
      <c r="K1450" s="81" t="s">
        <v>6650</v>
      </c>
      <c r="L1450" s="81" t="s">
        <v>2392</v>
      </c>
      <c r="M1450" s="81" t="s">
        <v>6650</v>
      </c>
      <c r="N1450" s="81" t="s">
        <v>2231</v>
      </c>
      <c r="O1450" s="81" t="s">
        <v>2187</v>
      </c>
      <c r="P1450" s="81" t="s">
        <v>2187</v>
      </c>
      <c r="Q1450" s="81" t="s">
        <v>43</v>
      </c>
      <c r="R1450" s="81" t="s">
        <v>203</v>
      </c>
      <c r="S1450" s="81" t="s">
        <v>203</v>
      </c>
      <c r="T1450" s="81" t="s">
        <v>48</v>
      </c>
      <c r="U1450" s="81" t="s">
        <v>48</v>
      </c>
      <c r="V1450" s="81" t="s">
        <v>49</v>
      </c>
      <c r="W1450" s="81" t="s">
        <v>48</v>
      </c>
      <c r="X1450" s="81" t="s">
        <v>48</v>
      </c>
      <c r="Y1450" s="81" t="s">
        <v>48</v>
      </c>
    </row>
    <row r="1451" spans="1:25" x14ac:dyDescent="0.3">
      <c r="A1451" s="16">
        <v>7509546068619</v>
      </c>
      <c r="B1451" s="81" t="s">
        <v>43</v>
      </c>
      <c r="C1451" s="81" t="s">
        <v>1285</v>
      </c>
      <c r="D1451" s="81" t="s">
        <v>45</v>
      </c>
      <c r="E1451" s="81" t="s">
        <v>2227</v>
      </c>
      <c r="F1451" s="81" t="s">
        <v>2179</v>
      </c>
      <c r="G1451" s="81" t="s">
        <v>3868</v>
      </c>
      <c r="H1451" s="81" t="s">
        <v>3160</v>
      </c>
      <c r="I1451" s="81" t="s">
        <v>6111</v>
      </c>
      <c r="J1451" s="81" t="s">
        <v>2186</v>
      </c>
      <c r="K1451" s="81" t="s">
        <v>6111</v>
      </c>
      <c r="L1451" s="81" t="s">
        <v>2392</v>
      </c>
      <c r="M1451" s="81" t="s">
        <v>6111</v>
      </c>
      <c r="N1451" s="81" t="s">
        <v>2231</v>
      </c>
      <c r="O1451" s="81" t="s">
        <v>2187</v>
      </c>
      <c r="P1451" s="81" t="s">
        <v>2187</v>
      </c>
      <c r="Q1451" s="81" t="s">
        <v>43</v>
      </c>
      <c r="R1451" s="81" t="s">
        <v>524</v>
      </c>
      <c r="S1451" s="81" t="s">
        <v>525</v>
      </c>
      <c r="T1451" s="81" t="s">
        <v>48</v>
      </c>
      <c r="U1451" s="81" t="s">
        <v>48</v>
      </c>
      <c r="V1451" s="81" t="s">
        <v>49</v>
      </c>
      <c r="W1451" s="81" t="s">
        <v>48</v>
      </c>
      <c r="X1451" s="81" t="s">
        <v>48</v>
      </c>
      <c r="Y1451" s="81" t="s">
        <v>48</v>
      </c>
    </row>
    <row r="1452" spans="1:25" x14ac:dyDescent="0.3">
      <c r="A1452" s="16">
        <v>7509546077253</v>
      </c>
      <c r="B1452" s="81" t="s">
        <v>43</v>
      </c>
      <c r="C1452" s="81" t="s">
        <v>1286</v>
      </c>
      <c r="D1452" s="81" t="s">
        <v>45</v>
      </c>
      <c r="E1452" s="81" t="s">
        <v>2227</v>
      </c>
      <c r="F1452" s="81" t="s">
        <v>2179</v>
      </c>
      <c r="G1452" s="81" t="s">
        <v>3478</v>
      </c>
      <c r="H1452" s="81" t="s">
        <v>3160</v>
      </c>
      <c r="I1452" s="81" t="s">
        <v>3355</v>
      </c>
      <c r="J1452" s="81" t="s">
        <v>2186</v>
      </c>
      <c r="K1452" s="81" t="s">
        <v>3355</v>
      </c>
      <c r="L1452" s="81" t="s">
        <v>2392</v>
      </c>
      <c r="M1452" s="81" t="s">
        <v>3355</v>
      </c>
      <c r="N1452" s="81" t="s">
        <v>2231</v>
      </c>
      <c r="O1452" s="81" t="s">
        <v>2187</v>
      </c>
      <c r="P1452" s="81" t="s">
        <v>2187</v>
      </c>
      <c r="Q1452" s="81" t="s">
        <v>43</v>
      </c>
      <c r="R1452" s="81" t="s">
        <v>524</v>
      </c>
      <c r="S1452" s="81" t="s">
        <v>525</v>
      </c>
      <c r="T1452" s="81" t="s">
        <v>48</v>
      </c>
      <c r="U1452" s="81" t="s">
        <v>48</v>
      </c>
      <c r="V1452" s="81" t="s">
        <v>49</v>
      </c>
      <c r="W1452" s="81" t="s">
        <v>48</v>
      </c>
      <c r="X1452" s="81" t="s">
        <v>48</v>
      </c>
      <c r="Y1452" s="81" t="s">
        <v>48</v>
      </c>
    </row>
    <row r="1453" spans="1:25" x14ac:dyDescent="0.3">
      <c r="A1453" s="16">
        <v>7501035909007</v>
      </c>
      <c r="B1453" s="81" t="s">
        <v>43</v>
      </c>
      <c r="C1453" s="81" t="s">
        <v>1287</v>
      </c>
      <c r="D1453" s="81" t="s">
        <v>45</v>
      </c>
      <c r="E1453" s="81" t="s">
        <v>2227</v>
      </c>
      <c r="F1453" s="81" t="s">
        <v>2227</v>
      </c>
      <c r="G1453" s="81" t="s">
        <v>3270</v>
      </c>
      <c r="H1453" s="81" t="s">
        <v>3160</v>
      </c>
      <c r="I1453" s="81" t="s">
        <v>6651</v>
      </c>
      <c r="J1453" s="81" t="s">
        <v>2186</v>
      </c>
      <c r="K1453" s="81" t="s">
        <v>6651</v>
      </c>
      <c r="L1453" s="81" t="s">
        <v>2392</v>
      </c>
      <c r="M1453" s="81" t="s">
        <v>6651</v>
      </c>
      <c r="N1453" s="81" t="s">
        <v>2231</v>
      </c>
      <c r="O1453" s="81" t="s">
        <v>2187</v>
      </c>
      <c r="P1453" s="81" t="s">
        <v>2187</v>
      </c>
      <c r="Q1453" s="81" t="s">
        <v>43</v>
      </c>
      <c r="R1453" s="81" t="s">
        <v>524</v>
      </c>
      <c r="S1453" s="81" t="s">
        <v>525</v>
      </c>
      <c r="T1453" s="81" t="s">
        <v>48</v>
      </c>
      <c r="U1453" s="81" t="s">
        <v>48</v>
      </c>
      <c r="V1453" s="81" t="s">
        <v>49</v>
      </c>
      <c r="W1453" s="81" t="s">
        <v>48</v>
      </c>
      <c r="X1453" s="81" t="s">
        <v>48</v>
      </c>
      <c r="Y1453" s="81" t="s">
        <v>48</v>
      </c>
    </row>
    <row r="1454" spans="1:25" x14ac:dyDescent="0.3">
      <c r="A1454" s="16">
        <v>7509546068602</v>
      </c>
      <c r="B1454" s="81" t="s">
        <v>43</v>
      </c>
      <c r="C1454" s="81" t="s">
        <v>1288</v>
      </c>
      <c r="D1454" s="81" t="s">
        <v>45</v>
      </c>
      <c r="E1454" s="81" t="s">
        <v>2227</v>
      </c>
      <c r="F1454" s="81" t="s">
        <v>2227</v>
      </c>
      <c r="G1454" s="81" t="s">
        <v>3750</v>
      </c>
      <c r="H1454" s="81" t="s">
        <v>6118</v>
      </c>
      <c r="I1454" s="81" t="s">
        <v>6652</v>
      </c>
      <c r="J1454" s="81" t="s">
        <v>2186</v>
      </c>
      <c r="K1454" s="81" t="s">
        <v>6652</v>
      </c>
      <c r="L1454" s="81" t="s">
        <v>2392</v>
      </c>
      <c r="M1454" s="81" t="s">
        <v>6652</v>
      </c>
      <c r="N1454" s="81" t="s">
        <v>2231</v>
      </c>
      <c r="O1454" s="81" t="s">
        <v>2187</v>
      </c>
      <c r="P1454" s="81" t="s">
        <v>2187</v>
      </c>
      <c r="Q1454" s="81" t="s">
        <v>43</v>
      </c>
      <c r="R1454" s="81" t="s">
        <v>524</v>
      </c>
      <c r="S1454" s="81" t="s">
        <v>525</v>
      </c>
      <c r="T1454" s="81" t="s">
        <v>48</v>
      </c>
      <c r="U1454" s="81" t="s">
        <v>48</v>
      </c>
      <c r="V1454" s="81" t="s">
        <v>49</v>
      </c>
      <c r="W1454" s="81" t="s">
        <v>48</v>
      </c>
      <c r="X1454" s="81" t="s">
        <v>48</v>
      </c>
      <c r="Y1454" s="81" t="s">
        <v>48</v>
      </c>
    </row>
    <row r="1455" spans="1:25" x14ac:dyDescent="0.3">
      <c r="A1455" s="16">
        <v>7501008443033</v>
      </c>
      <c r="B1455" s="81" t="s">
        <v>43</v>
      </c>
      <c r="C1455" s="81" t="s">
        <v>2046</v>
      </c>
      <c r="D1455" s="81" t="s">
        <v>45</v>
      </c>
      <c r="E1455" s="81" t="s">
        <v>2364</v>
      </c>
      <c r="F1455" s="81" t="s">
        <v>2215</v>
      </c>
      <c r="G1455" s="81" t="s">
        <v>4975</v>
      </c>
      <c r="H1455" s="81" t="s">
        <v>2506</v>
      </c>
      <c r="I1455" s="81" t="s">
        <v>5518</v>
      </c>
      <c r="J1455" s="81" t="s">
        <v>2186</v>
      </c>
      <c r="K1455" s="81" t="s">
        <v>5518</v>
      </c>
      <c r="L1455" s="81" t="s">
        <v>2392</v>
      </c>
      <c r="M1455" s="81" t="s">
        <v>5518</v>
      </c>
      <c r="N1455" s="81" t="s">
        <v>2231</v>
      </c>
      <c r="O1455" s="81" t="s">
        <v>2187</v>
      </c>
      <c r="P1455" s="81" t="s">
        <v>2187</v>
      </c>
      <c r="Q1455" s="81" t="s">
        <v>43</v>
      </c>
      <c r="R1455" s="81" t="s">
        <v>203</v>
      </c>
      <c r="S1455" s="81" t="s">
        <v>47</v>
      </c>
      <c r="T1455" s="81" t="s">
        <v>48</v>
      </c>
      <c r="U1455" s="81" t="s">
        <v>48</v>
      </c>
      <c r="V1455" s="81" t="s">
        <v>48</v>
      </c>
      <c r="W1455" s="81" t="s">
        <v>49</v>
      </c>
      <c r="X1455" s="81" t="s">
        <v>48</v>
      </c>
      <c r="Y1455" s="81" t="s">
        <v>48</v>
      </c>
    </row>
    <row r="1456" spans="1:25" x14ac:dyDescent="0.3">
      <c r="A1456" s="16">
        <v>7502216808102</v>
      </c>
      <c r="B1456" s="81" t="s">
        <v>43</v>
      </c>
      <c r="C1456" s="81" t="s">
        <v>3870</v>
      </c>
      <c r="D1456" s="81" t="s">
        <v>45</v>
      </c>
      <c r="E1456" s="81" t="s">
        <v>2227</v>
      </c>
      <c r="F1456" s="81" t="s">
        <v>2227</v>
      </c>
      <c r="G1456" s="81" t="s">
        <v>3871</v>
      </c>
      <c r="H1456" s="81" t="s">
        <v>6653</v>
      </c>
      <c r="I1456" s="81" t="s">
        <v>6654</v>
      </c>
      <c r="J1456" s="81" t="s">
        <v>2186</v>
      </c>
      <c r="K1456" s="81" t="s">
        <v>6654</v>
      </c>
      <c r="L1456" s="81" t="s">
        <v>2392</v>
      </c>
      <c r="M1456" s="81" t="s">
        <v>6654</v>
      </c>
      <c r="N1456" s="81" t="s">
        <v>2231</v>
      </c>
      <c r="O1456" s="81" t="s">
        <v>2187</v>
      </c>
      <c r="P1456" s="81" t="s">
        <v>2187</v>
      </c>
      <c r="Q1456" s="81" t="s">
        <v>43</v>
      </c>
      <c r="R1456" s="81" t="s">
        <v>101</v>
      </c>
      <c r="S1456" s="81" t="s">
        <v>101</v>
      </c>
      <c r="T1456" s="81" t="s">
        <v>48</v>
      </c>
      <c r="U1456" s="81" t="s">
        <v>48</v>
      </c>
      <c r="V1456" s="81" t="s">
        <v>48</v>
      </c>
      <c r="W1456" s="81" t="s">
        <v>49</v>
      </c>
      <c r="X1456" s="81" t="s">
        <v>48</v>
      </c>
      <c r="Y1456" s="81" t="s">
        <v>48</v>
      </c>
    </row>
    <row r="1457" spans="1:25" x14ac:dyDescent="0.3">
      <c r="A1457" s="16">
        <v>7502009749537</v>
      </c>
      <c r="B1457" s="81" t="s">
        <v>43</v>
      </c>
      <c r="C1457" s="81" t="s">
        <v>1837</v>
      </c>
      <c r="D1457" s="81" t="s">
        <v>45</v>
      </c>
      <c r="E1457" s="81" t="s">
        <v>2227</v>
      </c>
      <c r="F1457" s="81" t="s">
        <v>2227</v>
      </c>
      <c r="G1457" s="81" t="s">
        <v>5227</v>
      </c>
      <c r="H1457" s="81" t="s">
        <v>2941</v>
      </c>
      <c r="I1457" s="81" t="s">
        <v>6655</v>
      </c>
      <c r="J1457" s="81" t="s">
        <v>2186</v>
      </c>
      <c r="K1457" s="81" t="s">
        <v>6655</v>
      </c>
      <c r="L1457" s="81" t="s">
        <v>2392</v>
      </c>
      <c r="M1457" s="81" t="s">
        <v>6655</v>
      </c>
      <c r="N1457" s="81" t="s">
        <v>2231</v>
      </c>
      <c r="O1457" s="81" t="s">
        <v>2187</v>
      </c>
      <c r="P1457" s="81" t="s">
        <v>2187</v>
      </c>
      <c r="Q1457" s="81" t="s">
        <v>2166</v>
      </c>
      <c r="R1457" s="81" t="s">
        <v>46</v>
      </c>
      <c r="S1457" s="81" t="s">
        <v>46</v>
      </c>
      <c r="T1457" s="81" t="s">
        <v>48</v>
      </c>
      <c r="U1457" s="81" t="s">
        <v>48</v>
      </c>
      <c r="V1457" s="81" t="s">
        <v>48</v>
      </c>
      <c r="W1457" s="81" t="s">
        <v>49</v>
      </c>
      <c r="X1457" s="81" t="s">
        <v>48</v>
      </c>
      <c r="Y1457" s="81" t="s">
        <v>48</v>
      </c>
    </row>
    <row r="1458" spans="1:25" x14ac:dyDescent="0.3">
      <c r="A1458" s="16">
        <v>7501057005848</v>
      </c>
      <c r="B1458" s="81" t="s">
        <v>43</v>
      </c>
      <c r="C1458" s="81" t="s">
        <v>1289</v>
      </c>
      <c r="D1458" s="81" t="s">
        <v>45</v>
      </c>
      <c r="E1458" s="81" t="s">
        <v>2227</v>
      </c>
      <c r="F1458" s="81" t="s">
        <v>2227</v>
      </c>
      <c r="G1458" s="81" t="s">
        <v>3872</v>
      </c>
      <c r="H1458" s="81" t="s">
        <v>2682</v>
      </c>
      <c r="I1458" s="81" t="s">
        <v>3113</v>
      </c>
      <c r="J1458" s="81" t="s">
        <v>2186</v>
      </c>
      <c r="K1458" s="81" t="s">
        <v>2935</v>
      </c>
      <c r="L1458" s="81" t="s">
        <v>2392</v>
      </c>
      <c r="M1458" s="81" t="s">
        <v>2981</v>
      </c>
      <c r="N1458" s="81" t="s">
        <v>2231</v>
      </c>
      <c r="O1458" s="81" t="s">
        <v>2187</v>
      </c>
      <c r="P1458" s="81" t="s">
        <v>2187</v>
      </c>
      <c r="Q1458" s="81" t="s">
        <v>43</v>
      </c>
      <c r="R1458" s="81" t="s">
        <v>524</v>
      </c>
      <c r="S1458" s="81" t="s">
        <v>525</v>
      </c>
      <c r="T1458" s="81" t="s">
        <v>48</v>
      </c>
      <c r="U1458" s="81" t="s">
        <v>48</v>
      </c>
      <c r="V1458" s="81" t="s">
        <v>48</v>
      </c>
      <c r="W1458" s="81" t="s">
        <v>49</v>
      </c>
      <c r="X1458" s="81" t="s">
        <v>48</v>
      </c>
      <c r="Y1458" s="81" t="s">
        <v>48</v>
      </c>
    </row>
    <row r="1459" spans="1:25" x14ac:dyDescent="0.3">
      <c r="A1459" s="16">
        <v>7502253073211</v>
      </c>
      <c r="B1459" s="81" t="s">
        <v>43</v>
      </c>
      <c r="C1459" s="81" t="s">
        <v>1290</v>
      </c>
      <c r="D1459" s="81" t="s">
        <v>45</v>
      </c>
      <c r="E1459" s="81" t="s">
        <v>2227</v>
      </c>
      <c r="F1459" s="81" t="s">
        <v>2227</v>
      </c>
      <c r="G1459" s="81" t="s">
        <v>3873</v>
      </c>
      <c r="H1459" s="81" t="s">
        <v>2961</v>
      </c>
      <c r="I1459" s="81" t="s">
        <v>6656</v>
      </c>
      <c r="J1459" s="81" t="s">
        <v>2186</v>
      </c>
      <c r="K1459" s="81" t="s">
        <v>6656</v>
      </c>
      <c r="L1459" s="81" t="s">
        <v>2392</v>
      </c>
      <c r="M1459" s="81" t="s">
        <v>6656</v>
      </c>
      <c r="N1459" s="81" t="s">
        <v>2231</v>
      </c>
      <c r="O1459" s="81" t="s">
        <v>2187</v>
      </c>
      <c r="P1459" s="81" t="s">
        <v>2187</v>
      </c>
      <c r="Q1459" s="81" t="s">
        <v>43</v>
      </c>
      <c r="R1459" s="81" t="s">
        <v>374</v>
      </c>
      <c r="S1459" s="81" t="s">
        <v>374</v>
      </c>
      <c r="T1459" s="81" t="s">
        <v>48</v>
      </c>
      <c r="U1459" s="81" t="s">
        <v>48</v>
      </c>
      <c r="V1459" s="81" t="s">
        <v>48</v>
      </c>
      <c r="W1459" s="81" t="s">
        <v>49</v>
      </c>
      <c r="X1459" s="81" t="s">
        <v>48</v>
      </c>
      <c r="Y1459" s="81" t="s">
        <v>48</v>
      </c>
    </row>
    <row r="1460" spans="1:25" x14ac:dyDescent="0.3">
      <c r="A1460" s="16">
        <v>7500435157964</v>
      </c>
      <c r="B1460" s="81" t="s">
        <v>43</v>
      </c>
      <c r="C1460" s="81" t="s">
        <v>1291</v>
      </c>
      <c r="D1460" s="81" t="s">
        <v>45</v>
      </c>
      <c r="E1460" s="81" t="s">
        <v>2227</v>
      </c>
      <c r="F1460" s="81" t="s">
        <v>2227</v>
      </c>
      <c r="G1460" s="81" t="s">
        <v>3874</v>
      </c>
      <c r="H1460" s="81" t="s">
        <v>2264</v>
      </c>
      <c r="I1460" s="81" t="s">
        <v>6657</v>
      </c>
      <c r="J1460" s="81" t="s">
        <v>2186</v>
      </c>
      <c r="K1460" s="81" t="s">
        <v>6657</v>
      </c>
      <c r="L1460" s="81" t="s">
        <v>2392</v>
      </c>
      <c r="M1460" s="81" t="s">
        <v>6657</v>
      </c>
      <c r="N1460" s="81" t="s">
        <v>2231</v>
      </c>
      <c r="O1460" s="81" t="s">
        <v>2187</v>
      </c>
      <c r="P1460" s="81" t="s">
        <v>2187</v>
      </c>
      <c r="Q1460" s="81" t="s">
        <v>43</v>
      </c>
      <c r="R1460" s="81" t="s">
        <v>524</v>
      </c>
      <c r="S1460" s="81" t="s">
        <v>525</v>
      </c>
      <c r="T1460" s="81" t="s">
        <v>48</v>
      </c>
      <c r="U1460" s="81" t="s">
        <v>48</v>
      </c>
      <c r="V1460" s="81" t="s">
        <v>48</v>
      </c>
      <c r="W1460" s="81" t="s">
        <v>49</v>
      </c>
      <c r="X1460" s="81" t="s">
        <v>48</v>
      </c>
      <c r="Y1460" s="81" t="s">
        <v>48</v>
      </c>
    </row>
    <row r="1461" spans="1:25" x14ac:dyDescent="0.3">
      <c r="A1461" s="16" t="s">
        <v>1292</v>
      </c>
      <c r="B1461" s="81" t="s">
        <v>43</v>
      </c>
      <c r="C1461" s="81" t="s">
        <v>1293</v>
      </c>
      <c r="D1461" s="81" t="s">
        <v>45</v>
      </c>
      <c r="E1461" s="81" t="s">
        <v>2245</v>
      </c>
      <c r="F1461" s="81" t="s">
        <v>2402</v>
      </c>
      <c r="G1461" s="81" t="s">
        <v>3689</v>
      </c>
      <c r="H1461" s="81" t="s">
        <v>5716</v>
      </c>
      <c r="I1461" s="81" t="s">
        <v>6658</v>
      </c>
      <c r="J1461" s="81" t="s">
        <v>2186</v>
      </c>
      <c r="K1461" s="81" t="s">
        <v>6658</v>
      </c>
      <c r="L1461" s="81" t="s">
        <v>2392</v>
      </c>
      <c r="M1461" s="81" t="s">
        <v>6658</v>
      </c>
      <c r="N1461" s="81" t="s">
        <v>2231</v>
      </c>
      <c r="O1461" s="81" t="s">
        <v>2187</v>
      </c>
      <c r="P1461" s="81" t="s">
        <v>2187</v>
      </c>
      <c r="Q1461" s="81" t="s">
        <v>153</v>
      </c>
      <c r="R1461" s="81" t="s">
        <v>51</v>
      </c>
      <c r="S1461" s="81" t="s">
        <v>81</v>
      </c>
      <c r="T1461" s="81" t="s">
        <v>49</v>
      </c>
      <c r="U1461" s="81" t="s">
        <v>48</v>
      </c>
      <c r="V1461" s="81" t="s">
        <v>48</v>
      </c>
      <c r="W1461" s="81" t="s">
        <v>49</v>
      </c>
      <c r="X1461" s="81" t="s">
        <v>48</v>
      </c>
      <c r="Y1461" s="81" t="s">
        <v>48</v>
      </c>
    </row>
    <row r="1462" spans="1:25" x14ac:dyDescent="0.3">
      <c r="A1462" s="16" t="s">
        <v>1294</v>
      </c>
      <c r="B1462" s="81" t="s">
        <v>43</v>
      </c>
      <c r="C1462" s="81" t="s">
        <v>1295</v>
      </c>
      <c r="D1462" s="81" t="s">
        <v>45</v>
      </c>
      <c r="E1462" s="81" t="s">
        <v>2227</v>
      </c>
      <c r="F1462" s="81" t="s">
        <v>2227</v>
      </c>
      <c r="G1462" s="81" t="s">
        <v>3875</v>
      </c>
      <c r="H1462" s="81" t="s">
        <v>6659</v>
      </c>
      <c r="I1462" s="81" t="s">
        <v>6660</v>
      </c>
      <c r="J1462" s="81" t="s">
        <v>2186</v>
      </c>
      <c r="K1462" s="81" t="s">
        <v>6660</v>
      </c>
      <c r="L1462" s="81" t="s">
        <v>2392</v>
      </c>
      <c r="M1462" s="81" t="s">
        <v>6660</v>
      </c>
      <c r="N1462" s="81" t="s">
        <v>2231</v>
      </c>
      <c r="O1462" s="81" t="s">
        <v>2187</v>
      </c>
      <c r="P1462" s="81" t="s">
        <v>2187</v>
      </c>
      <c r="Q1462" s="81" t="s">
        <v>43</v>
      </c>
      <c r="R1462" s="81" t="s">
        <v>101</v>
      </c>
      <c r="S1462" s="81" t="s">
        <v>101</v>
      </c>
      <c r="T1462" s="81" t="s">
        <v>48</v>
      </c>
      <c r="U1462" s="81" t="s">
        <v>48</v>
      </c>
      <c r="V1462" s="81" t="s">
        <v>49</v>
      </c>
      <c r="W1462" s="81" t="s">
        <v>48</v>
      </c>
      <c r="X1462" s="81" t="s">
        <v>48</v>
      </c>
      <c r="Y1462" s="81" t="s">
        <v>48</v>
      </c>
    </row>
    <row r="1463" spans="1:25" x14ac:dyDescent="0.3">
      <c r="A1463" s="16" t="s">
        <v>1296</v>
      </c>
      <c r="B1463" s="81" t="s">
        <v>43</v>
      </c>
      <c r="C1463" s="81" t="s">
        <v>1297</v>
      </c>
      <c r="D1463" s="81" t="s">
        <v>45</v>
      </c>
      <c r="E1463" s="81" t="s">
        <v>2195</v>
      </c>
      <c r="F1463" s="81" t="s">
        <v>2877</v>
      </c>
      <c r="G1463" s="81" t="s">
        <v>3435</v>
      </c>
      <c r="H1463" s="81" t="s">
        <v>6661</v>
      </c>
      <c r="I1463" s="81" t="s">
        <v>6662</v>
      </c>
      <c r="J1463" s="81" t="s">
        <v>2186</v>
      </c>
      <c r="K1463" s="81" t="s">
        <v>6662</v>
      </c>
      <c r="L1463" s="81" t="s">
        <v>2392</v>
      </c>
      <c r="M1463" s="81" t="s">
        <v>6662</v>
      </c>
      <c r="N1463" s="81" t="s">
        <v>2231</v>
      </c>
      <c r="O1463" s="81" t="s">
        <v>2187</v>
      </c>
      <c r="P1463" s="81" t="s">
        <v>2187</v>
      </c>
      <c r="Q1463" s="81" t="s">
        <v>43</v>
      </c>
      <c r="R1463" s="81" t="s">
        <v>46</v>
      </c>
      <c r="S1463" s="81" t="s">
        <v>164</v>
      </c>
      <c r="T1463" s="81" t="s">
        <v>48</v>
      </c>
      <c r="U1463" s="81" t="s">
        <v>48</v>
      </c>
      <c r="V1463" s="81" t="s">
        <v>48</v>
      </c>
      <c r="W1463" s="81" t="s">
        <v>49</v>
      </c>
      <c r="X1463" s="81" t="s">
        <v>48</v>
      </c>
      <c r="Y1463" s="81" t="s">
        <v>48</v>
      </c>
    </row>
    <row r="1464" spans="1:25" x14ac:dyDescent="0.3">
      <c r="A1464" s="16" t="s">
        <v>1298</v>
      </c>
      <c r="B1464" s="81" t="s">
        <v>43</v>
      </c>
      <c r="C1464" s="81" t="s">
        <v>1674</v>
      </c>
      <c r="D1464" s="81" t="s">
        <v>45</v>
      </c>
      <c r="E1464" s="81" t="s">
        <v>2227</v>
      </c>
      <c r="F1464" s="81" t="s">
        <v>2227</v>
      </c>
      <c r="G1464" s="81" t="s">
        <v>3856</v>
      </c>
      <c r="H1464" s="81" t="s">
        <v>6663</v>
      </c>
      <c r="I1464" s="81" t="s">
        <v>6664</v>
      </c>
      <c r="J1464" s="81" t="s">
        <v>2186</v>
      </c>
      <c r="K1464" s="81" t="s">
        <v>6664</v>
      </c>
      <c r="L1464" s="81" t="s">
        <v>2392</v>
      </c>
      <c r="M1464" s="81" t="s">
        <v>6664</v>
      </c>
      <c r="N1464" s="81" t="s">
        <v>2231</v>
      </c>
      <c r="O1464" s="81" t="s">
        <v>2187</v>
      </c>
      <c r="P1464" s="81" t="s">
        <v>2187</v>
      </c>
      <c r="Q1464" s="81" t="s">
        <v>43</v>
      </c>
      <c r="R1464" s="81" t="s">
        <v>46</v>
      </c>
      <c r="S1464" s="81" t="s">
        <v>73</v>
      </c>
      <c r="T1464" s="81" t="s">
        <v>48</v>
      </c>
      <c r="U1464" s="81" t="s">
        <v>48</v>
      </c>
      <c r="V1464" s="81" t="s">
        <v>48</v>
      </c>
      <c r="W1464" s="81" t="s">
        <v>49</v>
      </c>
      <c r="X1464" s="81" t="s">
        <v>48</v>
      </c>
      <c r="Y1464" s="81" t="s">
        <v>48</v>
      </c>
    </row>
    <row r="1465" spans="1:25" x14ac:dyDescent="0.3">
      <c r="A1465" s="16" t="s">
        <v>1299</v>
      </c>
      <c r="B1465" s="81" t="s">
        <v>43</v>
      </c>
      <c r="C1465" s="81" t="s">
        <v>1300</v>
      </c>
      <c r="D1465" s="81" t="s">
        <v>45</v>
      </c>
      <c r="E1465" s="81" t="s">
        <v>2227</v>
      </c>
      <c r="F1465" s="81" t="s">
        <v>2227</v>
      </c>
      <c r="G1465" s="81" t="s">
        <v>3876</v>
      </c>
      <c r="H1465" s="81" t="s">
        <v>2511</v>
      </c>
      <c r="I1465" s="81" t="s">
        <v>6665</v>
      </c>
      <c r="J1465" s="81" t="s">
        <v>2186</v>
      </c>
      <c r="K1465" s="81" t="s">
        <v>6665</v>
      </c>
      <c r="L1465" s="81" t="s">
        <v>2392</v>
      </c>
      <c r="M1465" s="81" t="s">
        <v>6665</v>
      </c>
      <c r="N1465" s="81" t="s">
        <v>2231</v>
      </c>
      <c r="O1465" s="81" t="s">
        <v>2187</v>
      </c>
      <c r="P1465" s="81" t="s">
        <v>2187</v>
      </c>
      <c r="Q1465" s="81" t="s">
        <v>43</v>
      </c>
      <c r="R1465" s="81" t="s">
        <v>46</v>
      </c>
      <c r="S1465" s="81" t="s">
        <v>73</v>
      </c>
      <c r="T1465" s="81" t="s">
        <v>48</v>
      </c>
      <c r="U1465" s="81" t="s">
        <v>48</v>
      </c>
      <c r="V1465" s="81" t="s">
        <v>48</v>
      </c>
      <c r="W1465" s="81" t="s">
        <v>49</v>
      </c>
      <c r="X1465" s="81" t="s">
        <v>48</v>
      </c>
      <c r="Y1465" s="81" t="s">
        <v>48</v>
      </c>
    </row>
    <row r="1466" spans="1:25" x14ac:dyDescent="0.3">
      <c r="A1466" s="16" t="s">
        <v>1301</v>
      </c>
      <c r="B1466" s="81" t="s">
        <v>43</v>
      </c>
      <c r="C1466" s="81" t="s">
        <v>1743</v>
      </c>
      <c r="D1466" s="81" t="s">
        <v>45</v>
      </c>
      <c r="E1466" s="81" t="s">
        <v>2617</v>
      </c>
      <c r="F1466" s="81" t="s">
        <v>2422</v>
      </c>
      <c r="G1466" s="81" t="s">
        <v>3877</v>
      </c>
      <c r="H1466" s="81" t="s">
        <v>5279</v>
      </c>
      <c r="I1466" s="81" t="s">
        <v>5280</v>
      </c>
      <c r="J1466" s="81" t="s">
        <v>2186</v>
      </c>
      <c r="K1466" s="81" t="s">
        <v>5281</v>
      </c>
      <c r="L1466" s="81" t="s">
        <v>2392</v>
      </c>
      <c r="M1466" s="81" t="s">
        <v>5282</v>
      </c>
      <c r="N1466" s="81" t="s">
        <v>2231</v>
      </c>
      <c r="O1466" s="81" t="s">
        <v>2187</v>
      </c>
      <c r="P1466" s="81" t="s">
        <v>2187</v>
      </c>
      <c r="Q1466" s="81" t="s">
        <v>43</v>
      </c>
      <c r="R1466" s="81" t="s">
        <v>506</v>
      </c>
      <c r="S1466" s="81" t="s">
        <v>506</v>
      </c>
      <c r="T1466" s="81" t="s">
        <v>48</v>
      </c>
      <c r="U1466" s="81" t="s">
        <v>48</v>
      </c>
      <c r="V1466" s="81" t="s">
        <v>48</v>
      </c>
      <c r="W1466" s="81" t="s">
        <v>49</v>
      </c>
      <c r="X1466" s="81" t="s">
        <v>48</v>
      </c>
      <c r="Y1466" s="81" t="s">
        <v>48</v>
      </c>
    </row>
    <row r="1467" spans="1:25" x14ac:dyDescent="0.3">
      <c r="A1467" s="16" t="s">
        <v>1302</v>
      </c>
      <c r="B1467" s="81" t="s">
        <v>43</v>
      </c>
      <c r="C1467" s="81" t="s">
        <v>1303</v>
      </c>
      <c r="D1467" s="81" t="s">
        <v>45</v>
      </c>
      <c r="E1467" s="81" t="s">
        <v>2352</v>
      </c>
      <c r="F1467" s="81" t="s">
        <v>2496</v>
      </c>
      <c r="G1467" s="81" t="s">
        <v>3878</v>
      </c>
      <c r="H1467" s="81" t="s">
        <v>2998</v>
      </c>
      <c r="I1467" s="81" t="s">
        <v>3879</v>
      </c>
      <c r="J1467" s="81" t="s">
        <v>2186</v>
      </c>
      <c r="K1467" s="81" t="s">
        <v>3880</v>
      </c>
      <c r="L1467" s="81" t="s">
        <v>2392</v>
      </c>
      <c r="M1467" s="81" t="s">
        <v>3108</v>
      </c>
      <c r="N1467" s="81" t="s">
        <v>2231</v>
      </c>
      <c r="O1467" s="81" t="s">
        <v>2187</v>
      </c>
      <c r="P1467" s="81" t="s">
        <v>2187</v>
      </c>
      <c r="Q1467" s="81" t="s">
        <v>43</v>
      </c>
      <c r="R1467" s="81" t="s">
        <v>203</v>
      </c>
      <c r="S1467" s="81" t="s">
        <v>203</v>
      </c>
      <c r="T1467" s="81" t="s">
        <v>48</v>
      </c>
      <c r="U1467" s="81" t="s">
        <v>48</v>
      </c>
      <c r="V1467" s="81" t="s">
        <v>48</v>
      </c>
      <c r="W1467" s="81" t="s">
        <v>49</v>
      </c>
      <c r="X1467" s="81" t="s">
        <v>48</v>
      </c>
      <c r="Y1467" s="81" t="s">
        <v>48</v>
      </c>
    </row>
    <row r="1468" spans="1:25" x14ac:dyDescent="0.3">
      <c r="A1468" s="16">
        <v>7501349021310</v>
      </c>
      <c r="B1468" s="81" t="s">
        <v>43</v>
      </c>
      <c r="C1468" s="81" t="s">
        <v>2047</v>
      </c>
      <c r="D1468" s="81" t="s">
        <v>45</v>
      </c>
      <c r="E1468" s="81" t="s">
        <v>2227</v>
      </c>
      <c r="F1468" s="81" t="s">
        <v>2227</v>
      </c>
      <c r="G1468" s="81" t="s">
        <v>4292</v>
      </c>
      <c r="H1468" s="81" t="s">
        <v>3881</v>
      </c>
      <c r="I1468" s="81" t="s">
        <v>5659</v>
      </c>
      <c r="J1468" s="81" t="s">
        <v>2186</v>
      </c>
      <c r="K1468" s="81" t="s">
        <v>5659</v>
      </c>
      <c r="L1468" s="81" t="s">
        <v>2392</v>
      </c>
      <c r="M1468" s="81" t="s">
        <v>5659</v>
      </c>
      <c r="N1468" s="81" t="s">
        <v>2231</v>
      </c>
      <c r="O1468" s="81" t="s">
        <v>2187</v>
      </c>
      <c r="P1468" s="81" t="s">
        <v>2187</v>
      </c>
      <c r="Q1468" s="81" t="s">
        <v>43</v>
      </c>
      <c r="R1468" s="81" t="s">
        <v>46</v>
      </c>
      <c r="S1468" s="81" t="s">
        <v>46</v>
      </c>
      <c r="T1468" s="81" t="s">
        <v>48</v>
      </c>
      <c r="U1468" s="81" t="s">
        <v>48</v>
      </c>
      <c r="V1468" s="81" t="s">
        <v>48</v>
      </c>
      <c r="W1468" s="81" t="s">
        <v>49</v>
      </c>
      <c r="X1468" s="81" t="s">
        <v>48</v>
      </c>
      <c r="Y1468" s="81" t="s">
        <v>48</v>
      </c>
    </row>
    <row r="1469" spans="1:25" x14ac:dyDescent="0.3">
      <c r="A1469" s="16">
        <v>7501349024533</v>
      </c>
      <c r="B1469" s="81" t="s">
        <v>43</v>
      </c>
      <c r="C1469" s="81" t="s">
        <v>2048</v>
      </c>
      <c r="D1469" s="81" t="s">
        <v>45</v>
      </c>
      <c r="E1469" s="81" t="s">
        <v>2227</v>
      </c>
      <c r="F1469" s="81" t="s">
        <v>2227</v>
      </c>
      <c r="G1469" s="81" t="s">
        <v>4955</v>
      </c>
      <c r="H1469" s="81" t="s">
        <v>2535</v>
      </c>
      <c r="I1469" s="81" t="s">
        <v>6666</v>
      </c>
      <c r="J1469" s="81" t="s">
        <v>2186</v>
      </c>
      <c r="K1469" s="81" t="s">
        <v>6666</v>
      </c>
      <c r="L1469" s="81" t="s">
        <v>2392</v>
      </c>
      <c r="M1469" s="81" t="s">
        <v>6666</v>
      </c>
      <c r="N1469" s="81" t="s">
        <v>2231</v>
      </c>
      <c r="O1469" s="81" t="s">
        <v>2187</v>
      </c>
      <c r="P1469" s="81" t="s">
        <v>2187</v>
      </c>
      <c r="Q1469" s="81" t="s">
        <v>43</v>
      </c>
      <c r="R1469" s="81" t="s">
        <v>46</v>
      </c>
      <c r="S1469" s="81" t="s">
        <v>46</v>
      </c>
      <c r="T1469" s="81" t="s">
        <v>48</v>
      </c>
      <c r="U1469" s="81" t="s">
        <v>48</v>
      </c>
      <c r="V1469" s="81" t="s">
        <v>48</v>
      </c>
      <c r="W1469" s="81" t="s">
        <v>49</v>
      </c>
      <c r="X1469" s="81" t="s">
        <v>48</v>
      </c>
      <c r="Y1469" s="81" t="s">
        <v>48</v>
      </c>
    </row>
    <row r="1470" spans="1:25" x14ac:dyDescent="0.3">
      <c r="A1470" s="16">
        <v>650240013775</v>
      </c>
      <c r="B1470" s="81" t="s">
        <v>43</v>
      </c>
      <c r="C1470" s="81" t="s">
        <v>1304</v>
      </c>
      <c r="D1470" s="81" t="s">
        <v>45</v>
      </c>
      <c r="E1470" s="81" t="s">
        <v>2191</v>
      </c>
      <c r="F1470" s="81" t="s">
        <v>2303</v>
      </c>
      <c r="G1470" s="81" t="s">
        <v>3882</v>
      </c>
      <c r="H1470" s="81" t="s">
        <v>2860</v>
      </c>
      <c r="I1470" s="81" t="s">
        <v>6667</v>
      </c>
      <c r="J1470" s="81" t="s">
        <v>2186</v>
      </c>
      <c r="K1470" s="81" t="s">
        <v>6667</v>
      </c>
      <c r="L1470" s="81" t="s">
        <v>2392</v>
      </c>
      <c r="M1470" s="81" t="s">
        <v>6667</v>
      </c>
      <c r="N1470" s="81" t="s">
        <v>2231</v>
      </c>
      <c r="O1470" s="81" t="s">
        <v>2187</v>
      </c>
      <c r="P1470" s="81" t="s">
        <v>2187</v>
      </c>
      <c r="Q1470" s="81" t="s">
        <v>43</v>
      </c>
      <c r="R1470" s="81" t="s">
        <v>203</v>
      </c>
      <c r="S1470" s="81" t="s">
        <v>203</v>
      </c>
      <c r="T1470" s="81" t="s">
        <v>48</v>
      </c>
      <c r="U1470" s="81" t="s">
        <v>48</v>
      </c>
      <c r="V1470" s="81" t="s">
        <v>48</v>
      </c>
      <c r="W1470" s="81" t="s">
        <v>49</v>
      </c>
      <c r="X1470" s="81" t="s">
        <v>48</v>
      </c>
      <c r="Y1470" s="81" t="s">
        <v>48</v>
      </c>
    </row>
    <row r="1471" spans="1:25" x14ac:dyDescent="0.3">
      <c r="A1471" s="16">
        <v>7501070903497</v>
      </c>
      <c r="B1471" s="81" t="s">
        <v>43</v>
      </c>
      <c r="C1471" s="81" t="s">
        <v>1305</v>
      </c>
      <c r="D1471" s="81" t="s">
        <v>45</v>
      </c>
      <c r="E1471" s="81" t="s">
        <v>2227</v>
      </c>
      <c r="F1471" s="81" t="s">
        <v>2227</v>
      </c>
      <c r="G1471" s="81" t="s">
        <v>3884</v>
      </c>
      <c r="H1471" s="81" t="s">
        <v>6668</v>
      </c>
      <c r="I1471" s="81" t="s">
        <v>6669</v>
      </c>
      <c r="J1471" s="81" t="s">
        <v>2186</v>
      </c>
      <c r="K1471" s="81" t="s">
        <v>6669</v>
      </c>
      <c r="L1471" s="81" t="s">
        <v>2392</v>
      </c>
      <c r="M1471" s="81" t="s">
        <v>6669</v>
      </c>
      <c r="N1471" s="81" t="s">
        <v>2231</v>
      </c>
      <c r="O1471" s="81" t="s">
        <v>2187</v>
      </c>
      <c r="P1471" s="81" t="s">
        <v>2187</v>
      </c>
      <c r="Q1471" s="81" t="s">
        <v>43</v>
      </c>
      <c r="R1471" s="81" t="s">
        <v>46</v>
      </c>
      <c r="S1471" s="81" t="s">
        <v>46</v>
      </c>
      <c r="T1471" s="81" t="s">
        <v>48</v>
      </c>
      <c r="U1471" s="81" t="s">
        <v>48</v>
      </c>
      <c r="V1471" s="81" t="s">
        <v>48</v>
      </c>
      <c r="W1471" s="81" t="s">
        <v>49</v>
      </c>
      <c r="X1471" s="81" t="s">
        <v>48</v>
      </c>
      <c r="Y1471" s="81" t="s">
        <v>48</v>
      </c>
    </row>
    <row r="1472" spans="1:25" x14ac:dyDescent="0.3">
      <c r="A1472" s="16">
        <v>7502240450896</v>
      </c>
      <c r="B1472" s="81" t="s">
        <v>43</v>
      </c>
      <c r="C1472" s="81" t="s">
        <v>3886</v>
      </c>
      <c r="D1472" s="81" t="s">
        <v>45</v>
      </c>
      <c r="E1472" s="81" t="s">
        <v>2836</v>
      </c>
      <c r="F1472" s="81" t="s">
        <v>2837</v>
      </c>
      <c r="G1472" s="81" t="s">
        <v>3887</v>
      </c>
      <c r="H1472" s="81" t="s">
        <v>2401</v>
      </c>
      <c r="I1472" s="81" t="s">
        <v>4844</v>
      </c>
      <c r="J1472" s="81" t="s">
        <v>2186</v>
      </c>
      <c r="K1472" s="81" t="s">
        <v>4844</v>
      </c>
      <c r="L1472" s="81" t="s">
        <v>2392</v>
      </c>
      <c r="M1472" s="81" t="s">
        <v>4844</v>
      </c>
      <c r="N1472" s="81" t="s">
        <v>2231</v>
      </c>
      <c r="O1472" s="81" t="s">
        <v>2187</v>
      </c>
      <c r="P1472" s="81" t="s">
        <v>2187</v>
      </c>
      <c r="Q1472" s="81" t="s">
        <v>43</v>
      </c>
      <c r="R1472" s="81" t="s">
        <v>46</v>
      </c>
      <c r="S1472" s="81" t="s">
        <v>47</v>
      </c>
      <c r="T1472" s="81" t="s">
        <v>48</v>
      </c>
      <c r="U1472" s="81" t="s">
        <v>48</v>
      </c>
      <c r="V1472" s="81" t="s">
        <v>48</v>
      </c>
      <c r="W1472" s="81" t="s">
        <v>49</v>
      </c>
      <c r="X1472" s="81" t="s">
        <v>48</v>
      </c>
      <c r="Y1472" s="81" t="s">
        <v>48</v>
      </c>
    </row>
    <row r="1473" spans="1:25" x14ac:dyDescent="0.3">
      <c r="A1473" s="16">
        <v>759684431050</v>
      </c>
      <c r="B1473" s="81" t="s">
        <v>43</v>
      </c>
      <c r="C1473" s="81" t="s">
        <v>1838</v>
      </c>
      <c r="D1473" s="81" t="s">
        <v>45</v>
      </c>
      <c r="E1473" s="81" t="s">
        <v>2227</v>
      </c>
      <c r="F1473" s="81" t="s">
        <v>2227</v>
      </c>
      <c r="G1473" s="81" t="s">
        <v>5283</v>
      </c>
      <c r="H1473" s="81" t="s">
        <v>2197</v>
      </c>
      <c r="I1473" s="81" t="s">
        <v>6670</v>
      </c>
      <c r="J1473" s="81" t="s">
        <v>2186</v>
      </c>
      <c r="K1473" s="81" t="s">
        <v>6670</v>
      </c>
      <c r="L1473" s="81" t="s">
        <v>2392</v>
      </c>
      <c r="M1473" s="81" t="s">
        <v>6670</v>
      </c>
      <c r="N1473" s="81" t="s">
        <v>2231</v>
      </c>
      <c r="O1473" s="81" t="s">
        <v>2187</v>
      </c>
      <c r="P1473" s="81" t="s">
        <v>2187</v>
      </c>
      <c r="Q1473" s="81" t="s">
        <v>43</v>
      </c>
      <c r="R1473" s="81" t="s">
        <v>524</v>
      </c>
      <c r="S1473" s="81" t="s">
        <v>525</v>
      </c>
      <c r="T1473" s="81" t="s">
        <v>48</v>
      </c>
      <c r="U1473" s="81" t="s">
        <v>48</v>
      </c>
      <c r="V1473" s="81" t="s">
        <v>48</v>
      </c>
      <c r="W1473" s="81" t="s">
        <v>49</v>
      </c>
      <c r="X1473" s="81" t="s">
        <v>48</v>
      </c>
      <c r="Y1473" s="81" t="s">
        <v>48</v>
      </c>
    </row>
    <row r="1474" spans="1:25" x14ac:dyDescent="0.3">
      <c r="A1474" s="16">
        <v>7501019006623</v>
      </c>
      <c r="B1474" s="81" t="s">
        <v>43</v>
      </c>
      <c r="C1474" s="81" t="s">
        <v>1306</v>
      </c>
      <c r="D1474" s="81" t="s">
        <v>45</v>
      </c>
      <c r="E1474" s="81" t="s">
        <v>2227</v>
      </c>
      <c r="F1474" s="81" t="s">
        <v>2227</v>
      </c>
      <c r="G1474" s="81" t="s">
        <v>3734</v>
      </c>
      <c r="H1474" s="81" t="s">
        <v>2218</v>
      </c>
      <c r="I1474" s="81" t="s">
        <v>2202</v>
      </c>
      <c r="J1474" s="81" t="s">
        <v>2186</v>
      </c>
      <c r="K1474" s="81" t="s">
        <v>2202</v>
      </c>
      <c r="L1474" s="81" t="s">
        <v>2392</v>
      </c>
      <c r="M1474" s="81" t="s">
        <v>2202</v>
      </c>
      <c r="N1474" s="81" t="s">
        <v>2231</v>
      </c>
      <c r="O1474" s="81" t="s">
        <v>2187</v>
      </c>
      <c r="P1474" s="81" t="s">
        <v>2187</v>
      </c>
      <c r="Q1474" s="81" t="s">
        <v>43</v>
      </c>
      <c r="R1474" s="81" t="s">
        <v>524</v>
      </c>
      <c r="S1474" s="81" t="s">
        <v>525</v>
      </c>
      <c r="T1474" s="81" t="s">
        <v>48</v>
      </c>
      <c r="U1474" s="81" t="s">
        <v>48</v>
      </c>
      <c r="V1474" s="81" t="s">
        <v>48</v>
      </c>
      <c r="W1474" s="81" t="s">
        <v>49</v>
      </c>
      <c r="X1474" s="81" t="s">
        <v>48</v>
      </c>
      <c r="Y1474" s="81" t="s">
        <v>48</v>
      </c>
    </row>
    <row r="1475" spans="1:25" x14ac:dyDescent="0.3">
      <c r="A1475" s="16">
        <v>7502009749520</v>
      </c>
      <c r="B1475" s="81" t="s">
        <v>43</v>
      </c>
      <c r="C1475" s="81" t="s">
        <v>2167</v>
      </c>
      <c r="D1475" s="81" t="s">
        <v>45</v>
      </c>
      <c r="E1475" s="81" t="s">
        <v>2227</v>
      </c>
      <c r="F1475" s="81" t="s">
        <v>2227</v>
      </c>
      <c r="G1475" s="81" t="s">
        <v>5227</v>
      </c>
      <c r="H1475" s="81" t="s">
        <v>2385</v>
      </c>
      <c r="I1475" s="81" t="s">
        <v>6671</v>
      </c>
      <c r="J1475" s="81" t="s">
        <v>2186</v>
      </c>
      <c r="K1475" s="81" t="s">
        <v>6671</v>
      </c>
      <c r="L1475" s="81" t="s">
        <v>2392</v>
      </c>
      <c r="M1475" s="81" t="s">
        <v>6671</v>
      </c>
      <c r="N1475" s="81" t="s">
        <v>2231</v>
      </c>
      <c r="O1475" s="81" t="s">
        <v>2187</v>
      </c>
      <c r="P1475" s="81" t="s">
        <v>2187</v>
      </c>
      <c r="Q1475" s="81" t="s">
        <v>43</v>
      </c>
      <c r="R1475" s="81" t="s">
        <v>46</v>
      </c>
      <c r="S1475" s="81" t="s">
        <v>46</v>
      </c>
      <c r="T1475" s="81" t="s">
        <v>48</v>
      </c>
      <c r="U1475" s="81" t="s">
        <v>48</v>
      </c>
      <c r="V1475" s="81" t="s">
        <v>48</v>
      </c>
      <c r="W1475" s="81" t="s">
        <v>49</v>
      </c>
      <c r="X1475" s="81" t="s">
        <v>48</v>
      </c>
      <c r="Y1475" s="81" t="s">
        <v>48</v>
      </c>
    </row>
    <row r="1476" spans="1:25" x14ac:dyDescent="0.3">
      <c r="A1476" s="16" t="s">
        <v>1307</v>
      </c>
      <c r="B1476" s="81" t="s">
        <v>43</v>
      </c>
      <c r="C1476" s="81" t="s">
        <v>1308</v>
      </c>
      <c r="D1476" s="81" t="s">
        <v>45</v>
      </c>
      <c r="E1476" s="81" t="s">
        <v>2338</v>
      </c>
      <c r="F1476" s="81" t="s">
        <v>2526</v>
      </c>
      <c r="G1476" s="81" t="s">
        <v>3888</v>
      </c>
      <c r="H1476" s="81" t="s">
        <v>2238</v>
      </c>
      <c r="I1476" s="81" t="s">
        <v>6672</v>
      </c>
      <c r="J1476" s="81" t="s">
        <v>2186</v>
      </c>
      <c r="K1476" s="81" t="s">
        <v>6672</v>
      </c>
      <c r="L1476" s="81" t="s">
        <v>2392</v>
      </c>
      <c r="M1476" s="81" t="s">
        <v>6672</v>
      </c>
      <c r="N1476" s="81" t="s">
        <v>2231</v>
      </c>
      <c r="O1476" s="81" t="s">
        <v>2187</v>
      </c>
      <c r="P1476" s="81" t="s">
        <v>2187</v>
      </c>
      <c r="Q1476" s="81" t="s">
        <v>247</v>
      </c>
      <c r="R1476" s="81" t="s">
        <v>51</v>
      </c>
      <c r="S1476" s="81" t="s">
        <v>81</v>
      </c>
      <c r="T1476" s="81" t="s">
        <v>49</v>
      </c>
      <c r="U1476" s="81" t="s">
        <v>48</v>
      </c>
      <c r="V1476" s="81" t="s">
        <v>48</v>
      </c>
      <c r="W1476" s="81" t="s">
        <v>49</v>
      </c>
      <c r="X1476" s="81" t="s">
        <v>48</v>
      </c>
      <c r="Y1476" s="81" t="s">
        <v>48</v>
      </c>
    </row>
    <row r="1477" spans="1:25" x14ac:dyDescent="0.3">
      <c r="A1477" s="16" t="s">
        <v>1309</v>
      </c>
      <c r="B1477" s="81" t="s">
        <v>43</v>
      </c>
      <c r="C1477" s="81" t="s">
        <v>1310</v>
      </c>
      <c r="D1477" s="81" t="s">
        <v>45</v>
      </c>
      <c r="E1477" s="81" t="s">
        <v>2540</v>
      </c>
      <c r="F1477" s="81" t="s">
        <v>2541</v>
      </c>
      <c r="G1477" s="81" t="s">
        <v>3435</v>
      </c>
      <c r="H1477" s="81" t="s">
        <v>6661</v>
      </c>
      <c r="I1477" s="81" t="s">
        <v>6662</v>
      </c>
      <c r="J1477" s="81" t="s">
        <v>2186</v>
      </c>
      <c r="K1477" s="81" t="s">
        <v>6662</v>
      </c>
      <c r="L1477" s="81" t="s">
        <v>2392</v>
      </c>
      <c r="M1477" s="81" t="s">
        <v>6662</v>
      </c>
      <c r="N1477" s="81" t="s">
        <v>2231</v>
      </c>
      <c r="O1477" s="81" t="s">
        <v>2187</v>
      </c>
      <c r="P1477" s="81" t="s">
        <v>2187</v>
      </c>
      <c r="Q1477" s="81" t="s">
        <v>322</v>
      </c>
      <c r="R1477" s="81" t="s">
        <v>51</v>
      </c>
      <c r="S1477" s="81" t="s">
        <v>81</v>
      </c>
      <c r="T1477" s="81" t="s">
        <v>49</v>
      </c>
      <c r="U1477" s="81" t="s">
        <v>48</v>
      </c>
      <c r="V1477" s="81" t="s">
        <v>48</v>
      </c>
      <c r="W1477" s="81" t="s">
        <v>49</v>
      </c>
      <c r="X1477" s="81" t="s">
        <v>48</v>
      </c>
      <c r="Y1477" s="81" t="s">
        <v>48</v>
      </c>
    </row>
    <row r="1478" spans="1:25" x14ac:dyDescent="0.3">
      <c r="A1478" s="16" t="s">
        <v>1311</v>
      </c>
      <c r="B1478" s="81" t="s">
        <v>43</v>
      </c>
      <c r="C1478" s="81" t="s">
        <v>1312</v>
      </c>
      <c r="D1478" s="81" t="s">
        <v>45</v>
      </c>
      <c r="E1478" s="81" t="s">
        <v>2358</v>
      </c>
      <c r="F1478" s="81" t="s">
        <v>2354</v>
      </c>
      <c r="G1478" s="81" t="s">
        <v>3888</v>
      </c>
      <c r="H1478" s="81" t="s">
        <v>2238</v>
      </c>
      <c r="I1478" s="81" t="s">
        <v>6672</v>
      </c>
      <c r="J1478" s="81" t="s">
        <v>2186</v>
      </c>
      <c r="K1478" s="81" t="s">
        <v>6672</v>
      </c>
      <c r="L1478" s="81" t="s">
        <v>2392</v>
      </c>
      <c r="M1478" s="81" t="s">
        <v>6672</v>
      </c>
      <c r="N1478" s="81" t="s">
        <v>2231</v>
      </c>
      <c r="O1478" s="81" t="s">
        <v>2187</v>
      </c>
      <c r="P1478" s="81" t="s">
        <v>2187</v>
      </c>
      <c r="Q1478" s="81" t="s">
        <v>1273</v>
      </c>
      <c r="R1478" s="81" t="s">
        <v>51</v>
      </c>
      <c r="S1478" s="81" t="s">
        <v>81</v>
      </c>
      <c r="T1478" s="81" t="s">
        <v>49</v>
      </c>
      <c r="U1478" s="81" t="s">
        <v>48</v>
      </c>
      <c r="V1478" s="81" t="s">
        <v>48</v>
      </c>
      <c r="W1478" s="81" t="s">
        <v>49</v>
      </c>
      <c r="X1478" s="81" t="s">
        <v>48</v>
      </c>
      <c r="Y1478" s="81" t="s">
        <v>48</v>
      </c>
    </row>
    <row r="1479" spans="1:25" x14ac:dyDescent="0.3">
      <c r="A1479" s="16" t="s">
        <v>1313</v>
      </c>
      <c r="B1479" s="81" t="s">
        <v>43</v>
      </c>
      <c r="C1479" s="81" t="s">
        <v>1314</v>
      </c>
      <c r="D1479" s="81" t="s">
        <v>45</v>
      </c>
      <c r="E1479" s="81" t="s">
        <v>2645</v>
      </c>
      <c r="F1479" s="81" t="s">
        <v>2195</v>
      </c>
      <c r="G1479" s="81" t="s">
        <v>3856</v>
      </c>
      <c r="H1479" s="81" t="s">
        <v>6663</v>
      </c>
      <c r="I1479" s="81" t="s">
        <v>6664</v>
      </c>
      <c r="J1479" s="81" t="s">
        <v>2186</v>
      </c>
      <c r="K1479" s="81" t="s">
        <v>6664</v>
      </c>
      <c r="L1479" s="81" t="s">
        <v>2392</v>
      </c>
      <c r="M1479" s="81" t="s">
        <v>6664</v>
      </c>
      <c r="N1479" s="81" t="s">
        <v>2231</v>
      </c>
      <c r="O1479" s="81" t="s">
        <v>2187</v>
      </c>
      <c r="P1479" s="81" t="s">
        <v>2187</v>
      </c>
      <c r="Q1479" s="81" t="s">
        <v>43</v>
      </c>
      <c r="R1479" s="81" t="s">
        <v>51</v>
      </c>
      <c r="S1479" s="81" t="s">
        <v>81</v>
      </c>
      <c r="T1479" s="81" t="s">
        <v>49</v>
      </c>
      <c r="U1479" s="81" t="s">
        <v>48</v>
      </c>
      <c r="V1479" s="81" t="s">
        <v>48</v>
      </c>
      <c r="W1479" s="81" t="s">
        <v>49</v>
      </c>
      <c r="X1479" s="81" t="s">
        <v>48</v>
      </c>
      <c r="Y1479" s="81" t="s">
        <v>48</v>
      </c>
    </row>
    <row r="1480" spans="1:25" x14ac:dyDescent="0.3">
      <c r="A1480" s="16" t="s">
        <v>1315</v>
      </c>
      <c r="B1480" s="81" t="s">
        <v>43</v>
      </c>
      <c r="C1480" s="81" t="s">
        <v>1316</v>
      </c>
      <c r="D1480" s="81" t="s">
        <v>45</v>
      </c>
      <c r="E1480" s="81" t="s">
        <v>3104</v>
      </c>
      <c r="F1480" s="81" t="s">
        <v>2498</v>
      </c>
      <c r="G1480" s="81" t="s">
        <v>2707</v>
      </c>
      <c r="H1480" s="81" t="s">
        <v>3082</v>
      </c>
      <c r="I1480" s="81" t="s">
        <v>6673</v>
      </c>
      <c r="J1480" s="81" t="s">
        <v>2186</v>
      </c>
      <c r="K1480" s="81" t="s">
        <v>6673</v>
      </c>
      <c r="L1480" s="81" t="s">
        <v>2392</v>
      </c>
      <c r="M1480" s="81" t="s">
        <v>6673</v>
      </c>
      <c r="N1480" s="81" t="s">
        <v>2231</v>
      </c>
      <c r="O1480" s="81" t="s">
        <v>2187</v>
      </c>
      <c r="P1480" s="81" t="s">
        <v>2187</v>
      </c>
      <c r="Q1480" s="81" t="s">
        <v>43</v>
      </c>
      <c r="R1480" s="81" t="s">
        <v>51</v>
      </c>
      <c r="S1480" s="81" t="s">
        <v>73</v>
      </c>
      <c r="T1480" s="81" t="s">
        <v>49</v>
      </c>
      <c r="U1480" s="81" t="s">
        <v>48</v>
      </c>
      <c r="V1480" s="81" t="s">
        <v>48</v>
      </c>
      <c r="W1480" s="81" t="s">
        <v>49</v>
      </c>
      <c r="X1480" s="81" t="s">
        <v>48</v>
      </c>
      <c r="Y1480" s="81" t="s">
        <v>48</v>
      </c>
    </row>
    <row r="1481" spans="1:25" x14ac:dyDescent="0.3">
      <c r="A1481" s="16" t="s">
        <v>1317</v>
      </c>
      <c r="B1481" s="81" t="s">
        <v>43</v>
      </c>
      <c r="C1481" s="81" t="s">
        <v>1318</v>
      </c>
      <c r="D1481" s="81" t="s">
        <v>45</v>
      </c>
      <c r="E1481" s="81" t="s">
        <v>2431</v>
      </c>
      <c r="F1481" s="81" t="s">
        <v>2432</v>
      </c>
      <c r="G1481" s="81" t="s">
        <v>3390</v>
      </c>
      <c r="H1481" s="81" t="s">
        <v>6159</v>
      </c>
      <c r="I1481" s="81" t="s">
        <v>6160</v>
      </c>
      <c r="J1481" s="81" t="s">
        <v>2186</v>
      </c>
      <c r="K1481" s="81" t="s">
        <v>6160</v>
      </c>
      <c r="L1481" s="81" t="s">
        <v>2392</v>
      </c>
      <c r="M1481" s="81" t="s">
        <v>6160</v>
      </c>
      <c r="N1481" s="81" t="s">
        <v>2231</v>
      </c>
      <c r="O1481" s="81" t="s">
        <v>2187</v>
      </c>
      <c r="P1481" s="81" t="s">
        <v>2187</v>
      </c>
      <c r="Q1481" s="81" t="s">
        <v>781</v>
      </c>
      <c r="R1481" s="81" t="s">
        <v>46</v>
      </c>
      <c r="S1481" s="81" t="s">
        <v>46</v>
      </c>
      <c r="T1481" s="81" t="s">
        <v>48</v>
      </c>
      <c r="U1481" s="81" t="s">
        <v>48</v>
      </c>
      <c r="V1481" s="81" t="s">
        <v>48</v>
      </c>
      <c r="W1481" s="81" t="s">
        <v>49</v>
      </c>
      <c r="X1481" s="81" t="s">
        <v>48</v>
      </c>
      <c r="Y1481" s="81" t="s">
        <v>48</v>
      </c>
    </row>
    <row r="1482" spans="1:25" x14ac:dyDescent="0.3">
      <c r="A1482" s="16" t="s">
        <v>1319</v>
      </c>
      <c r="B1482" s="81" t="s">
        <v>43</v>
      </c>
      <c r="C1482" s="81" t="s">
        <v>1320</v>
      </c>
      <c r="D1482" s="81" t="s">
        <v>45</v>
      </c>
      <c r="E1482" s="81" t="s">
        <v>2195</v>
      </c>
      <c r="F1482" s="81" t="s">
        <v>2877</v>
      </c>
      <c r="G1482" s="81" t="s">
        <v>3390</v>
      </c>
      <c r="H1482" s="81" t="s">
        <v>6159</v>
      </c>
      <c r="I1482" s="81" t="s">
        <v>6160</v>
      </c>
      <c r="J1482" s="81" t="s">
        <v>2186</v>
      </c>
      <c r="K1482" s="81" t="s">
        <v>6160</v>
      </c>
      <c r="L1482" s="81" t="s">
        <v>2392</v>
      </c>
      <c r="M1482" s="81" t="s">
        <v>6160</v>
      </c>
      <c r="N1482" s="81" t="s">
        <v>2231</v>
      </c>
      <c r="O1482" s="81" t="s">
        <v>2187</v>
      </c>
      <c r="P1482" s="81" t="s">
        <v>2187</v>
      </c>
      <c r="Q1482" s="81" t="s">
        <v>43</v>
      </c>
      <c r="R1482" s="81" t="s">
        <v>46</v>
      </c>
      <c r="S1482" s="81" t="s">
        <v>164</v>
      </c>
      <c r="T1482" s="81" t="s">
        <v>48</v>
      </c>
      <c r="U1482" s="81" t="s">
        <v>48</v>
      </c>
      <c r="V1482" s="81" t="s">
        <v>48</v>
      </c>
      <c r="W1482" s="81" t="s">
        <v>49</v>
      </c>
      <c r="X1482" s="81" t="s">
        <v>48</v>
      </c>
      <c r="Y1482" s="81" t="s">
        <v>48</v>
      </c>
    </row>
    <row r="1483" spans="1:25" x14ac:dyDescent="0.3">
      <c r="A1483" s="16">
        <v>7501314704163</v>
      </c>
      <c r="B1483" s="81" t="s">
        <v>43</v>
      </c>
      <c r="C1483" s="81" t="s">
        <v>3889</v>
      </c>
      <c r="D1483" s="81" t="s">
        <v>45</v>
      </c>
      <c r="E1483" s="81" t="s">
        <v>2303</v>
      </c>
      <c r="F1483" s="81" t="s">
        <v>2233</v>
      </c>
      <c r="G1483" s="81" t="s">
        <v>3198</v>
      </c>
      <c r="H1483" s="81" t="s">
        <v>2279</v>
      </c>
      <c r="I1483" s="81" t="s">
        <v>5993</v>
      </c>
      <c r="J1483" s="81" t="s">
        <v>2186</v>
      </c>
      <c r="K1483" s="81" t="s">
        <v>5993</v>
      </c>
      <c r="L1483" s="81" t="s">
        <v>2392</v>
      </c>
      <c r="M1483" s="81" t="s">
        <v>5993</v>
      </c>
      <c r="N1483" s="81" t="s">
        <v>2231</v>
      </c>
      <c r="O1483" s="81" t="s">
        <v>2187</v>
      </c>
      <c r="P1483" s="81" t="s">
        <v>2187</v>
      </c>
      <c r="Q1483" s="81" t="s">
        <v>43</v>
      </c>
      <c r="R1483" s="81" t="s">
        <v>46</v>
      </c>
      <c r="S1483" s="81" t="s">
        <v>46</v>
      </c>
      <c r="T1483" s="81" t="s">
        <v>48</v>
      </c>
      <c r="U1483" s="81" t="s">
        <v>48</v>
      </c>
      <c r="V1483" s="81" t="s">
        <v>48</v>
      </c>
      <c r="W1483" s="81" t="s">
        <v>49</v>
      </c>
      <c r="X1483" s="81" t="s">
        <v>48</v>
      </c>
      <c r="Y1483" s="81" t="s">
        <v>48</v>
      </c>
    </row>
    <row r="1484" spans="1:25" x14ac:dyDescent="0.3">
      <c r="A1484" s="16">
        <v>759684313257</v>
      </c>
      <c r="B1484" s="81" t="s">
        <v>43</v>
      </c>
      <c r="C1484" s="81" t="s">
        <v>1321</v>
      </c>
      <c r="D1484" s="81" t="s">
        <v>45</v>
      </c>
      <c r="E1484" s="81" t="s">
        <v>2227</v>
      </c>
      <c r="F1484" s="81" t="s">
        <v>2227</v>
      </c>
      <c r="G1484" s="81" t="s">
        <v>3890</v>
      </c>
      <c r="H1484" s="81" t="s">
        <v>3773</v>
      </c>
      <c r="I1484" s="81" t="s">
        <v>3670</v>
      </c>
      <c r="J1484" s="81" t="s">
        <v>2186</v>
      </c>
      <c r="K1484" s="81" t="s">
        <v>3891</v>
      </c>
      <c r="L1484" s="81" t="s">
        <v>2392</v>
      </c>
      <c r="M1484" s="81" t="s">
        <v>3892</v>
      </c>
      <c r="N1484" s="81" t="s">
        <v>2231</v>
      </c>
      <c r="O1484" s="81" t="s">
        <v>2187</v>
      </c>
      <c r="P1484" s="81" t="s">
        <v>2187</v>
      </c>
      <c r="Q1484" s="81" t="s">
        <v>43</v>
      </c>
      <c r="R1484" s="81" t="s">
        <v>46</v>
      </c>
      <c r="S1484" s="81" t="s">
        <v>46</v>
      </c>
      <c r="T1484" s="81" t="s">
        <v>48</v>
      </c>
      <c r="U1484" s="81" t="s">
        <v>48</v>
      </c>
      <c r="V1484" s="81" t="s">
        <v>49</v>
      </c>
      <c r="W1484" s="81" t="s">
        <v>48</v>
      </c>
      <c r="X1484" s="81" t="s">
        <v>48</v>
      </c>
      <c r="Y1484" s="81" t="s">
        <v>48</v>
      </c>
    </row>
    <row r="1485" spans="1:25" x14ac:dyDescent="0.3">
      <c r="A1485" s="16">
        <v>729513107920</v>
      </c>
      <c r="B1485" s="81" t="s">
        <v>43</v>
      </c>
      <c r="C1485" s="81" t="s">
        <v>1322</v>
      </c>
      <c r="D1485" s="81" t="s">
        <v>45</v>
      </c>
      <c r="E1485" s="81" t="s">
        <v>2227</v>
      </c>
      <c r="F1485" s="81" t="s">
        <v>2227</v>
      </c>
      <c r="G1485" s="81" t="s">
        <v>3893</v>
      </c>
      <c r="H1485" s="81" t="s">
        <v>6674</v>
      </c>
      <c r="I1485" s="81" t="s">
        <v>6675</v>
      </c>
      <c r="J1485" s="81" t="s">
        <v>2186</v>
      </c>
      <c r="K1485" s="81" t="s">
        <v>6675</v>
      </c>
      <c r="L1485" s="81" t="s">
        <v>2392</v>
      </c>
      <c r="M1485" s="81" t="s">
        <v>6675</v>
      </c>
      <c r="N1485" s="81" t="s">
        <v>2231</v>
      </c>
      <c r="O1485" s="81" t="s">
        <v>2187</v>
      </c>
      <c r="P1485" s="81" t="s">
        <v>2187</v>
      </c>
      <c r="Q1485" s="81" t="s">
        <v>43</v>
      </c>
      <c r="R1485" s="81" t="s">
        <v>122</v>
      </c>
      <c r="S1485" s="81" t="s">
        <v>123</v>
      </c>
      <c r="T1485" s="81" t="s">
        <v>48</v>
      </c>
      <c r="U1485" s="81" t="s">
        <v>48</v>
      </c>
      <c r="V1485" s="81" t="s">
        <v>49</v>
      </c>
      <c r="W1485" s="81" t="s">
        <v>48</v>
      </c>
      <c r="X1485" s="81" t="s">
        <v>48</v>
      </c>
      <c r="Y1485" s="81" t="s">
        <v>48</v>
      </c>
    </row>
    <row r="1486" spans="1:25" x14ac:dyDescent="0.3">
      <c r="A1486" s="16">
        <v>7502227879559</v>
      </c>
      <c r="B1486" s="81" t="s">
        <v>43</v>
      </c>
      <c r="C1486" s="81" t="s">
        <v>1323</v>
      </c>
      <c r="D1486" s="81" t="s">
        <v>45</v>
      </c>
      <c r="E1486" s="81" t="s">
        <v>2227</v>
      </c>
      <c r="F1486" s="81" t="s">
        <v>2227</v>
      </c>
      <c r="G1486" s="81" t="s">
        <v>3894</v>
      </c>
      <c r="H1486" s="81" t="s">
        <v>2208</v>
      </c>
      <c r="I1486" s="81" t="s">
        <v>2261</v>
      </c>
      <c r="J1486" s="81" t="s">
        <v>2186</v>
      </c>
      <c r="K1486" s="81" t="s">
        <v>2223</v>
      </c>
      <c r="L1486" s="81" t="s">
        <v>2392</v>
      </c>
      <c r="M1486" s="81" t="s">
        <v>3895</v>
      </c>
      <c r="N1486" s="81" t="s">
        <v>2231</v>
      </c>
      <c r="O1486" s="81" t="s">
        <v>2187</v>
      </c>
      <c r="P1486" s="81" t="s">
        <v>2187</v>
      </c>
      <c r="Q1486" s="81" t="s">
        <v>43</v>
      </c>
      <c r="R1486" s="81" t="s">
        <v>46</v>
      </c>
      <c r="S1486" s="81" t="s">
        <v>46</v>
      </c>
      <c r="T1486" s="81" t="s">
        <v>48</v>
      </c>
      <c r="U1486" s="81" t="s">
        <v>48</v>
      </c>
      <c r="V1486" s="81" t="s">
        <v>48</v>
      </c>
      <c r="W1486" s="81" t="s">
        <v>49</v>
      </c>
      <c r="X1486" s="81" t="s">
        <v>48</v>
      </c>
      <c r="Y1486" s="81" t="s">
        <v>48</v>
      </c>
    </row>
    <row r="1487" spans="1:25" x14ac:dyDescent="0.3">
      <c r="A1487" s="16">
        <v>7502009741722</v>
      </c>
      <c r="B1487" s="81" t="s">
        <v>43</v>
      </c>
      <c r="C1487" s="81" t="s">
        <v>1324</v>
      </c>
      <c r="D1487" s="81" t="s">
        <v>45</v>
      </c>
      <c r="E1487" s="81" t="s">
        <v>2227</v>
      </c>
      <c r="F1487" s="81" t="s">
        <v>2227</v>
      </c>
      <c r="G1487" s="81" t="s">
        <v>3896</v>
      </c>
      <c r="H1487" s="81" t="s">
        <v>2511</v>
      </c>
      <c r="I1487" s="81" t="s">
        <v>6676</v>
      </c>
      <c r="J1487" s="81" t="s">
        <v>2186</v>
      </c>
      <c r="K1487" s="81" t="s">
        <v>6676</v>
      </c>
      <c r="L1487" s="81" t="s">
        <v>2392</v>
      </c>
      <c r="M1487" s="81" t="s">
        <v>6676</v>
      </c>
      <c r="N1487" s="81" t="s">
        <v>2231</v>
      </c>
      <c r="O1487" s="81" t="s">
        <v>2187</v>
      </c>
      <c r="P1487" s="81" t="s">
        <v>2187</v>
      </c>
      <c r="Q1487" s="81" t="s">
        <v>43</v>
      </c>
      <c r="R1487" s="81" t="s">
        <v>203</v>
      </c>
      <c r="S1487" s="81" t="s">
        <v>203</v>
      </c>
      <c r="T1487" s="81" t="s">
        <v>48</v>
      </c>
      <c r="U1487" s="81" t="s">
        <v>48</v>
      </c>
      <c r="V1487" s="81" t="s">
        <v>48</v>
      </c>
      <c r="W1487" s="81" t="s">
        <v>49</v>
      </c>
      <c r="X1487" s="81" t="s">
        <v>48</v>
      </c>
      <c r="Y1487" s="81" t="s">
        <v>48</v>
      </c>
    </row>
    <row r="1488" spans="1:25" x14ac:dyDescent="0.3">
      <c r="A1488" s="16">
        <v>7503004908721</v>
      </c>
      <c r="B1488" s="81" t="s">
        <v>43</v>
      </c>
      <c r="C1488" s="81" t="s">
        <v>1325</v>
      </c>
      <c r="D1488" s="81" t="s">
        <v>45</v>
      </c>
      <c r="E1488" s="81" t="s">
        <v>2227</v>
      </c>
      <c r="F1488" s="81" t="s">
        <v>2227</v>
      </c>
      <c r="G1488" s="81" t="s">
        <v>3897</v>
      </c>
      <c r="H1488" s="81" t="s">
        <v>2237</v>
      </c>
      <c r="I1488" s="81" t="s">
        <v>2382</v>
      </c>
      <c r="J1488" s="81" t="s">
        <v>2186</v>
      </c>
      <c r="K1488" s="81" t="s">
        <v>2383</v>
      </c>
      <c r="L1488" s="81" t="s">
        <v>2392</v>
      </c>
      <c r="M1488" s="81" t="s">
        <v>3898</v>
      </c>
      <c r="N1488" s="81" t="s">
        <v>2231</v>
      </c>
      <c r="O1488" s="81" t="s">
        <v>2187</v>
      </c>
      <c r="P1488" s="81" t="s">
        <v>2187</v>
      </c>
      <c r="Q1488" s="81" t="s">
        <v>43</v>
      </c>
      <c r="R1488" s="81" t="s">
        <v>46</v>
      </c>
      <c r="S1488" s="81" t="s">
        <v>46</v>
      </c>
      <c r="T1488" s="81" t="s">
        <v>48</v>
      </c>
      <c r="U1488" s="81" t="s">
        <v>48</v>
      </c>
      <c r="V1488" s="81" t="s">
        <v>48</v>
      </c>
      <c r="W1488" s="81" t="s">
        <v>49</v>
      </c>
      <c r="X1488" s="81" t="s">
        <v>48</v>
      </c>
      <c r="Y1488" s="81" t="s">
        <v>48</v>
      </c>
    </row>
    <row r="1489" spans="1:25" x14ac:dyDescent="0.3">
      <c r="A1489" s="16">
        <v>7891317019532</v>
      </c>
      <c r="B1489" s="81" t="s">
        <v>43</v>
      </c>
      <c r="C1489" s="81" t="s">
        <v>1326</v>
      </c>
      <c r="D1489" s="81" t="s">
        <v>45</v>
      </c>
      <c r="E1489" s="81" t="s">
        <v>2227</v>
      </c>
      <c r="F1489" s="81" t="s">
        <v>2227</v>
      </c>
      <c r="G1489" s="81" t="s">
        <v>3899</v>
      </c>
      <c r="H1489" s="81" t="s">
        <v>3900</v>
      </c>
      <c r="I1489" s="81" t="s">
        <v>6677</v>
      </c>
      <c r="J1489" s="81" t="s">
        <v>2186</v>
      </c>
      <c r="K1489" s="81" t="s">
        <v>6677</v>
      </c>
      <c r="L1489" s="81" t="s">
        <v>2392</v>
      </c>
      <c r="M1489" s="81" t="s">
        <v>6677</v>
      </c>
      <c r="N1489" s="81" t="s">
        <v>2231</v>
      </c>
      <c r="O1489" s="81" t="s">
        <v>2187</v>
      </c>
      <c r="P1489" s="81" t="s">
        <v>2187</v>
      </c>
      <c r="Q1489" s="81" t="s">
        <v>43</v>
      </c>
      <c r="R1489" s="81" t="s">
        <v>374</v>
      </c>
      <c r="S1489" s="81" t="s">
        <v>374</v>
      </c>
      <c r="T1489" s="81" t="s">
        <v>48</v>
      </c>
      <c r="U1489" s="81" t="s">
        <v>48</v>
      </c>
      <c r="V1489" s="81" t="s">
        <v>48</v>
      </c>
      <c r="W1489" s="81" t="s">
        <v>49</v>
      </c>
      <c r="X1489" s="81" t="s">
        <v>48</v>
      </c>
      <c r="Y1489" s="81" t="s">
        <v>48</v>
      </c>
    </row>
    <row r="1490" spans="1:25" x14ac:dyDescent="0.3">
      <c r="A1490" s="16">
        <v>7891317019556</v>
      </c>
      <c r="B1490" s="81" t="s">
        <v>43</v>
      </c>
      <c r="C1490" s="81" t="s">
        <v>1327</v>
      </c>
      <c r="D1490" s="81" t="s">
        <v>45</v>
      </c>
      <c r="E1490" s="81" t="s">
        <v>2227</v>
      </c>
      <c r="F1490" s="81" t="s">
        <v>2227</v>
      </c>
      <c r="G1490" s="81" t="s">
        <v>3901</v>
      </c>
      <c r="H1490" s="81" t="s">
        <v>2805</v>
      </c>
      <c r="I1490" s="81" t="s">
        <v>6678</v>
      </c>
      <c r="J1490" s="81" t="s">
        <v>2186</v>
      </c>
      <c r="K1490" s="81" t="s">
        <v>6678</v>
      </c>
      <c r="L1490" s="81" t="s">
        <v>2392</v>
      </c>
      <c r="M1490" s="81" t="s">
        <v>6678</v>
      </c>
      <c r="N1490" s="81" t="s">
        <v>2231</v>
      </c>
      <c r="O1490" s="81" t="s">
        <v>2187</v>
      </c>
      <c r="P1490" s="81" t="s">
        <v>2187</v>
      </c>
      <c r="Q1490" s="81" t="s">
        <v>43</v>
      </c>
      <c r="R1490" s="81" t="s">
        <v>374</v>
      </c>
      <c r="S1490" s="81" t="s">
        <v>374</v>
      </c>
      <c r="T1490" s="81" t="s">
        <v>48</v>
      </c>
      <c r="U1490" s="81" t="s">
        <v>48</v>
      </c>
      <c r="V1490" s="81" t="s">
        <v>48</v>
      </c>
      <c r="W1490" s="81" t="s">
        <v>49</v>
      </c>
      <c r="X1490" s="81" t="s">
        <v>48</v>
      </c>
      <c r="Y1490" s="81" t="s">
        <v>48</v>
      </c>
    </row>
    <row r="1491" spans="1:25" x14ac:dyDescent="0.3">
      <c r="A1491" s="16">
        <v>7501478316813</v>
      </c>
      <c r="B1491" s="81" t="s">
        <v>43</v>
      </c>
      <c r="C1491" s="81" t="s">
        <v>1328</v>
      </c>
      <c r="D1491" s="81" t="s">
        <v>45</v>
      </c>
      <c r="E1491" s="81" t="s">
        <v>2227</v>
      </c>
      <c r="F1491" s="81" t="s">
        <v>2227</v>
      </c>
      <c r="G1491" s="81" t="s">
        <v>3902</v>
      </c>
      <c r="H1491" s="81" t="s">
        <v>2217</v>
      </c>
      <c r="I1491" s="81" t="s">
        <v>2325</v>
      </c>
      <c r="J1491" s="81" t="s">
        <v>2186</v>
      </c>
      <c r="K1491" s="81" t="s">
        <v>2474</v>
      </c>
      <c r="L1491" s="81" t="s">
        <v>2392</v>
      </c>
      <c r="M1491" s="81" t="s">
        <v>3903</v>
      </c>
      <c r="N1491" s="81" t="s">
        <v>2231</v>
      </c>
      <c r="O1491" s="81" t="s">
        <v>2187</v>
      </c>
      <c r="P1491" s="81" t="s">
        <v>2187</v>
      </c>
      <c r="Q1491" s="81" t="s">
        <v>43</v>
      </c>
      <c r="R1491" s="81" t="s">
        <v>46</v>
      </c>
      <c r="S1491" s="81" t="s">
        <v>46</v>
      </c>
      <c r="T1491" s="81" t="s">
        <v>48</v>
      </c>
      <c r="U1491" s="81" t="s">
        <v>48</v>
      </c>
      <c r="V1491" s="81" t="s">
        <v>48</v>
      </c>
      <c r="W1491" s="81" t="s">
        <v>49</v>
      </c>
      <c r="X1491" s="81" t="s">
        <v>48</v>
      </c>
      <c r="Y1491" s="81" t="s">
        <v>48</v>
      </c>
    </row>
    <row r="1492" spans="1:25" x14ac:dyDescent="0.3">
      <c r="A1492" s="16">
        <v>7501590286100</v>
      </c>
      <c r="B1492" s="81" t="s">
        <v>43</v>
      </c>
      <c r="C1492" s="81" t="s">
        <v>1329</v>
      </c>
      <c r="D1492" s="81" t="s">
        <v>45</v>
      </c>
      <c r="E1492" s="81" t="s">
        <v>2227</v>
      </c>
      <c r="F1492" s="81" t="s">
        <v>2227</v>
      </c>
      <c r="G1492" s="81" t="s">
        <v>3904</v>
      </c>
      <c r="H1492" s="81" t="s">
        <v>2463</v>
      </c>
      <c r="I1492" s="81" t="s">
        <v>2408</v>
      </c>
      <c r="J1492" s="81" t="s">
        <v>2186</v>
      </c>
      <c r="K1492" s="81" t="s">
        <v>2999</v>
      </c>
      <c r="L1492" s="81" t="s">
        <v>2392</v>
      </c>
      <c r="M1492" s="81" t="s">
        <v>3905</v>
      </c>
      <c r="N1492" s="81" t="s">
        <v>2231</v>
      </c>
      <c r="O1492" s="81" t="s">
        <v>2187</v>
      </c>
      <c r="P1492" s="81" t="s">
        <v>2187</v>
      </c>
      <c r="Q1492" s="81" t="s">
        <v>43</v>
      </c>
      <c r="R1492" s="81" t="s">
        <v>46</v>
      </c>
      <c r="S1492" s="81" t="s">
        <v>46</v>
      </c>
      <c r="T1492" s="81" t="s">
        <v>48</v>
      </c>
      <c r="U1492" s="81" t="s">
        <v>48</v>
      </c>
      <c r="V1492" s="81" t="s">
        <v>48</v>
      </c>
      <c r="W1492" s="81" t="s">
        <v>49</v>
      </c>
      <c r="X1492" s="81" t="s">
        <v>48</v>
      </c>
      <c r="Y1492" s="81" t="s">
        <v>48</v>
      </c>
    </row>
    <row r="1493" spans="1:25" x14ac:dyDescent="0.3">
      <c r="A1493" s="16">
        <v>7506022301789</v>
      </c>
      <c r="B1493" s="81" t="s">
        <v>43</v>
      </c>
      <c r="C1493" s="81" t="s">
        <v>1330</v>
      </c>
      <c r="D1493" s="81" t="s">
        <v>45</v>
      </c>
      <c r="E1493" s="81" t="s">
        <v>2227</v>
      </c>
      <c r="F1493" s="81" t="s">
        <v>2227</v>
      </c>
      <c r="G1493" s="81" t="s">
        <v>3906</v>
      </c>
      <c r="H1493" s="81" t="s">
        <v>6679</v>
      </c>
      <c r="I1493" s="81" t="s">
        <v>6680</v>
      </c>
      <c r="J1493" s="81" t="s">
        <v>2186</v>
      </c>
      <c r="K1493" s="81" t="s">
        <v>6680</v>
      </c>
      <c r="L1493" s="81" t="s">
        <v>2392</v>
      </c>
      <c r="M1493" s="81" t="s">
        <v>6680</v>
      </c>
      <c r="N1493" s="81" t="s">
        <v>2231</v>
      </c>
      <c r="O1493" s="81" t="s">
        <v>2187</v>
      </c>
      <c r="P1493" s="81" t="s">
        <v>2187</v>
      </c>
      <c r="Q1493" s="81" t="s">
        <v>43</v>
      </c>
      <c r="R1493" s="81" t="s">
        <v>122</v>
      </c>
      <c r="S1493" s="81" t="s">
        <v>123</v>
      </c>
      <c r="T1493" s="81" t="s">
        <v>48</v>
      </c>
      <c r="U1493" s="81" t="s">
        <v>48</v>
      </c>
      <c r="V1493" s="81" t="s">
        <v>49</v>
      </c>
      <c r="W1493" s="81" t="s">
        <v>48</v>
      </c>
      <c r="X1493" s="81" t="s">
        <v>48</v>
      </c>
      <c r="Y1493" s="81" t="s">
        <v>48</v>
      </c>
    </row>
    <row r="1494" spans="1:25" x14ac:dyDescent="0.3">
      <c r="A1494" s="16">
        <v>7501537103422</v>
      </c>
      <c r="B1494" s="81" t="s">
        <v>43</v>
      </c>
      <c r="C1494" s="81" t="s">
        <v>2049</v>
      </c>
      <c r="D1494" s="81" t="s">
        <v>45</v>
      </c>
      <c r="E1494" s="81" t="s">
        <v>2227</v>
      </c>
      <c r="F1494" s="81" t="s">
        <v>2227</v>
      </c>
      <c r="G1494" s="81" t="s">
        <v>4369</v>
      </c>
      <c r="H1494" s="81" t="s">
        <v>2400</v>
      </c>
      <c r="I1494" s="81" t="s">
        <v>6681</v>
      </c>
      <c r="J1494" s="81" t="s">
        <v>2186</v>
      </c>
      <c r="K1494" s="81" t="s">
        <v>6681</v>
      </c>
      <c r="L1494" s="81" t="s">
        <v>2392</v>
      </c>
      <c r="M1494" s="81" t="s">
        <v>6681</v>
      </c>
      <c r="N1494" s="81" t="s">
        <v>2231</v>
      </c>
      <c r="O1494" s="81" t="s">
        <v>2187</v>
      </c>
      <c r="P1494" s="81" t="s">
        <v>2187</v>
      </c>
      <c r="Q1494" s="81" t="s">
        <v>43</v>
      </c>
      <c r="R1494" s="81" t="s">
        <v>46</v>
      </c>
      <c r="S1494" s="81" t="s">
        <v>46</v>
      </c>
      <c r="T1494" s="81" t="s">
        <v>48</v>
      </c>
      <c r="U1494" s="81" t="s">
        <v>48</v>
      </c>
      <c r="V1494" s="81" t="s">
        <v>48</v>
      </c>
      <c r="W1494" s="81" t="s">
        <v>49</v>
      </c>
      <c r="X1494" s="81" t="s">
        <v>48</v>
      </c>
      <c r="Y1494" s="81" t="s">
        <v>48</v>
      </c>
    </row>
    <row r="1495" spans="1:25" x14ac:dyDescent="0.3">
      <c r="A1495" s="16" t="s">
        <v>1331</v>
      </c>
      <c r="B1495" s="81" t="s">
        <v>43</v>
      </c>
      <c r="C1495" s="81" t="s">
        <v>1332</v>
      </c>
      <c r="D1495" s="81" t="s">
        <v>45</v>
      </c>
      <c r="E1495" s="81" t="s">
        <v>2368</v>
      </c>
      <c r="F1495" s="81" t="s">
        <v>2369</v>
      </c>
      <c r="G1495" s="81" t="s">
        <v>3591</v>
      </c>
      <c r="H1495" s="81" t="s">
        <v>2584</v>
      </c>
      <c r="I1495" s="81" t="s">
        <v>6682</v>
      </c>
      <c r="J1495" s="81" t="s">
        <v>2186</v>
      </c>
      <c r="K1495" s="81" t="s">
        <v>6682</v>
      </c>
      <c r="L1495" s="81" t="s">
        <v>2392</v>
      </c>
      <c r="M1495" s="81" t="s">
        <v>6682</v>
      </c>
      <c r="N1495" s="81" t="s">
        <v>2231</v>
      </c>
      <c r="O1495" s="81" t="s">
        <v>2187</v>
      </c>
      <c r="P1495" s="81" t="s">
        <v>2187</v>
      </c>
      <c r="Q1495" s="81" t="s">
        <v>43</v>
      </c>
      <c r="R1495" s="81" t="s">
        <v>203</v>
      </c>
      <c r="S1495" s="81" t="s">
        <v>203</v>
      </c>
      <c r="T1495" s="81" t="s">
        <v>48</v>
      </c>
      <c r="U1495" s="81" t="s">
        <v>48</v>
      </c>
      <c r="V1495" s="81" t="s">
        <v>48</v>
      </c>
      <c r="W1495" s="81" t="s">
        <v>49</v>
      </c>
      <c r="X1495" s="81" t="s">
        <v>48</v>
      </c>
      <c r="Y1495" s="81" t="s">
        <v>48</v>
      </c>
    </row>
    <row r="1496" spans="1:25" x14ac:dyDescent="0.3">
      <c r="A1496" s="16" t="s">
        <v>1333</v>
      </c>
      <c r="B1496" s="81" t="s">
        <v>43</v>
      </c>
      <c r="C1496" s="81" t="s">
        <v>1334</v>
      </c>
      <c r="D1496" s="81" t="s">
        <v>45</v>
      </c>
      <c r="E1496" s="81" t="s">
        <v>2227</v>
      </c>
      <c r="F1496" s="81" t="s">
        <v>2227</v>
      </c>
      <c r="G1496" s="81" t="s">
        <v>3907</v>
      </c>
      <c r="H1496" s="81" t="s">
        <v>6683</v>
      </c>
      <c r="I1496" s="81" t="s">
        <v>6684</v>
      </c>
      <c r="J1496" s="81" t="s">
        <v>2186</v>
      </c>
      <c r="K1496" s="81" t="s">
        <v>6684</v>
      </c>
      <c r="L1496" s="81" t="s">
        <v>2392</v>
      </c>
      <c r="M1496" s="81" t="s">
        <v>6684</v>
      </c>
      <c r="N1496" s="81" t="s">
        <v>2231</v>
      </c>
      <c r="O1496" s="81" t="s">
        <v>2187</v>
      </c>
      <c r="P1496" s="81" t="s">
        <v>2187</v>
      </c>
      <c r="Q1496" s="81" t="s">
        <v>43</v>
      </c>
      <c r="R1496" s="81" t="s">
        <v>524</v>
      </c>
      <c r="S1496" s="81" t="s">
        <v>525</v>
      </c>
      <c r="T1496" s="81" t="s">
        <v>48</v>
      </c>
      <c r="U1496" s="81" t="s">
        <v>48</v>
      </c>
      <c r="V1496" s="81" t="s">
        <v>49</v>
      </c>
      <c r="W1496" s="81" t="s">
        <v>48</v>
      </c>
      <c r="X1496" s="81" t="s">
        <v>48</v>
      </c>
      <c r="Y1496" s="81" t="s">
        <v>48</v>
      </c>
    </row>
    <row r="1497" spans="1:25" x14ac:dyDescent="0.3">
      <c r="A1497" s="16" t="s">
        <v>1335</v>
      </c>
      <c r="B1497" s="81" t="s">
        <v>43</v>
      </c>
      <c r="C1497" s="81" t="s">
        <v>1336</v>
      </c>
      <c r="D1497" s="81" t="s">
        <v>45</v>
      </c>
      <c r="E1497" s="81" t="s">
        <v>2412</v>
      </c>
      <c r="F1497" s="81" t="s">
        <v>2368</v>
      </c>
      <c r="G1497" s="81" t="s">
        <v>3276</v>
      </c>
      <c r="H1497" s="81" t="s">
        <v>6072</v>
      </c>
      <c r="I1497" s="81" t="s">
        <v>6073</v>
      </c>
      <c r="J1497" s="81" t="s">
        <v>2186</v>
      </c>
      <c r="K1497" s="81" t="s">
        <v>6073</v>
      </c>
      <c r="L1497" s="81" t="s">
        <v>2392</v>
      </c>
      <c r="M1497" s="81" t="s">
        <v>6073</v>
      </c>
      <c r="N1497" s="81" t="s">
        <v>2231</v>
      </c>
      <c r="O1497" s="81" t="s">
        <v>2187</v>
      </c>
      <c r="P1497" s="81" t="s">
        <v>2187</v>
      </c>
      <c r="Q1497" s="81" t="s">
        <v>43</v>
      </c>
      <c r="R1497" s="81" t="s">
        <v>524</v>
      </c>
      <c r="S1497" s="81" t="s">
        <v>525</v>
      </c>
      <c r="T1497" s="81" t="s">
        <v>48</v>
      </c>
      <c r="U1497" s="81" t="s">
        <v>48</v>
      </c>
      <c r="V1497" s="81" t="s">
        <v>49</v>
      </c>
      <c r="W1497" s="81" t="s">
        <v>48</v>
      </c>
      <c r="X1497" s="81" t="s">
        <v>48</v>
      </c>
      <c r="Y1497" s="81" t="s">
        <v>48</v>
      </c>
    </row>
    <row r="1498" spans="1:25" x14ac:dyDescent="0.3">
      <c r="A1498" s="16" t="s">
        <v>1337</v>
      </c>
      <c r="B1498" s="81" t="s">
        <v>43</v>
      </c>
      <c r="C1498" s="81" t="s">
        <v>1338</v>
      </c>
      <c r="D1498" s="81" t="s">
        <v>45</v>
      </c>
      <c r="E1498" s="81" t="s">
        <v>2227</v>
      </c>
      <c r="F1498" s="81" t="s">
        <v>2227</v>
      </c>
      <c r="G1498" s="81" t="s">
        <v>3908</v>
      </c>
      <c r="H1498" s="81" t="s">
        <v>6685</v>
      </c>
      <c r="I1498" s="81" t="s">
        <v>6686</v>
      </c>
      <c r="J1498" s="81" t="s">
        <v>2186</v>
      </c>
      <c r="K1498" s="81" t="s">
        <v>6686</v>
      </c>
      <c r="L1498" s="81" t="s">
        <v>2392</v>
      </c>
      <c r="M1498" s="81" t="s">
        <v>6686</v>
      </c>
      <c r="N1498" s="81" t="s">
        <v>2231</v>
      </c>
      <c r="O1498" s="81" t="s">
        <v>2187</v>
      </c>
      <c r="P1498" s="81" t="s">
        <v>2187</v>
      </c>
      <c r="Q1498" s="81" t="s">
        <v>43</v>
      </c>
      <c r="R1498" s="81" t="s">
        <v>203</v>
      </c>
      <c r="S1498" s="81" t="s">
        <v>203</v>
      </c>
      <c r="T1498" s="81" t="s">
        <v>48</v>
      </c>
      <c r="U1498" s="81" t="s">
        <v>48</v>
      </c>
      <c r="V1498" s="81" t="s">
        <v>49</v>
      </c>
      <c r="W1498" s="81" t="s">
        <v>48</v>
      </c>
      <c r="X1498" s="81" t="s">
        <v>48</v>
      </c>
      <c r="Y1498" s="81" t="s">
        <v>48</v>
      </c>
    </row>
    <row r="1499" spans="1:25" x14ac:dyDescent="0.3">
      <c r="A1499" s="16" t="s">
        <v>1339</v>
      </c>
      <c r="B1499" s="81" t="s">
        <v>43</v>
      </c>
      <c r="C1499" s="81" t="s">
        <v>1340</v>
      </c>
      <c r="D1499" s="81" t="s">
        <v>45</v>
      </c>
      <c r="E1499" s="81" t="s">
        <v>2227</v>
      </c>
      <c r="F1499" s="81" t="s">
        <v>2227</v>
      </c>
      <c r="G1499" s="81" t="s">
        <v>2946</v>
      </c>
      <c r="H1499" s="81" t="s">
        <v>5558</v>
      </c>
      <c r="I1499" s="81" t="s">
        <v>6687</v>
      </c>
      <c r="J1499" s="81" t="s">
        <v>2186</v>
      </c>
      <c r="K1499" s="81" t="s">
        <v>6687</v>
      </c>
      <c r="L1499" s="81" t="s">
        <v>2392</v>
      </c>
      <c r="M1499" s="81" t="s">
        <v>6687</v>
      </c>
      <c r="N1499" s="81" t="s">
        <v>2231</v>
      </c>
      <c r="O1499" s="81" t="s">
        <v>2187</v>
      </c>
      <c r="P1499" s="81" t="s">
        <v>2187</v>
      </c>
      <c r="Q1499" s="81" t="s">
        <v>43</v>
      </c>
      <c r="R1499" s="81" t="s">
        <v>46</v>
      </c>
      <c r="S1499" s="81" t="s">
        <v>46</v>
      </c>
      <c r="T1499" s="81" t="s">
        <v>48</v>
      </c>
      <c r="U1499" s="81" t="s">
        <v>48</v>
      </c>
      <c r="V1499" s="81" t="s">
        <v>48</v>
      </c>
      <c r="W1499" s="81" t="s">
        <v>49</v>
      </c>
      <c r="X1499" s="81" t="s">
        <v>48</v>
      </c>
      <c r="Y1499" s="81" t="s">
        <v>48</v>
      </c>
    </row>
    <row r="1500" spans="1:25" x14ac:dyDescent="0.3">
      <c r="A1500" s="16" t="s">
        <v>1341</v>
      </c>
      <c r="B1500" s="81" t="s">
        <v>43</v>
      </c>
      <c r="C1500" s="81" t="s">
        <v>5001</v>
      </c>
      <c r="D1500" s="81" t="s">
        <v>45</v>
      </c>
      <c r="E1500" s="81" t="s">
        <v>3589</v>
      </c>
      <c r="F1500" s="81" t="s">
        <v>3590</v>
      </c>
      <c r="G1500" s="81" t="s">
        <v>3252</v>
      </c>
      <c r="H1500" s="81" t="s">
        <v>2671</v>
      </c>
      <c r="I1500" s="81" t="s">
        <v>6688</v>
      </c>
      <c r="J1500" s="81" t="s">
        <v>2186</v>
      </c>
      <c r="K1500" s="81" t="s">
        <v>6688</v>
      </c>
      <c r="L1500" s="81" t="s">
        <v>2392</v>
      </c>
      <c r="M1500" s="81" t="s">
        <v>6688</v>
      </c>
      <c r="N1500" s="81" t="s">
        <v>2231</v>
      </c>
      <c r="O1500" s="81" t="s">
        <v>2187</v>
      </c>
      <c r="P1500" s="81" t="s">
        <v>2187</v>
      </c>
      <c r="Q1500" s="81" t="s">
        <v>43</v>
      </c>
      <c r="R1500" s="81" t="s">
        <v>203</v>
      </c>
      <c r="S1500" s="81" t="s">
        <v>203</v>
      </c>
      <c r="T1500" s="81" t="s">
        <v>48</v>
      </c>
      <c r="U1500" s="81" t="s">
        <v>48</v>
      </c>
      <c r="V1500" s="81" t="s">
        <v>48</v>
      </c>
      <c r="W1500" s="81" t="s">
        <v>49</v>
      </c>
      <c r="X1500" s="81" t="s">
        <v>48</v>
      </c>
      <c r="Y1500" s="81" t="s">
        <v>48</v>
      </c>
    </row>
    <row r="1501" spans="1:25" x14ac:dyDescent="0.3">
      <c r="A1501" s="16" t="s">
        <v>1342</v>
      </c>
      <c r="B1501" s="81" t="s">
        <v>43</v>
      </c>
      <c r="C1501" s="81" t="s">
        <v>3909</v>
      </c>
      <c r="D1501" s="81" t="s">
        <v>45</v>
      </c>
      <c r="E1501" s="81" t="s">
        <v>2227</v>
      </c>
      <c r="F1501" s="81" t="s">
        <v>2227</v>
      </c>
      <c r="G1501" s="81" t="s">
        <v>3740</v>
      </c>
      <c r="H1501" s="81" t="s">
        <v>6689</v>
      </c>
      <c r="I1501" s="81" t="s">
        <v>6690</v>
      </c>
      <c r="J1501" s="81" t="s">
        <v>2186</v>
      </c>
      <c r="K1501" s="81" t="s">
        <v>6690</v>
      </c>
      <c r="L1501" s="81" t="s">
        <v>2392</v>
      </c>
      <c r="M1501" s="81" t="s">
        <v>6690</v>
      </c>
      <c r="N1501" s="81" t="s">
        <v>2231</v>
      </c>
      <c r="O1501" s="81" t="s">
        <v>2187</v>
      </c>
      <c r="P1501" s="81" t="s">
        <v>2187</v>
      </c>
      <c r="Q1501" s="81" t="s">
        <v>43</v>
      </c>
      <c r="R1501" s="81" t="s">
        <v>203</v>
      </c>
      <c r="S1501" s="81" t="s">
        <v>203</v>
      </c>
      <c r="T1501" s="81" t="s">
        <v>48</v>
      </c>
      <c r="U1501" s="81" t="s">
        <v>48</v>
      </c>
      <c r="V1501" s="81" t="s">
        <v>48</v>
      </c>
      <c r="W1501" s="81" t="s">
        <v>49</v>
      </c>
      <c r="X1501" s="81" t="s">
        <v>48</v>
      </c>
      <c r="Y1501" s="81" t="s">
        <v>48</v>
      </c>
    </row>
    <row r="1502" spans="1:25" x14ac:dyDescent="0.3">
      <c r="A1502" s="16" t="s">
        <v>1343</v>
      </c>
      <c r="B1502" s="81" t="s">
        <v>43</v>
      </c>
      <c r="C1502" s="81" t="s">
        <v>3910</v>
      </c>
      <c r="D1502" s="81" t="s">
        <v>45</v>
      </c>
      <c r="E1502" s="81" t="s">
        <v>2227</v>
      </c>
      <c r="F1502" s="81" t="s">
        <v>2227</v>
      </c>
      <c r="G1502" s="81" t="s">
        <v>3740</v>
      </c>
      <c r="H1502" s="81" t="s">
        <v>6689</v>
      </c>
      <c r="I1502" s="81" t="s">
        <v>6690</v>
      </c>
      <c r="J1502" s="81" t="s">
        <v>2186</v>
      </c>
      <c r="K1502" s="81" t="s">
        <v>6690</v>
      </c>
      <c r="L1502" s="81" t="s">
        <v>2392</v>
      </c>
      <c r="M1502" s="81" t="s">
        <v>6690</v>
      </c>
      <c r="N1502" s="81" t="s">
        <v>2231</v>
      </c>
      <c r="O1502" s="81" t="s">
        <v>2187</v>
      </c>
      <c r="P1502" s="81" t="s">
        <v>2187</v>
      </c>
      <c r="Q1502" s="81" t="s">
        <v>43</v>
      </c>
      <c r="R1502" s="81" t="s">
        <v>203</v>
      </c>
      <c r="S1502" s="81" t="s">
        <v>203</v>
      </c>
      <c r="T1502" s="81" t="s">
        <v>48</v>
      </c>
      <c r="U1502" s="81" t="s">
        <v>48</v>
      </c>
      <c r="V1502" s="81" t="s">
        <v>48</v>
      </c>
      <c r="W1502" s="81" t="s">
        <v>49</v>
      </c>
      <c r="X1502" s="81" t="s">
        <v>48</v>
      </c>
      <c r="Y1502" s="81" t="s">
        <v>48</v>
      </c>
    </row>
    <row r="1503" spans="1:25" x14ac:dyDescent="0.3">
      <c r="A1503" s="16" t="s">
        <v>1344</v>
      </c>
      <c r="B1503" s="81" t="s">
        <v>43</v>
      </c>
      <c r="C1503" s="81" t="s">
        <v>1345</v>
      </c>
      <c r="D1503" s="81" t="s">
        <v>45</v>
      </c>
      <c r="E1503" s="81" t="s">
        <v>2262</v>
      </c>
      <c r="F1503" s="81" t="s">
        <v>2263</v>
      </c>
      <c r="G1503" s="81" t="s">
        <v>3911</v>
      </c>
      <c r="H1503" s="81" t="s">
        <v>3837</v>
      </c>
      <c r="I1503" s="81" t="s">
        <v>6691</v>
      </c>
      <c r="J1503" s="81" t="s">
        <v>2186</v>
      </c>
      <c r="K1503" s="81" t="s">
        <v>6691</v>
      </c>
      <c r="L1503" s="81" t="s">
        <v>2392</v>
      </c>
      <c r="M1503" s="81" t="s">
        <v>6691</v>
      </c>
      <c r="N1503" s="81" t="s">
        <v>2231</v>
      </c>
      <c r="O1503" s="81" t="s">
        <v>2187</v>
      </c>
      <c r="P1503" s="81" t="s">
        <v>2187</v>
      </c>
      <c r="Q1503" s="81" t="s">
        <v>43</v>
      </c>
      <c r="R1503" s="81" t="s">
        <v>46</v>
      </c>
      <c r="S1503" s="81" t="s">
        <v>46</v>
      </c>
      <c r="T1503" s="81" t="s">
        <v>48</v>
      </c>
      <c r="U1503" s="81" t="s">
        <v>48</v>
      </c>
      <c r="V1503" s="81" t="s">
        <v>48</v>
      </c>
      <c r="W1503" s="81" t="s">
        <v>49</v>
      </c>
      <c r="X1503" s="81" t="s">
        <v>48</v>
      </c>
      <c r="Y1503" s="81" t="s">
        <v>48</v>
      </c>
    </row>
    <row r="1504" spans="1:25" x14ac:dyDescent="0.3">
      <c r="A1504" s="16" t="s">
        <v>1346</v>
      </c>
      <c r="B1504" s="81" t="s">
        <v>43</v>
      </c>
      <c r="C1504" s="81" t="s">
        <v>1347</v>
      </c>
      <c r="D1504" s="81" t="s">
        <v>45</v>
      </c>
      <c r="E1504" s="81" t="s">
        <v>2833</v>
      </c>
      <c r="F1504" s="81" t="s">
        <v>2834</v>
      </c>
      <c r="G1504" s="81" t="s">
        <v>3304</v>
      </c>
      <c r="H1504" s="81" t="s">
        <v>6692</v>
      </c>
      <c r="I1504" s="81" t="s">
        <v>6693</v>
      </c>
      <c r="J1504" s="81" t="s">
        <v>2186</v>
      </c>
      <c r="K1504" s="81" t="s">
        <v>6693</v>
      </c>
      <c r="L1504" s="81" t="s">
        <v>2392</v>
      </c>
      <c r="M1504" s="81" t="s">
        <v>6693</v>
      </c>
      <c r="N1504" s="81" t="s">
        <v>2231</v>
      </c>
      <c r="O1504" s="81" t="s">
        <v>2187</v>
      </c>
      <c r="P1504" s="81" t="s">
        <v>2187</v>
      </c>
      <c r="Q1504" s="81" t="s">
        <v>43</v>
      </c>
      <c r="R1504" s="81" t="s">
        <v>46</v>
      </c>
      <c r="S1504" s="81" t="s">
        <v>46</v>
      </c>
      <c r="T1504" s="81" t="s">
        <v>48</v>
      </c>
      <c r="U1504" s="81" t="s">
        <v>48</v>
      </c>
      <c r="V1504" s="81" t="s">
        <v>48</v>
      </c>
      <c r="W1504" s="81" t="s">
        <v>49</v>
      </c>
      <c r="X1504" s="81" t="s">
        <v>48</v>
      </c>
      <c r="Y1504" s="81" t="s">
        <v>48</v>
      </c>
    </row>
    <row r="1505" spans="1:25" x14ac:dyDescent="0.3">
      <c r="A1505" s="16" t="s">
        <v>1348</v>
      </c>
      <c r="B1505" s="81" t="s">
        <v>43</v>
      </c>
      <c r="C1505" s="81" t="s">
        <v>1349</v>
      </c>
      <c r="D1505" s="81" t="s">
        <v>45</v>
      </c>
      <c r="E1505" s="81" t="s">
        <v>2457</v>
      </c>
      <c r="F1505" s="81" t="s">
        <v>2645</v>
      </c>
      <c r="G1505" s="81" t="s">
        <v>3598</v>
      </c>
      <c r="H1505" s="81" t="s">
        <v>6371</v>
      </c>
      <c r="I1505" s="81" t="s">
        <v>6372</v>
      </c>
      <c r="J1505" s="81" t="s">
        <v>2186</v>
      </c>
      <c r="K1505" s="81" t="s">
        <v>6372</v>
      </c>
      <c r="L1505" s="81" t="s">
        <v>2392</v>
      </c>
      <c r="M1505" s="81" t="s">
        <v>6372</v>
      </c>
      <c r="N1505" s="81" t="s">
        <v>2231</v>
      </c>
      <c r="O1505" s="81" t="s">
        <v>2187</v>
      </c>
      <c r="P1505" s="81" t="s">
        <v>2187</v>
      </c>
      <c r="Q1505" s="81" t="s">
        <v>43</v>
      </c>
      <c r="R1505" s="81" t="s">
        <v>46</v>
      </c>
      <c r="S1505" s="81" t="s">
        <v>47</v>
      </c>
      <c r="T1505" s="81" t="s">
        <v>48</v>
      </c>
      <c r="U1505" s="81" t="s">
        <v>48</v>
      </c>
      <c r="V1505" s="81" t="s">
        <v>48</v>
      </c>
      <c r="W1505" s="81" t="s">
        <v>49</v>
      </c>
      <c r="X1505" s="81" t="s">
        <v>48</v>
      </c>
      <c r="Y1505" s="81" t="s">
        <v>48</v>
      </c>
    </row>
    <row r="1506" spans="1:25" x14ac:dyDescent="0.3">
      <c r="A1506" s="16" t="s">
        <v>1350</v>
      </c>
      <c r="B1506" s="81" t="s">
        <v>43</v>
      </c>
      <c r="C1506" s="81" t="s">
        <v>1351</v>
      </c>
      <c r="D1506" s="81" t="s">
        <v>45</v>
      </c>
      <c r="E1506" s="81" t="s">
        <v>2354</v>
      </c>
      <c r="F1506" s="81" t="s">
        <v>2355</v>
      </c>
      <c r="G1506" s="81" t="s">
        <v>3912</v>
      </c>
      <c r="H1506" s="81" t="s">
        <v>6694</v>
      </c>
      <c r="I1506" s="81" t="s">
        <v>6695</v>
      </c>
      <c r="J1506" s="81" t="s">
        <v>2186</v>
      </c>
      <c r="K1506" s="81" t="s">
        <v>6695</v>
      </c>
      <c r="L1506" s="81" t="s">
        <v>2392</v>
      </c>
      <c r="M1506" s="81" t="s">
        <v>6695</v>
      </c>
      <c r="N1506" s="81" t="s">
        <v>2231</v>
      </c>
      <c r="O1506" s="81" t="s">
        <v>2187</v>
      </c>
      <c r="P1506" s="81" t="s">
        <v>2187</v>
      </c>
      <c r="Q1506" s="81" t="s">
        <v>43</v>
      </c>
      <c r="R1506" s="81" t="s">
        <v>203</v>
      </c>
      <c r="S1506" s="81" t="s">
        <v>47</v>
      </c>
      <c r="T1506" s="81" t="s">
        <v>48</v>
      </c>
      <c r="U1506" s="81" t="s">
        <v>48</v>
      </c>
      <c r="V1506" s="81" t="s">
        <v>48</v>
      </c>
      <c r="W1506" s="81" t="s">
        <v>49</v>
      </c>
      <c r="X1506" s="81" t="s">
        <v>48</v>
      </c>
      <c r="Y1506" s="81" t="s">
        <v>48</v>
      </c>
    </row>
    <row r="1507" spans="1:25" x14ac:dyDescent="0.3">
      <c r="A1507" s="16" t="s">
        <v>1352</v>
      </c>
      <c r="B1507" s="81" t="s">
        <v>43</v>
      </c>
      <c r="C1507" s="81" t="s">
        <v>1353</v>
      </c>
      <c r="D1507" s="81" t="s">
        <v>45</v>
      </c>
      <c r="E1507" s="81" t="s">
        <v>2304</v>
      </c>
      <c r="F1507" s="81" t="s">
        <v>2435</v>
      </c>
      <c r="G1507" s="81" t="s">
        <v>3913</v>
      </c>
      <c r="H1507" s="81" t="s">
        <v>6696</v>
      </c>
      <c r="I1507" s="81" t="s">
        <v>6697</v>
      </c>
      <c r="J1507" s="81" t="s">
        <v>2186</v>
      </c>
      <c r="K1507" s="81" t="s">
        <v>6697</v>
      </c>
      <c r="L1507" s="81" t="s">
        <v>2392</v>
      </c>
      <c r="M1507" s="81" t="s">
        <v>6697</v>
      </c>
      <c r="N1507" s="81" t="s">
        <v>2231</v>
      </c>
      <c r="O1507" s="81" t="s">
        <v>2187</v>
      </c>
      <c r="P1507" s="81" t="s">
        <v>2187</v>
      </c>
      <c r="Q1507" s="81" t="s">
        <v>43</v>
      </c>
      <c r="R1507" s="81" t="s">
        <v>46</v>
      </c>
      <c r="S1507" s="81" t="s">
        <v>46</v>
      </c>
      <c r="T1507" s="81" t="s">
        <v>48</v>
      </c>
      <c r="U1507" s="81" t="s">
        <v>48</v>
      </c>
      <c r="V1507" s="81" t="s">
        <v>48</v>
      </c>
      <c r="W1507" s="81" t="s">
        <v>49</v>
      </c>
      <c r="X1507" s="81" t="s">
        <v>48</v>
      </c>
      <c r="Y1507" s="81" t="s">
        <v>48</v>
      </c>
    </row>
    <row r="1508" spans="1:25" x14ac:dyDescent="0.3">
      <c r="A1508" s="16" t="s">
        <v>1354</v>
      </c>
      <c r="B1508" s="81" t="s">
        <v>43</v>
      </c>
      <c r="C1508" s="81" t="s">
        <v>1355</v>
      </c>
      <c r="D1508" s="81" t="s">
        <v>45</v>
      </c>
      <c r="E1508" s="81" t="s">
        <v>2398</v>
      </c>
      <c r="F1508" s="81" t="s">
        <v>2399</v>
      </c>
      <c r="G1508" s="81" t="s">
        <v>3570</v>
      </c>
      <c r="H1508" s="81" t="s">
        <v>6698</v>
      </c>
      <c r="I1508" s="81" t="s">
        <v>6699</v>
      </c>
      <c r="J1508" s="81" t="s">
        <v>2186</v>
      </c>
      <c r="K1508" s="81" t="s">
        <v>6699</v>
      </c>
      <c r="L1508" s="81" t="s">
        <v>2392</v>
      </c>
      <c r="M1508" s="81" t="s">
        <v>6699</v>
      </c>
      <c r="N1508" s="81" t="s">
        <v>2231</v>
      </c>
      <c r="O1508" s="81" t="s">
        <v>2187</v>
      </c>
      <c r="P1508" s="81" t="s">
        <v>2187</v>
      </c>
      <c r="Q1508" s="81" t="s">
        <v>152</v>
      </c>
      <c r="R1508" s="81" t="s">
        <v>46</v>
      </c>
      <c r="S1508" s="81" t="s">
        <v>46</v>
      </c>
      <c r="T1508" s="81" t="s">
        <v>48</v>
      </c>
      <c r="U1508" s="81" t="s">
        <v>48</v>
      </c>
      <c r="V1508" s="81" t="s">
        <v>48</v>
      </c>
      <c r="W1508" s="81" t="s">
        <v>49</v>
      </c>
      <c r="X1508" s="81" t="s">
        <v>48</v>
      </c>
      <c r="Y1508" s="81" t="s">
        <v>48</v>
      </c>
    </row>
    <row r="1509" spans="1:25" x14ac:dyDescent="0.3">
      <c r="A1509" s="16" t="s">
        <v>1356</v>
      </c>
      <c r="B1509" s="81" t="s">
        <v>43</v>
      </c>
      <c r="C1509" s="81" t="s">
        <v>1357</v>
      </c>
      <c r="D1509" s="81" t="s">
        <v>45</v>
      </c>
      <c r="E1509" s="81" t="s">
        <v>3319</v>
      </c>
      <c r="F1509" s="81" t="s">
        <v>3320</v>
      </c>
      <c r="G1509" s="81" t="s">
        <v>3321</v>
      </c>
      <c r="H1509" s="81" t="s">
        <v>2225</v>
      </c>
      <c r="I1509" s="81" t="s">
        <v>6095</v>
      </c>
      <c r="J1509" s="81" t="s">
        <v>2186</v>
      </c>
      <c r="K1509" s="81" t="s">
        <v>6095</v>
      </c>
      <c r="L1509" s="81" t="s">
        <v>2392</v>
      </c>
      <c r="M1509" s="81" t="s">
        <v>6095</v>
      </c>
      <c r="N1509" s="81" t="s">
        <v>2231</v>
      </c>
      <c r="O1509" s="81" t="s">
        <v>2187</v>
      </c>
      <c r="P1509" s="81" t="s">
        <v>2187</v>
      </c>
      <c r="Q1509" s="81" t="s">
        <v>744</v>
      </c>
      <c r="R1509" s="81" t="s">
        <v>46</v>
      </c>
      <c r="S1509" s="81" t="s">
        <v>164</v>
      </c>
      <c r="T1509" s="81" t="s">
        <v>48</v>
      </c>
      <c r="U1509" s="81" t="s">
        <v>48</v>
      </c>
      <c r="V1509" s="81" t="s">
        <v>48</v>
      </c>
      <c r="W1509" s="81" t="s">
        <v>49</v>
      </c>
      <c r="X1509" s="81" t="s">
        <v>48</v>
      </c>
      <c r="Y1509" s="81" t="s">
        <v>48</v>
      </c>
    </row>
    <row r="1510" spans="1:25" x14ac:dyDescent="0.3">
      <c r="A1510" s="16" t="s">
        <v>1358</v>
      </c>
      <c r="B1510" s="81" t="s">
        <v>43</v>
      </c>
      <c r="C1510" s="81" t="s">
        <v>1359</v>
      </c>
      <c r="D1510" s="81" t="s">
        <v>45</v>
      </c>
      <c r="E1510" s="81" t="s">
        <v>2227</v>
      </c>
      <c r="F1510" s="81" t="s">
        <v>2227</v>
      </c>
      <c r="G1510" s="81" t="s">
        <v>3741</v>
      </c>
      <c r="H1510" s="81" t="s">
        <v>6509</v>
      </c>
      <c r="I1510" s="81" t="s">
        <v>6510</v>
      </c>
      <c r="J1510" s="81" t="s">
        <v>2186</v>
      </c>
      <c r="K1510" s="81" t="s">
        <v>6510</v>
      </c>
      <c r="L1510" s="81" t="s">
        <v>2392</v>
      </c>
      <c r="M1510" s="81" t="s">
        <v>6510</v>
      </c>
      <c r="N1510" s="81" t="s">
        <v>2231</v>
      </c>
      <c r="O1510" s="81" t="s">
        <v>2187</v>
      </c>
      <c r="P1510" s="81" t="s">
        <v>2187</v>
      </c>
      <c r="Q1510" s="81" t="s">
        <v>1159</v>
      </c>
      <c r="R1510" s="81" t="s">
        <v>46</v>
      </c>
      <c r="S1510" s="81" t="s">
        <v>47</v>
      </c>
      <c r="T1510" s="81" t="s">
        <v>48</v>
      </c>
      <c r="U1510" s="81" t="s">
        <v>48</v>
      </c>
      <c r="V1510" s="81" t="s">
        <v>48</v>
      </c>
      <c r="W1510" s="81" t="s">
        <v>49</v>
      </c>
      <c r="X1510" s="81" t="s">
        <v>48</v>
      </c>
      <c r="Y1510" s="81" t="s">
        <v>48</v>
      </c>
    </row>
    <row r="1511" spans="1:25" x14ac:dyDescent="0.3">
      <c r="A1511" s="16" t="s">
        <v>1360</v>
      </c>
      <c r="B1511" s="81" t="s">
        <v>43</v>
      </c>
      <c r="C1511" s="81" t="s">
        <v>1361</v>
      </c>
      <c r="D1511" s="81" t="s">
        <v>45</v>
      </c>
      <c r="E1511" s="81" t="s">
        <v>2326</v>
      </c>
      <c r="F1511" s="81" t="s">
        <v>2327</v>
      </c>
      <c r="G1511" s="81" t="s">
        <v>3914</v>
      </c>
      <c r="H1511" s="81" t="s">
        <v>2217</v>
      </c>
      <c r="I1511" s="81" t="s">
        <v>2291</v>
      </c>
      <c r="J1511" s="81" t="s">
        <v>2186</v>
      </c>
      <c r="K1511" s="81" t="s">
        <v>2291</v>
      </c>
      <c r="L1511" s="81" t="s">
        <v>2392</v>
      </c>
      <c r="M1511" s="81" t="s">
        <v>2291</v>
      </c>
      <c r="N1511" s="81" t="s">
        <v>2231</v>
      </c>
      <c r="O1511" s="81" t="s">
        <v>2187</v>
      </c>
      <c r="P1511" s="81" t="s">
        <v>2187</v>
      </c>
      <c r="Q1511" s="81" t="s">
        <v>110</v>
      </c>
      <c r="R1511" s="81" t="s">
        <v>46</v>
      </c>
      <c r="S1511" s="81" t="s">
        <v>46</v>
      </c>
      <c r="T1511" s="81" t="s">
        <v>48</v>
      </c>
      <c r="U1511" s="81" t="s">
        <v>48</v>
      </c>
      <c r="V1511" s="81" t="s">
        <v>48</v>
      </c>
      <c r="W1511" s="81" t="s">
        <v>49</v>
      </c>
      <c r="X1511" s="81" t="s">
        <v>48</v>
      </c>
      <c r="Y1511" s="81" t="s">
        <v>48</v>
      </c>
    </row>
    <row r="1512" spans="1:25" x14ac:dyDescent="0.3">
      <c r="A1512" s="16" t="s">
        <v>1362</v>
      </c>
      <c r="B1512" s="81" t="s">
        <v>43</v>
      </c>
      <c r="C1512" s="81" t="s">
        <v>1675</v>
      </c>
      <c r="D1512" s="81" t="s">
        <v>45</v>
      </c>
      <c r="E1512" s="81" t="s">
        <v>2262</v>
      </c>
      <c r="F1512" s="81" t="s">
        <v>2263</v>
      </c>
      <c r="G1512" s="81" t="s">
        <v>3915</v>
      </c>
      <c r="H1512" s="81" t="s">
        <v>6700</v>
      </c>
      <c r="I1512" s="81" t="s">
        <v>6701</v>
      </c>
      <c r="J1512" s="81" t="s">
        <v>2186</v>
      </c>
      <c r="K1512" s="81" t="s">
        <v>6701</v>
      </c>
      <c r="L1512" s="81" t="s">
        <v>2392</v>
      </c>
      <c r="M1512" s="81" t="s">
        <v>6701</v>
      </c>
      <c r="N1512" s="81" t="s">
        <v>2231</v>
      </c>
      <c r="O1512" s="81" t="s">
        <v>2187</v>
      </c>
      <c r="P1512" s="81" t="s">
        <v>2187</v>
      </c>
      <c r="Q1512" s="81" t="s">
        <v>43</v>
      </c>
      <c r="R1512" s="81" t="s">
        <v>374</v>
      </c>
      <c r="S1512" s="81" t="s">
        <v>164</v>
      </c>
      <c r="T1512" s="81" t="s">
        <v>48</v>
      </c>
      <c r="U1512" s="81" t="s">
        <v>48</v>
      </c>
      <c r="V1512" s="81" t="s">
        <v>48</v>
      </c>
      <c r="W1512" s="81" t="s">
        <v>49</v>
      </c>
      <c r="X1512" s="81" t="s">
        <v>48</v>
      </c>
      <c r="Y1512" s="81" t="s">
        <v>48</v>
      </c>
    </row>
    <row r="1513" spans="1:25" x14ac:dyDescent="0.3">
      <c r="A1513" s="16" t="s">
        <v>1363</v>
      </c>
      <c r="B1513" s="81" t="s">
        <v>43</v>
      </c>
      <c r="C1513" s="81" t="s">
        <v>1364</v>
      </c>
      <c r="D1513" s="81" t="s">
        <v>45</v>
      </c>
      <c r="E1513" s="81" t="s">
        <v>2227</v>
      </c>
      <c r="F1513" s="81" t="s">
        <v>2227</v>
      </c>
      <c r="G1513" s="81" t="s">
        <v>3916</v>
      </c>
      <c r="H1513" s="81" t="s">
        <v>6702</v>
      </c>
      <c r="I1513" s="81" t="s">
        <v>6703</v>
      </c>
      <c r="J1513" s="81" t="s">
        <v>2186</v>
      </c>
      <c r="K1513" s="81" t="s">
        <v>6703</v>
      </c>
      <c r="L1513" s="81" t="s">
        <v>2392</v>
      </c>
      <c r="M1513" s="81" t="s">
        <v>6703</v>
      </c>
      <c r="N1513" s="81" t="s">
        <v>2231</v>
      </c>
      <c r="O1513" s="81" t="s">
        <v>2187</v>
      </c>
      <c r="P1513" s="81" t="s">
        <v>2187</v>
      </c>
      <c r="Q1513" s="81" t="s">
        <v>43</v>
      </c>
      <c r="R1513" s="81" t="s">
        <v>46</v>
      </c>
      <c r="S1513" s="81" t="s">
        <v>46</v>
      </c>
      <c r="T1513" s="81" t="s">
        <v>48</v>
      </c>
      <c r="U1513" s="81" t="s">
        <v>48</v>
      </c>
      <c r="V1513" s="81" t="s">
        <v>48</v>
      </c>
      <c r="W1513" s="81" t="s">
        <v>49</v>
      </c>
      <c r="X1513" s="81" t="s">
        <v>48</v>
      </c>
      <c r="Y1513" s="81" t="s">
        <v>48</v>
      </c>
    </row>
    <row r="1514" spans="1:25" x14ac:dyDescent="0.3">
      <c r="A1514" s="16" t="s">
        <v>1365</v>
      </c>
      <c r="B1514" s="81" t="s">
        <v>43</v>
      </c>
      <c r="C1514" s="81" t="s">
        <v>1366</v>
      </c>
      <c r="D1514" s="81" t="s">
        <v>45</v>
      </c>
      <c r="E1514" s="81" t="s">
        <v>3013</v>
      </c>
      <c r="F1514" s="81" t="s">
        <v>3014</v>
      </c>
      <c r="G1514" s="81" t="s">
        <v>3917</v>
      </c>
      <c r="H1514" s="81" t="s">
        <v>3594</v>
      </c>
      <c r="I1514" s="81" t="s">
        <v>6704</v>
      </c>
      <c r="J1514" s="81" t="s">
        <v>2186</v>
      </c>
      <c r="K1514" s="81" t="s">
        <v>6704</v>
      </c>
      <c r="L1514" s="81" t="s">
        <v>2392</v>
      </c>
      <c r="M1514" s="81" t="s">
        <v>6704</v>
      </c>
      <c r="N1514" s="81" t="s">
        <v>2231</v>
      </c>
      <c r="O1514" s="81" t="s">
        <v>2187</v>
      </c>
      <c r="P1514" s="81" t="s">
        <v>2187</v>
      </c>
      <c r="Q1514" s="81" t="s">
        <v>43</v>
      </c>
      <c r="R1514" s="81" t="s">
        <v>506</v>
      </c>
      <c r="S1514" s="81" t="s">
        <v>506</v>
      </c>
      <c r="T1514" s="81" t="s">
        <v>48</v>
      </c>
      <c r="U1514" s="81" t="s">
        <v>48</v>
      </c>
      <c r="V1514" s="81" t="s">
        <v>49</v>
      </c>
      <c r="W1514" s="81" t="s">
        <v>48</v>
      </c>
      <c r="X1514" s="81" t="s">
        <v>48</v>
      </c>
      <c r="Y1514" s="81" t="s">
        <v>48</v>
      </c>
    </row>
    <row r="1515" spans="1:25" x14ac:dyDescent="0.3">
      <c r="A1515" s="16" t="s">
        <v>1367</v>
      </c>
      <c r="B1515" s="81" t="s">
        <v>43</v>
      </c>
      <c r="C1515" s="81" t="s">
        <v>1368</v>
      </c>
      <c r="D1515" s="81" t="s">
        <v>45</v>
      </c>
      <c r="E1515" s="81" t="s">
        <v>3376</v>
      </c>
      <c r="F1515" s="81" t="s">
        <v>2857</v>
      </c>
      <c r="G1515" s="81" t="s">
        <v>2930</v>
      </c>
      <c r="H1515" s="81" t="s">
        <v>2325</v>
      </c>
      <c r="I1515" s="81" t="s">
        <v>2331</v>
      </c>
      <c r="J1515" s="81" t="s">
        <v>2186</v>
      </c>
      <c r="K1515" s="81" t="s">
        <v>2331</v>
      </c>
      <c r="L1515" s="81" t="s">
        <v>2392</v>
      </c>
      <c r="M1515" s="81" t="s">
        <v>2331</v>
      </c>
      <c r="N1515" s="81" t="s">
        <v>2231</v>
      </c>
      <c r="O1515" s="81" t="s">
        <v>2187</v>
      </c>
      <c r="P1515" s="81" t="s">
        <v>2187</v>
      </c>
      <c r="Q1515" s="81" t="s">
        <v>43</v>
      </c>
      <c r="R1515" s="81" t="s">
        <v>122</v>
      </c>
      <c r="S1515" s="81" t="s">
        <v>123</v>
      </c>
      <c r="T1515" s="81" t="s">
        <v>48</v>
      </c>
      <c r="U1515" s="81" t="s">
        <v>48</v>
      </c>
      <c r="V1515" s="81" t="s">
        <v>48</v>
      </c>
      <c r="W1515" s="81" t="s">
        <v>49</v>
      </c>
      <c r="X1515" s="81" t="s">
        <v>48</v>
      </c>
      <c r="Y1515" s="81" t="s">
        <v>48</v>
      </c>
    </row>
    <row r="1516" spans="1:25" x14ac:dyDescent="0.3">
      <c r="A1516" s="16" t="s">
        <v>1369</v>
      </c>
      <c r="B1516" s="81" t="s">
        <v>43</v>
      </c>
      <c r="C1516" s="81" t="s">
        <v>3918</v>
      </c>
      <c r="D1516" s="81" t="s">
        <v>45</v>
      </c>
      <c r="E1516" s="81" t="s">
        <v>2227</v>
      </c>
      <c r="F1516" s="81" t="s">
        <v>2227</v>
      </c>
      <c r="G1516" s="81" t="s">
        <v>3919</v>
      </c>
      <c r="H1516" s="81" t="s">
        <v>2687</v>
      </c>
      <c r="I1516" s="81" t="s">
        <v>6705</v>
      </c>
      <c r="J1516" s="81" t="s">
        <v>2186</v>
      </c>
      <c r="K1516" s="81" t="s">
        <v>6705</v>
      </c>
      <c r="L1516" s="81" t="s">
        <v>2392</v>
      </c>
      <c r="M1516" s="81" t="s">
        <v>6705</v>
      </c>
      <c r="N1516" s="81" t="s">
        <v>2231</v>
      </c>
      <c r="O1516" s="81" t="s">
        <v>2187</v>
      </c>
      <c r="P1516" s="81" t="s">
        <v>2187</v>
      </c>
      <c r="Q1516" s="81" t="s">
        <v>43</v>
      </c>
      <c r="R1516" s="81" t="s">
        <v>374</v>
      </c>
      <c r="S1516" s="81" t="s">
        <v>47</v>
      </c>
      <c r="T1516" s="81" t="s">
        <v>48</v>
      </c>
      <c r="U1516" s="81" t="s">
        <v>48</v>
      </c>
      <c r="V1516" s="81" t="s">
        <v>48</v>
      </c>
      <c r="W1516" s="81" t="s">
        <v>49</v>
      </c>
      <c r="X1516" s="81" t="s">
        <v>48</v>
      </c>
      <c r="Y1516" s="81" t="s">
        <v>48</v>
      </c>
    </row>
    <row r="1517" spans="1:25" x14ac:dyDescent="0.3">
      <c r="A1517" s="16" t="s">
        <v>1370</v>
      </c>
      <c r="B1517" s="81" t="s">
        <v>43</v>
      </c>
      <c r="C1517" s="81" t="s">
        <v>1371</v>
      </c>
      <c r="D1517" s="81" t="s">
        <v>45</v>
      </c>
      <c r="E1517" s="81" t="s">
        <v>2412</v>
      </c>
      <c r="F1517" s="81" t="s">
        <v>2368</v>
      </c>
      <c r="G1517" s="81" t="s">
        <v>3528</v>
      </c>
      <c r="H1517" s="81" t="s">
        <v>6303</v>
      </c>
      <c r="I1517" s="81" t="s">
        <v>6304</v>
      </c>
      <c r="J1517" s="81" t="s">
        <v>2186</v>
      </c>
      <c r="K1517" s="81" t="s">
        <v>6304</v>
      </c>
      <c r="L1517" s="81" t="s">
        <v>2392</v>
      </c>
      <c r="M1517" s="81" t="s">
        <v>6304</v>
      </c>
      <c r="N1517" s="81" t="s">
        <v>2231</v>
      </c>
      <c r="O1517" s="81" t="s">
        <v>2187</v>
      </c>
      <c r="P1517" s="81" t="s">
        <v>2187</v>
      </c>
      <c r="Q1517" s="81" t="s">
        <v>43</v>
      </c>
      <c r="R1517" s="81" t="s">
        <v>203</v>
      </c>
      <c r="S1517" s="81" t="s">
        <v>203</v>
      </c>
      <c r="T1517" s="81" t="s">
        <v>48</v>
      </c>
      <c r="U1517" s="81" t="s">
        <v>48</v>
      </c>
      <c r="V1517" s="81" t="s">
        <v>49</v>
      </c>
      <c r="W1517" s="81" t="s">
        <v>48</v>
      </c>
      <c r="X1517" s="81" t="s">
        <v>48</v>
      </c>
      <c r="Y1517" s="81" t="s">
        <v>48</v>
      </c>
    </row>
    <row r="1518" spans="1:25" x14ac:dyDescent="0.3">
      <c r="A1518" s="16" t="s">
        <v>1372</v>
      </c>
      <c r="B1518" s="81" t="s">
        <v>43</v>
      </c>
      <c r="C1518" s="81" t="s">
        <v>1373</v>
      </c>
      <c r="D1518" s="81" t="s">
        <v>45</v>
      </c>
      <c r="E1518" s="81" t="s">
        <v>2179</v>
      </c>
      <c r="F1518" s="81" t="s">
        <v>2191</v>
      </c>
      <c r="G1518" s="81" t="s">
        <v>3425</v>
      </c>
      <c r="H1518" s="81" t="s">
        <v>6706</v>
      </c>
      <c r="I1518" s="81" t="s">
        <v>6707</v>
      </c>
      <c r="J1518" s="81" t="s">
        <v>2186</v>
      </c>
      <c r="K1518" s="81" t="s">
        <v>6707</v>
      </c>
      <c r="L1518" s="81" t="s">
        <v>2392</v>
      </c>
      <c r="M1518" s="81" t="s">
        <v>6707</v>
      </c>
      <c r="N1518" s="81" t="s">
        <v>2231</v>
      </c>
      <c r="O1518" s="81" t="s">
        <v>2187</v>
      </c>
      <c r="P1518" s="81" t="s">
        <v>2187</v>
      </c>
      <c r="Q1518" s="81" t="s">
        <v>43</v>
      </c>
      <c r="R1518" s="81" t="s">
        <v>374</v>
      </c>
      <c r="S1518" s="81" t="s">
        <v>374</v>
      </c>
      <c r="T1518" s="81" t="s">
        <v>48</v>
      </c>
      <c r="U1518" s="81" t="s">
        <v>48</v>
      </c>
      <c r="V1518" s="81" t="s">
        <v>49</v>
      </c>
      <c r="W1518" s="81" t="s">
        <v>48</v>
      </c>
      <c r="X1518" s="81" t="s">
        <v>48</v>
      </c>
      <c r="Y1518" s="81" t="s">
        <v>48</v>
      </c>
    </row>
    <row r="1519" spans="1:25" x14ac:dyDescent="0.3">
      <c r="A1519" s="16" t="s">
        <v>1374</v>
      </c>
      <c r="B1519" s="81" t="s">
        <v>43</v>
      </c>
      <c r="C1519" s="81" t="s">
        <v>1375</v>
      </c>
      <c r="D1519" s="81" t="s">
        <v>45</v>
      </c>
      <c r="E1519" s="81" t="s">
        <v>2298</v>
      </c>
      <c r="F1519" s="81" t="s">
        <v>2545</v>
      </c>
      <c r="G1519" s="81" t="s">
        <v>3920</v>
      </c>
      <c r="H1519" s="81" t="s">
        <v>6708</v>
      </c>
      <c r="I1519" s="81" t="s">
        <v>6709</v>
      </c>
      <c r="J1519" s="81" t="s">
        <v>2186</v>
      </c>
      <c r="K1519" s="81" t="s">
        <v>6709</v>
      </c>
      <c r="L1519" s="81" t="s">
        <v>2392</v>
      </c>
      <c r="M1519" s="81" t="s">
        <v>6709</v>
      </c>
      <c r="N1519" s="81" t="s">
        <v>2231</v>
      </c>
      <c r="O1519" s="81" t="s">
        <v>2187</v>
      </c>
      <c r="P1519" s="81" t="s">
        <v>2187</v>
      </c>
      <c r="Q1519" s="81" t="s">
        <v>43</v>
      </c>
      <c r="R1519" s="81" t="s">
        <v>203</v>
      </c>
      <c r="S1519" s="81" t="s">
        <v>203</v>
      </c>
      <c r="T1519" s="81" t="s">
        <v>48</v>
      </c>
      <c r="U1519" s="81" t="s">
        <v>48</v>
      </c>
      <c r="V1519" s="81" t="s">
        <v>48</v>
      </c>
      <c r="W1519" s="81" t="s">
        <v>49</v>
      </c>
      <c r="X1519" s="81" t="s">
        <v>48</v>
      </c>
      <c r="Y1519" s="81" t="s">
        <v>48</v>
      </c>
    </row>
    <row r="1520" spans="1:25" x14ac:dyDescent="0.3">
      <c r="A1520" s="16" t="s">
        <v>1376</v>
      </c>
      <c r="B1520" s="81" t="s">
        <v>43</v>
      </c>
      <c r="C1520" s="81" t="s">
        <v>1377</v>
      </c>
      <c r="D1520" s="81" t="s">
        <v>45</v>
      </c>
      <c r="E1520" s="81" t="s">
        <v>2239</v>
      </c>
      <c r="F1520" s="81" t="s">
        <v>2341</v>
      </c>
      <c r="G1520" s="81" t="s">
        <v>3921</v>
      </c>
      <c r="H1520" s="81" t="s">
        <v>2243</v>
      </c>
      <c r="I1520" s="81" t="s">
        <v>6710</v>
      </c>
      <c r="J1520" s="81" t="s">
        <v>2186</v>
      </c>
      <c r="K1520" s="81" t="s">
        <v>6710</v>
      </c>
      <c r="L1520" s="81" t="s">
        <v>2392</v>
      </c>
      <c r="M1520" s="81" t="s">
        <v>6710</v>
      </c>
      <c r="N1520" s="81" t="s">
        <v>2231</v>
      </c>
      <c r="O1520" s="81" t="s">
        <v>2187</v>
      </c>
      <c r="P1520" s="81" t="s">
        <v>2187</v>
      </c>
      <c r="Q1520" s="81" t="s">
        <v>43</v>
      </c>
      <c r="R1520" s="81" t="s">
        <v>51</v>
      </c>
      <c r="S1520" s="81" t="s">
        <v>81</v>
      </c>
      <c r="T1520" s="81" t="s">
        <v>49</v>
      </c>
      <c r="U1520" s="81" t="s">
        <v>48</v>
      </c>
      <c r="V1520" s="81" t="s">
        <v>48</v>
      </c>
      <c r="W1520" s="81" t="s">
        <v>49</v>
      </c>
      <c r="X1520" s="81" t="s">
        <v>48</v>
      </c>
      <c r="Y1520" s="81" t="s">
        <v>48</v>
      </c>
    </row>
    <row r="1521" spans="1:25" x14ac:dyDescent="0.3">
      <c r="A1521" s="16" t="s">
        <v>1378</v>
      </c>
      <c r="B1521" s="81" t="s">
        <v>43</v>
      </c>
      <c r="C1521" s="81" t="s">
        <v>1379</v>
      </c>
      <c r="D1521" s="81" t="s">
        <v>45</v>
      </c>
      <c r="E1521" s="81" t="s">
        <v>2227</v>
      </c>
      <c r="F1521" s="81" t="s">
        <v>2227</v>
      </c>
      <c r="G1521" s="81" t="s">
        <v>3922</v>
      </c>
      <c r="H1521" s="81" t="s">
        <v>2264</v>
      </c>
      <c r="I1521" s="81" t="s">
        <v>6711</v>
      </c>
      <c r="J1521" s="81" t="s">
        <v>2186</v>
      </c>
      <c r="K1521" s="81" t="s">
        <v>6711</v>
      </c>
      <c r="L1521" s="81" t="s">
        <v>2392</v>
      </c>
      <c r="M1521" s="81" t="s">
        <v>6711</v>
      </c>
      <c r="N1521" s="81" t="s">
        <v>2231</v>
      </c>
      <c r="O1521" s="81" t="s">
        <v>2187</v>
      </c>
      <c r="P1521" s="81" t="s">
        <v>2187</v>
      </c>
      <c r="Q1521" s="81" t="s">
        <v>43</v>
      </c>
      <c r="R1521" s="81" t="s">
        <v>51</v>
      </c>
      <c r="S1521" s="81" t="s">
        <v>81</v>
      </c>
      <c r="T1521" s="81" t="s">
        <v>48</v>
      </c>
      <c r="U1521" s="81" t="s">
        <v>48</v>
      </c>
      <c r="V1521" s="81" t="s">
        <v>48</v>
      </c>
      <c r="W1521" s="81" t="s">
        <v>49</v>
      </c>
      <c r="X1521" s="81" t="s">
        <v>48</v>
      </c>
      <c r="Y1521" s="81" t="s">
        <v>48</v>
      </c>
    </row>
    <row r="1522" spans="1:25" x14ac:dyDescent="0.3">
      <c r="A1522" s="16" t="s">
        <v>1380</v>
      </c>
      <c r="B1522" s="81" t="s">
        <v>43</v>
      </c>
      <c r="C1522" s="81" t="s">
        <v>1381</v>
      </c>
      <c r="D1522" s="81" t="s">
        <v>45</v>
      </c>
      <c r="E1522" s="81" t="s">
        <v>2616</v>
      </c>
      <c r="F1522" s="81" t="s">
        <v>2471</v>
      </c>
      <c r="G1522" s="81" t="s">
        <v>3255</v>
      </c>
      <c r="H1522" s="81" t="s">
        <v>6053</v>
      </c>
      <c r="I1522" s="81" t="s">
        <v>6054</v>
      </c>
      <c r="J1522" s="81" t="s">
        <v>2186</v>
      </c>
      <c r="K1522" s="81" t="s">
        <v>6054</v>
      </c>
      <c r="L1522" s="81" t="s">
        <v>2392</v>
      </c>
      <c r="M1522" s="81" t="s">
        <v>6054</v>
      </c>
      <c r="N1522" s="81" t="s">
        <v>2231</v>
      </c>
      <c r="O1522" s="81" t="s">
        <v>2187</v>
      </c>
      <c r="P1522" s="81" t="s">
        <v>2187</v>
      </c>
      <c r="Q1522" s="81" t="s">
        <v>43</v>
      </c>
      <c r="R1522" s="81" t="s">
        <v>51</v>
      </c>
      <c r="S1522" s="81" t="s">
        <v>81</v>
      </c>
      <c r="T1522" s="81" t="s">
        <v>49</v>
      </c>
      <c r="U1522" s="81" t="s">
        <v>48</v>
      </c>
      <c r="V1522" s="81" t="s">
        <v>48</v>
      </c>
      <c r="W1522" s="81" t="s">
        <v>49</v>
      </c>
      <c r="X1522" s="81" t="s">
        <v>48</v>
      </c>
      <c r="Y1522" s="81" t="s">
        <v>48</v>
      </c>
    </row>
    <row r="1523" spans="1:25" x14ac:dyDescent="0.3">
      <c r="A1523" s="16" t="s">
        <v>1382</v>
      </c>
      <c r="B1523" s="81" t="s">
        <v>43</v>
      </c>
      <c r="C1523" s="81" t="s">
        <v>1383</v>
      </c>
      <c r="D1523" s="81" t="s">
        <v>45</v>
      </c>
      <c r="E1523" s="81" t="s">
        <v>2233</v>
      </c>
      <c r="F1523" s="81" t="s">
        <v>2234</v>
      </c>
      <c r="G1523" s="81" t="s">
        <v>3923</v>
      </c>
      <c r="H1523" s="81" t="s">
        <v>3510</v>
      </c>
      <c r="I1523" s="81" t="s">
        <v>6712</v>
      </c>
      <c r="J1523" s="81" t="s">
        <v>2186</v>
      </c>
      <c r="K1523" s="81" t="s">
        <v>6712</v>
      </c>
      <c r="L1523" s="81" t="s">
        <v>2392</v>
      </c>
      <c r="M1523" s="81" t="s">
        <v>6712</v>
      </c>
      <c r="N1523" s="81" t="s">
        <v>2231</v>
      </c>
      <c r="O1523" s="81" t="s">
        <v>2187</v>
      </c>
      <c r="P1523" s="81" t="s">
        <v>2187</v>
      </c>
      <c r="Q1523" s="81" t="s">
        <v>43</v>
      </c>
      <c r="R1523" s="81" t="s">
        <v>46</v>
      </c>
      <c r="S1523" s="81" t="s">
        <v>47</v>
      </c>
      <c r="T1523" s="81" t="s">
        <v>48</v>
      </c>
      <c r="U1523" s="81" t="s">
        <v>48</v>
      </c>
      <c r="V1523" s="81" t="s">
        <v>48</v>
      </c>
      <c r="W1523" s="81" t="s">
        <v>49</v>
      </c>
      <c r="X1523" s="81" t="s">
        <v>48</v>
      </c>
      <c r="Y1523" s="81" t="s">
        <v>48</v>
      </c>
    </row>
    <row r="1524" spans="1:25" x14ac:dyDescent="0.3">
      <c r="A1524" s="16" t="s">
        <v>1384</v>
      </c>
      <c r="B1524" s="81" t="s">
        <v>43</v>
      </c>
      <c r="C1524" s="81" t="s">
        <v>1385</v>
      </c>
      <c r="D1524" s="81" t="s">
        <v>45</v>
      </c>
      <c r="E1524" s="81" t="s">
        <v>2443</v>
      </c>
      <c r="F1524" s="81" t="s">
        <v>2512</v>
      </c>
      <c r="G1524" s="81" t="s">
        <v>3303</v>
      </c>
      <c r="H1524" s="81" t="s">
        <v>6083</v>
      </c>
      <c r="I1524" s="81" t="s">
        <v>6084</v>
      </c>
      <c r="J1524" s="81" t="s">
        <v>2186</v>
      </c>
      <c r="K1524" s="81" t="s">
        <v>6084</v>
      </c>
      <c r="L1524" s="81" t="s">
        <v>2392</v>
      </c>
      <c r="M1524" s="81" t="s">
        <v>6084</v>
      </c>
      <c r="N1524" s="81" t="s">
        <v>2231</v>
      </c>
      <c r="O1524" s="81" t="s">
        <v>2187</v>
      </c>
      <c r="P1524" s="81" t="s">
        <v>2187</v>
      </c>
      <c r="Q1524" s="81" t="s">
        <v>43</v>
      </c>
      <c r="R1524" s="81" t="s">
        <v>46</v>
      </c>
      <c r="S1524" s="81" t="s">
        <v>46</v>
      </c>
      <c r="T1524" s="81" t="s">
        <v>48</v>
      </c>
      <c r="U1524" s="81" t="s">
        <v>48</v>
      </c>
      <c r="V1524" s="81" t="s">
        <v>48</v>
      </c>
      <c r="W1524" s="81" t="s">
        <v>49</v>
      </c>
      <c r="X1524" s="81" t="s">
        <v>48</v>
      </c>
      <c r="Y1524" s="81" t="s">
        <v>48</v>
      </c>
    </row>
    <row r="1525" spans="1:25" x14ac:dyDescent="0.3">
      <c r="A1525" s="16" t="s">
        <v>1386</v>
      </c>
      <c r="B1525" s="81" t="s">
        <v>43</v>
      </c>
      <c r="C1525" s="81" t="s">
        <v>1387</v>
      </c>
      <c r="D1525" s="81" t="s">
        <v>45</v>
      </c>
      <c r="E1525" s="81" t="s">
        <v>2419</v>
      </c>
      <c r="F1525" s="81" t="s">
        <v>2703</v>
      </c>
      <c r="G1525" s="81" t="s">
        <v>3924</v>
      </c>
      <c r="H1525" s="81" t="s">
        <v>6713</v>
      </c>
      <c r="I1525" s="81" t="s">
        <v>6714</v>
      </c>
      <c r="J1525" s="81" t="s">
        <v>2186</v>
      </c>
      <c r="K1525" s="81" t="s">
        <v>6714</v>
      </c>
      <c r="L1525" s="81" t="s">
        <v>2392</v>
      </c>
      <c r="M1525" s="81" t="s">
        <v>6714</v>
      </c>
      <c r="N1525" s="81" t="s">
        <v>2231</v>
      </c>
      <c r="O1525" s="81" t="s">
        <v>2187</v>
      </c>
      <c r="P1525" s="81" t="s">
        <v>2187</v>
      </c>
      <c r="Q1525" s="81" t="s">
        <v>43</v>
      </c>
      <c r="R1525" s="81" t="s">
        <v>374</v>
      </c>
      <c r="S1525" s="81" t="s">
        <v>374</v>
      </c>
      <c r="T1525" s="81" t="s">
        <v>48</v>
      </c>
      <c r="U1525" s="81" t="s">
        <v>48</v>
      </c>
      <c r="V1525" s="81" t="s">
        <v>48</v>
      </c>
      <c r="W1525" s="81" t="s">
        <v>49</v>
      </c>
      <c r="X1525" s="81" t="s">
        <v>48</v>
      </c>
      <c r="Y1525" s="81" t="s">
        <v>48</v>
      </c>
    </row>
    <row r="1526" spans="1:25" x14ac:dyDescent="0.3">
      <c r="A1526" s="16" t="s">
        <v>1388</v>
      </c>
      <c r="B1526" s="81" t="s">
        <v>43</v>
      </c>
      <c r="C1526" s="81" t="s">
        <v>1389</v>
      </c>
      <c r="D1526" s="81" t="s">
        <v>45</v>
      </c>
      <c r="E1526" s="81" t="s">
        <v>2529</v>
      </c>
      <c r="F1526" s="81" t="s">
        <v>2991</v>
      </c>
      <c r="G1526" s="81" t="s">
        <v>3925</v>
      </c>
      <c r="H1526" s="81" t="s">
        <v>5285</v>
      </c>
      <c r="I1526" s="81" t="s">
        <v>5286</v>
      </c>
      <c r="J1526" s="81" t="s">
        <v>2186</v>
      </c>
      <c r="K1526" s="81" t="s">
        <v>5287</v>
      </c>
      <c r="L1526" s="81" t="s">
        <v>2392</v>
      </c>
      <c r="M1526" s="81" t="s">
        <v>5288</v>
      </c>
      <c r="N1526" s="81" t="s">
        <v>2231</v>
      </c>
      <c r="O1526" s="81" t="s">
        <v>2187</v>
      </c>
      <c r="P1526" s="81" t="s">
        <v>2187</v>
      </c>
      <c r="Q1526" s="81" t="s">
        <v>43</v>
      </c>
      <c r="R1526" s="81" t="s">
        <v>122</v>
      </c>
      <c r="S1526" s="81" t="s">
        <v>123</v>
      </c>
      <c r="T1526" s="81" t="s">
        <v>48</v>
      </c>
      <c r="U1526" s="81" t="s">
        <v>48</v>
      </c>
      <c r="V1526" s="81" t="s">
        <v>48</v>
      </c>
      <c r="W1526" s="81" t="s">
        <v>49</v>
      </c>
      <c r="X1526" s="81" t="s">
        <v>48</v>
      </c>
      <c r="Y1526" s="81" t="s">
        <v>48</v>
      </c>
    </row>
    <row r="1527" spans="1:25" x14ac:dyDescent="0.3">
      <c r="A1527" s="16" t="s">
        <v>1390</v>
      </c>
      <c r="B1527" s="81" t="s">
        <v>43</v>
      </c>
      <c r="C1527" s="81" t="s">
        <v>1391</v>
      </c>
      <c r="D1527" s="81" t="s">
        <v>45</v>
      </c>
      <c r="E1527" s="81" t="s">
        <v>2529</v>
      </c>
      <c r="F1527" s="81" t="s">
        <v>2991</v>
      </c>
      <c r="G1527" s="81" t="s">
        <v>3925</v>
      </c>
      <c r="H1527" s="81" t="s">
        <v>5285</v>
      </c>
      <c r="I1527" s="81" t="s">
        <v>5286</v>
      </c>
      <c r="J1527" s="81" t="s">
        <v>2186</v>
      </c>
      <c r="K1527" s="81" t="s">
        <v>5287</v>
      </c>
      <c r="L1527" s="81" t="s">
        <v>2392</v>
      </c>
      <c r="M1527" s="81" t="s">
        <v>5288</v>
      </c>
      <c r="N1527" s="81" t="s">
        <v>2231</v>
      </c>
      <c r="O1527" s="81" t="s">
        <v>2187</v>
      </c>
      <c r="P1527" s="81" t="s">
        <v>2187</v>
      </c>
      <c r="Q1527" s="81" t="s">
        <v>43</v>
      </c>
      <c r="R1527" s="81" t="s">
        <v>122</v>
      </c>
      <c r="S1527" s="81" t="s">
        <v>123</v>
      </c>
      <c r="T1527" s="81" t="s">
        <v>48</v>
      </c>
      <c r="U1527" s="81" t="s">
        <v>48</v>
      </c>
      <c r="V1527" s="81" t="s">
        <v>48</v>
      </c>
      <c r="W1527" s="81" t="s">
        <v>49</v>
      </c>
      <c r="X1527" s="81" t="s">
        <v>48</v>
      </c>
      <c r="Y1527" s="81" t="s">
        <v>48</v>
      </c>
    </row>
    <row r="1528" spans="1:25" x14ac:dyDescent="0.3">
      <c r="A1528" s="16">
        <v>7506306244177</v>
      </c>
      <c r="B1528" s="81" t="s">
        <v>43</v>
      </c>
      <c r="C1528" s="81" t="s">
        <v>1392</v>
      </c>
      <c r="D1528" s="81" t="s">
        <v>45</v>
      </c>
      <c r="E1528" s="81" t="s">
        <v>2227</v>
      </c>
      <c r="F1528" s="81" t="s">
        <v>2227</v>
      </c>
      <c r="G1528" s="81" t="s">
        <v>3560</v>
      </c>
      <c r="H1528" s="81" t="s">
        <v>3052</v>
      </c>
      <c r="I1528" s="81" t="s">
        <v>6715</v>
      </c>
      <c r="J1528" s="81" t="s">
        <v>2186</v>
      </c>
      <c r="K1528" s="81" t="s">
        <v>6715</v>
      </c>
      <c r="L1528" s="81" t="s">
        <v>2392</v>
      </c>
      <c r="M1528" s="81" t="s">
        <v>6715</v>
      </c>
      <c r="N1528" s="81" t="s">
        <v>2231</v>
      </c>
      <c r="O1528" s="81" t="s">
        <v>2187</v>
      </c>
      <c r="P1528" s="81" t="s">
        <v>2187</v>
      </c>
      <c r="Q1528" s="81" t="s">
        <v>43</v>
      </c>
      <c r="R1528" s="81" t="s">
        <v>525</v>
      </c>
      <c r="S1528" s="81" t="s">
        <v>525</v>
      </c>
      <c r="T1528" s="81" t="s">
        <v>48</v>
      </c>
      <c r="U1528" s="81" t="s">
        <v>48</v>
      </c>
      <c r="V1528" s="81" t="s">
        <v>49</v>
      </c>
      <c r="W1528" s="81" t="s">
        <v>48</v>
      </c>
      <c r="X1528" s="81" t="s">
        <v>48</v>
      </c>
      <c r="Y1528" s="81" t="s">
        <v>48</v>
      </c>
    </row>
    <row r="1529" spans="1:25" x14ac:dyDescent="0.3">
      <c r="A1529" s="16">
        <v>7791293022598</v>
      </c>
      <c r="B1529" s="81" t="s">
        <v>43</v>
      </c>
      <c r="C1529" s="81" t="s">
        <v>1393</v>
      </c>
      <c r="D1529" s="81" t="s">
        <v>45</v>
      </c>
      <c r="E1529" s="81" t="s">
        <v>2227</v>
      </c>
      <c r="F1529" s="81" t="s">
        <v>2227</v>
      </c>
      <c r="G1529" s="81" t="s">
        <v>3926</v>
      </c>
      <c r="H1529" s="81" t="s">
        <v>3159</v>
      </c>
      <c r="I1529" s="81" t="s">
        <v>6716</v>
      </c>
      <c r="J1529" s="81" t="s">
        <v>2186</v>
      </c>
      <c r="K1529" s="81" t="s">
        <v>6716</v>
      </c>
      <c r="L1529" s="81" t="s">
        <v>2392</v>
      </c>
      <c r="M1529" s="81" t="s">
        <v>6716</v>
      </c>
      <c r="N1529" s="81" t="s">
        <v>2231</v>
      </c>
      <c r="O1529" s="81" t="s">
        <v>2187</v>
      </c>
      <c r="P1529" s="81" t="s">
        <v>2187</v>
      </c>
      <c r="Q1529" s="81" t="s">
        <v>43</v>
      </c>
      <c r="R1529" s="81" t="s">
        <v>525</v>
      </c>
      <c r="S1529" s="81" t="s">
        <v>525</v>
      </c>
      <c r="T1529" s="81" t="s">
        <v>48</v>
      </c>
      <c r="U1529" s="81" t="s">
        <v>48</v>
      </c>
      <c r="V1529" s="81" t="s">
        <v>49</v>
      </c>
      <c r="W1529" s="81" t="s">
        <v>48</v>
      </c>
      <c r="X1529" s="81" t="s">
        <v>48</v>
      </c>
      <c r="Y1529" s="81" t="s">
        <v>48</v>
      </c>
    </row>
    <row r="1530" spans="1:25" x14ac:dyDescent="0.3">
      <c r="A1530" s="16">
        <v>7506306244184</v>
      </c>
      <c r="B1530" s="81" t="s">
        <v>43</v>
      </c>
      <c r="C1530" s="81" t="s">
        <v>1394</v>
      </c>
      <c r="D1530" s="81" t="s">
        <v>45</v>
      </c>
      <c r="E1530" s="81" t="s">
        <v>2227</v>
      </c>
      <c r="F1530" s="81" t="s">
        <v>2227</v>
      </c>
      <c r="G1530" s="81" t="s">
        <v>3560</v>
      </c>
      <c r="H1530" s="81" t="s">
        <v>3052</v>
      </c>
      <c r="I1530" s="81" t="s">
        <v>6717</v>
      </c>
      <c r="J1530" s="81" t="s">
        <v>2186</v>
      </c>
      <c r="K1530" s="81" t="s">
        <v>6717</v>
      </c>
      <c r="L1530" s="81" t="s">
        <v>2392</v>
      </c>
      <c r="M1530" s="81" t="s">
        <v>6717</v>
      </c>
      <c r="N1530" s="81" t="s">
        <v>2231</v>
      </c>
      <c r="O1530" s="81" t="s">
        <v>2187</v>
      </c>
      <c r="P1530" s="81" t="s">
        <v>2187</v>
      </c>
      <c r="Q1530" s="81" t="s">
        <v>43</v>
      </c>
      <c r="R1530" s="81" t="s">
        <v>525</v>
      </c>
      <c r="S1530" s="81" t="s">
        <v>525</v>
      </c>
      <c r="T1530" s="81" t="s">
        <v>48</v>
      </c>
      <c r="U1530" s="81" t="s">
        <v>48</v>
      </c>
      <c r="V1530" s="81" t="s">
        <v>49</v>
      </c>
      <c r="W1530" s="81" t="s">
        <v>48</v>
      </c>
      <c r="X1530" s="81" t="s">
        <v>48</v>
      </c>
      <c r="Y1530" s="81" t="s">
        <v>48</v>
      </c>
    </row>
    <row r="1531" spans="1:25" x14ac:dyDescent="0.3">
      <c r="A1531" s="16">
        <v>7791293022581</v>
      </c>
      <c r="B1531" s="81" t="s">
        <v>43</v>
      </c>
      <c r="C1531" s="81" t="s">
        <v>1395</v>
      </c>
      <c r="D1531" s="81" t="s">
        <v>45</v>
      </c>
      <c r="E1531" s="81" t="s">
        <v>2227</v>
      </c>
      <c r="F1531" s="81" t="s">
        <v>2227</v>
      </c>
      <c r="G1531" s="81" t="s">
        <v>3560</v>
      </c>
      <c r="H1531" s="81" t="s">
        <v>3052</v>
      </c>
      <c r="I1531" s="81" t="s">
        <v>6718</v>
      </c>
      <c r="J1531" s="81" t="s">
        <v>2186</v>
      </c>
      <c r="K1531" s="81" t="s">
        <v>6718</v>
      </c>
      <c r="L1531" s="81" t="s">
        <v>2392</v>
      </c>
      <c r="M1531" s="81" t="s">
        <v>6718</v>
      </c>
      <c r="N1531" s="81" t="s">
        <v>2231</v>
      </c>
      <c r="O1531" s="81" t="s">
        <v>2187</v>
      </c>
      <c r="P1531" s="81" t="s">
        <v>2187</v>
      </c>
      <c r="Q1531" s="81" t="s">
        <v>43</v>
      </c>
      <c r="R1531" s="81" t="s">
        <v>525</v>
      </c>
      <c r="S1531" s="81" t="s">
        <v>525</v>
      </c>
      <c r="T1531" s="81" t="s">
        <v>48</v>
      </c>
      <c r="U1531" s="81" t="s">
        <v>48</v>
      </c>
      <c r="V1531" s="81" t="s">
        <v>49</v>
      </c>
      <c r="W1531" s="81" t="s">
        <v>48</v>
      </c>
      <c r="X1531" s="81" t="s">
        <v>48</v>
      </c>
      <c r="Y1531" s="81" t="s">
        <v>48</v>
      </c>
    </row>
    <row r="1532" spans="1:25" x14ac:dyDescent="0.3">
      <c r="A1532" s="16" t="s">
        <v>1396</v>
      </c>
      <c r="B1532" s="81" t="s">
        <v>43</v>
      </c>
      <c r="C1532" s="81" t="s">
        <v>1397</v>
      </c>
      <c r="D1532" s="81" t="s">
        <v>45</v>
      </c>
      <c r="E1532" s="81" t="s">
        <v>2326</v>
      </c>
      <c r="F1532" s="81" t="s">
        <v>2327</v>
      </c>
      <c r="G1532" s="81" t="s">
        <v>3927</v>
      </c>
      <c r="H1532" s="81" t="s">
        <v>6719</v>
      </c>
      <c r="I1532" s="81" t="s">
        <v>6720</v>
      </c>
      <c r="J1532" s="81" t="s">
        <v>2186</v>
      </c>
      <c r="K1532" s="81" t="s">
        <v>6720</v>
      </c>
      <c r="L1532" s="81" t="s">
        <v>2392</v>
      </c>
      <c r="M1532" s="81" t="s">
        <v>6720</v>
      </c>
      <c r="N1532" s="81" t="s">
        <v>2231</v>
      </c>
      <c r="O1532" s="81" t="s">
        <v>2187</v>
      </c>
      <c r="P1532" s="81" t="s">
        <v>2187</v>
      </c>
      <c r="Q1532" s="81" t="s">
        <v>110</v>
      </c>
      <c r="R1532" s="81" t="s">
        <v>46</v>
      </c>
      <c r="S1532" s="81" t="s">
        <v>46</v>
      </c>
      <c r="T1532" s="81" t="s">
        <v>48</v>
      </c>
      <c r="U1532" s="81" t="s">
        <v>48</v>
      </c>
      <c r="V1532" s="81" t="s">
        <v>48</v>
      </c>
      <c r="W1532" s="81" t="s">
        <v>49</v>
      </c>
      <c r="X1532" s="81" t="s">
        <v>48</v>
      </c>
      <c r="Y1532" s="81" t="s">
        <v>48</v>
      </c>
    </row>
    <row r="1533" spans="1:25" x14ac:dyDescent="0.3">
      <c r="A1533" s="16" t="s">
        <v>1398</v>
      </c>
      <c r="B1533" s="81" t="s">
        <v>43</v>
      </c>
      <c r="C1533" s="81" t="s">
        <v>1399</v>
      </c>
      <c r="D1533" s="81" t="s">
        <v>45</v>
      </c>
      <c r="E1533" s="81" t="s">
        <v>2227</v>
      </c>
      <c r="F1533" s="81" t="s">
        <v>2227</v>
      </c>
      <c r="G1533" s="81" t="s">
        <v>3478</v>
      </c>
      <c r="H1533" s="81" t="s">
        <v>6473</v>
      </c>
      <c r="I1533" s="81" t="s">
        <v>5278</v>
      </c>
      <c r="J1533" s="81" t="s">
        <v>2186</v>
      </c>
      <c r="K1533" s="81" t="s">
        <v>5278</v>
      </c>
      <c r="L1533" s="81" t="s">
        <v>2392</v>
      </c>
      <c r="M1533" s="81" t="s">
        <v>5278</v>
      </c>
      <c r="N1533" s="81" t="s">
        <v>2231</v>
      </c>
      <c r="O1533" s="81" t="s">
        <v>2187</v>
      </c>
      <c r="P1533" s="81" t="s">
        <v>2187</v>
      </c>
      <c r="Q1533" s="81" t="s">
        <v>43</v>
      </c>
      <c r="R1533" s="81" t="s">
        <v>524</v>
      </c>
      <c r="S1533" s="81" t="s">
        <v>525</v>
      </c>
      <c r="T1533" s="81" t="s">
        <v>48</v>
      </c>
      <c r="U1533" s="81" t="s">
        <v>48</v>
      </c>
      <c r="V1533" s="81" t="s">
        <v>49</v>
      </c>
      <c r="W1533" s="81" t="s">
        <v>48</v>
      </c>
      <c r="X1533" s="81" t="s">
        <v>48</v>
      </c>
      <c r="Y1533" s="81" t="s">
        <v>48</v>
      </c>
    </row>
    <row r="1534" spans="1:25" x14ac:dyDescent="0.3">
      <c r="A1534" s="16" t="s">
        <v>1400</v>
      </c>
      <c r="B1534" s="81" t="s">
        <v>43</v>
      </c>
      <c r="C1534" s="81" t="s">
        <v>1401</v>
      </c>
      <c r="D1534" s="81" t="s">
        <v>45</v>
      </c>
      <c r="E1534" s="81" t="s">
        <v>2620</v>
      </c>
      <c r="F1534" s="81" t="s">
        <v>2780</v>
      </c>
      <c r="G1534" s="81" t="s">
        <v>2938</v>
      </c>
      <c r="H1534" s="81" t="s">
        <v>5289</v>
      </c>
      <c r="I1534" s="81" t="s">
        <v>6721</v>
      </c>
      <c r="J1534" s="81" t="s">
        <v>2186</v>
      </c>
      <c r="K1534" s="81" t="s">
        <v>6721</v>
      </c>
      <c r="L1534" s="81" t="s">
        <v>2392</v>
      </c>
      <c r="M1534" s="81" t="s">
        <v>6721</v>
      </c>
      <c r="N1534" s="81" t="s">
        <v>2231</v>
      </c>
      <c r="O1534" s="81" t="s">
        <v>2187</v>
      </c>
      <c r="P1534" s="81" t="s">
        <v>2187</v>
      </c>
      <c r="Q1534" s="81" t="s">
        <v>43</v>
      </c>
      <c r="R1534" s="81" t="s">
        <v>203</v>
      </c>
      <c r="S1534" s="81" t="s">
        <v>203</v>
      </c>
      <c r="T1534" s="81" t="s">
        <v>48</v>
      </c>
      <c r="U1534" s="81" t="s">
        <v>48</v>
      </c>
      <c r="V1534" s="81" t="s">
        <v>48</v>
      </c>
      <c r="W1534" s="81" t="s">
        <v>49</v>
      </c>
      <c r="X1534" s="81" t="s">
        <v>48</v>
      </c>
      <c r="Y1534" s="81" t="s">
        <v>48</v>
      </c>
    </row>
    <row r="1535" spans="1:25" x14ac:dyDescent="0.3">
      <c r="A1535" s="16" t="s">
        <v>1402</v>
      </c>
      <c r="B1535" s="81" t="s">
        <v>43</v>
      </c>
      <c r="C1535" s="81" t="s">
        <v>1403</v>
      </c>
      <c r="D1535" s="81" t="s">
        <v>45</v>
      </c>
      <c r="E1535" s="81" t="s">
        <v>2704</v>
      </c>
      <c r="F1535" s="81" t="s">
        <v>2465</v>
      </c>
      <c r="G1535" s="81" t="s">
        <v>3928</v>
      </c>
      <c r="H1535" s="81" t="s">
        <v>6722</v>
      </c>
      <c r="I1535" s="81" t="s">
        <v>6723</v>
      </c>
      <c r="J1535" s="81" t="s">
        <v>2186</v>
      </c>
      <c r="K1535" s="81" t="s">
        <v>6723</v>
      </c>
      <c r="L1535" s="81" t="s">
        <v>2392</v>
      </c>
      <c r="M1535" s="81" t="s">
        <v>6723</v>
      </c>
      <c r="N1535" s="81" t="s">
        <v>2231</v>
      </c>
      <c r="O1535" s="81" t="s">
        <v>2187</v>
      </c>
      <c r="P1535" s="81" t="s">
        <v>2187</v>
      </c>
      <c r="Q1535" s="81" t="s">
        <v>43</v>
      </c>
      <c r="R1535" s="81" t="s">
        <v>203</v>
      </c>
      <c r="S1535" s="81" t="s">
        <v>203</v>
      </c>
      <c r="T1535" s="81" t="s">
        <v>48</v>
      </c>
      <c r="U1535" s="81" t="s">
        <v>48</v>
      </c>
      <c r="V1535" s="81" t="s">
        <v>48</v>
      </c>
      <c r="W1535" s="81" t="s">
        <v>49</v>
      </c>
      <c r="X1535" s="81" t="s">
        <v>48</v>
      </c>
      <c r="Y1535" s="81" t="s">
        <v>48</v>
      </c>
    </row>
    <row r="1536" spans="1:25" x14ac:dyDescent="0.3">
      <c r="A1536" s="16" t="s">
        <v>1404</v>
      </c>
      <c r="B1536" s="81" t="s">
        <v>43</v>
      </c>
      <c r="C1536" s="81" t="s">
        <v>1405</v>
      </c>
      <c r="D1536" s="81" t="s">
        <v>45</v>
      </c>
      <c r="E1536" s="81" t="s">
        <v>2191</v>
      </c>
      <c r="F1536" s="81" t="s">
        <v>2192</v>
      </c>
      <c r="G1536" s="81" t="s">
        <v>2712</v>
      </c>
      <c r="H1536" s="81" t="s">
        <v>6724</v>
      </c>
      <c r="I1536" s="81" t="s">
        <v>6725</v>
      </c>
      <c r="J1536" s="81" t="s">
        <v>2186</v>
      </c>
      <c r="K1536" s="81" t="s">
        <v>6725</v>
      </c>
      <c r="L1536" s="81" t="s">
        <v>2392</v>
      </c>
      <c r="M1536" s="81" t="s">
        <v>6725</v>
      </c>
      <c r="N1536" s="81" t="s">
        <v>2231</v>
      </c>
      <c r="O1536" s="81" t="s">
        <v>2187</v>
      </c>
      <c r="P1536" s="81" t="s">
        <v>2187</v>
      </c>
      <c r="Q1536" s="81" t="s">
        <v>43</v>
      </c>
      <c r="R1536" s="81" t="s">
        <v>46</v>
      </c>
      <c r="S1536" s="81" t="s">
        <v>46</v>
      </c>
      <c r="T1536" s="81" t="s">
        <v>48</v>
      </c>
      <c r="U1536" s="81" t="s">
        <v>48</v>
      </c>
      <c r="V1536" s="81" t="s">
        <v>49</v>
      </c>
      <c r="W1536" s="81" t="s">
        <v>48</v>
      </c>
      <c r="X1536" s="81" t="s">
        <v>48</v>
      </c>
      <c r="Y1536" s="81" t="s">
        <v>48</v>
      </c>
    </row>
    <row r="1537" spans="1:25" x14ac:dyDescent="0.3">
      <c r="A1537" s="16" t="s">
        <v>1406</v>
      </c>
      <c r="B1537" s="81" t="s">
        <v>43</v>
      </c>
      <c r="C1537" s="81" t="s">
        <v>1407</v>
      </c>
      <c r="D1537" s="81" t="s">
        <v>45</v>
      </c>
      <c r="E1537" s="81" t="s">
        <v>2233</v>
      </c>
      <c r="F1537" s="81" t="s">
        <v>2234</v>
      </c>
      <c r="G1537" s="81" t="s">
        <v>3929</v>
      </c>
      <c r="H1537" s="81" t="s">
        <v>6726</v>
      </c>
      <c r="I1537" s="81" t="s">
        <v>6727</v>
      </c>
      <c r="J1537" s="81" t="s">
        <v>2186</v>
      </c>
      <c r="K1537" s="81" t="s">
        <v>6727</v>
      </c>
      <c r="L1537" s="81" t="s">
        <v>2392</v>
      </c>
      <c r="M1537" s="81" t="s">
        <v>6727</v>
      </c>
      <c r="N1537" s="81" t="s">
        <v>2231</v>
      </c>
      <c r="O1537" s="81" t="s">
        <v>2187</v>
      </c>
      <c r="P1537" s="81" t="s">
        <v>2187</v>
      </c>
      <c r="Q1537" s="81" t="s">
        <v>66</v>
      </c>
      <c r="R1537" s="81" t="s">
        <v>51</v>
      </c>
      <c r="S1537" s="81" t="s">
        <v>47</v>
      </c>
      <c r="T1537" s="81" t="s">
        <v>49</v>
      </c>
      <c r="U1537" s="81" t="s">
        <v>48</v>
      </c>
      <c r="V1537" s="81" t="s">
        <v>48</v>
      </c>
      <c r="W1537" s="81" t="s">
        <v>49</v>
      </c>
      <c r="X1537" s="81" t="s">
        <v>48</v>
      </c>
      <c r="Y1537" s="81" t="s">
        <v>48</v>
      </c>
    </row>
    <row r="1538" spans="1:25" x14ac:dyDescent="0.3">
      <c r="A1538" s="16" t="s">
        <v>1408</v>
      </c>
      <c r="B1538" s="81" t="s">
        <v>43</v>
      </c>
      <c r="C1538" s="81" t="s">
        <v>1409</v>
      </c>
      <c r="D1538" s="81" t="s">
        <v>45</v>
      </c>
      <c r="E1538" s="81" t="s">
        <v>2368</v>
      </c>
      <c r="F1538" s="81" t="s">
        <v>2369</v>
      </c>
      <c r="G1538" s="81" t="s">
        <v>3830</v>
      </c>
      <c r="H1538" s="81" t="s">
        <v>5290</v>
      </c>
      <c r="I1538" s="81" t="s">
        <v>6728</v>
      </c>
      <c r="J1538" s="81" t="s">
        <v>2186</v>
      </c>
      <c r="K1538" s="81" t="s">
        <v>6728</v>
      </c>
      <c r="L1538" s="81" t="s">
        <v>2392</v>
      </c>
      <c r="M1538" s="81" t="s">
        <v>6728</v>
      </c>
      <c r="N1538" s="81" t="s">
        <v>2231</v>
      </c>
      <c r="O1538" s="81" t="s">
        <v>2187</v>
      </c>
      <c r="P1538" s="81" t="s">
        <v>2187</v>
      </c>
      <c r="Q1538" s="81" t="s">
        <v>43</v>
      </c>
      <c r="R1538" s="81" t="s">
        <v>203</v>
      </c>
      <c r="S1538" s="81" t="s">
        <v>203</v>
      </c>
      <c r="T1538" s="81" t="s">
        <v>48</v>
      </c>
      <c r="U1538" s="81" t="s">
        <v>48</v>
      </c>
      <c r="V1538" s="81" t="s">
        <v>48</v>
      </c>
      <c r="W1538" s="81" t="s">
        <v>49</v>
      </c>
      <c r="X1538" s="81" t="s">
        <v>48</v>
      </c>
      <c r="Y1538" s="81" t="s">
        <v>48</v>
      </c>
    </row>
    <row r="1539" spans="1:25" x14ac:dyDescent="0.3">
      <c r="A1539" s="16" t="s">
        <v>1410</v>
      </c>
      <c r="B1539" s="81" t="s">
        <v>43</v>
      </c>
      <c r="C1539" s="81" t="s">
        <v>1411</v>
      </c>
      <c r="D1539" s="81" t="s">
        <v>45</v>
      </c>
      <c r="E1539" s="81" t="s">
        <v>2369</v>
      </c>
      <c r="F1539" s="81" t="s">
        <v>2442</v>
      </c>
      <c r="G1539" s="81" t="s">
        <v>3505</v>
      </c>
      <c r="H1539" s="81" t="s">
        <v>6729</v>
      </c>
      <c r="I1539" s="81" t="s">
        <v>6730</v>
      </c>
      <c r="J1539" s="81" t="s">
        <v>2186</v>
      </c>
      <c r="K1539" s="81" t="s">
        <v>6730</v>
      </c>
      <c r="L1539" s="81" t="s">
        <v>2392</v>
      </c>
      <c r="M1539" s="81" t="s">
        <v>6730</v>
      </c>
      <c r="N1539" s="81" t="s">
        <v>2231</v>
      </c>
      <c r="O1539" s="81" t="s">
        <v>2187</v>
      </c>
      <c r="P1539" s="81" t="s">
        <v>2187</v>
      </c>
      <c r="Q1539" s="81" t="s">
        <v>43</v>
      </c>
      <c r="R1539" s="81" t="s">
        <v>46</v>
      </c>
      <c r="S1539" s="81" t="s">
        <v>47</v>
      </c>
      <c r="T1539" s="81" t="s">
        <v>48</v>
      </c>
      <c r="U1539" s="81" t="s">
        <v>48</v>
      </c>
      <c r="V1539" s="81" t="s">
        <v>48</v>
      </c>
      <c r="W1539" s="81" t="s">
        <v>49</v>
      </c>
      <c r="X1539" s="81" t="s">
        <v>48</v>
      </c>
      <c r="Y1539" s="81" t="s">
        <v>48</v>
      </c>
    </row>
    <row r="1540" spans="1:25" x14ac:dyDescent="0.3">
      <c r="A1540" s="16" t="s">
        <v>1412</v>
      </c>
      <c r="B1540" s="81" t="s">
        <v>43</v>
      </c>
      <c r="C1540" s="81" t="s">
        <v>1413</v>
      </c>
      <c r="D1540" s="81" t="s">
        <v>45</v>
      </c>
      <c r="E1540" s="81" t="s">
        <v>2312</v>
      </c>
      <c r="F1540" s="81" t="s">
        <v>2419</v>
      </c>
      <c r="G1540" s="81" t="s">
        <v>3930</v>
      </c>
      <c r="H1540" s="81" t="s">
        <v>6731</v>
      </c>
      <c r="I1540" s="81" t="s">
        <v>6732</v>
      </c>
      <c r="J1540" s="81" t="s">
        <v>2186</v>
      </c>
      <c r="K1540" s="81" t="s">
        <v>6732</v>
      </c>
      <c r="L1540" s="81" t="s">
        <v>2392</v>
      </c>
      <c r="M1540" s="81" t="s">
        <v>6732</v>
      </c>
      <c r="N1540" s="81" t="s">
        <v>2231</v>
      </c>
      <c r="O1540" s="81" t="s">
        <v>2187</v>
      </c>
      <c r="P1540" s="81" t="s">
        <v>2187</v>
      </c>
      <c r="Q1540" s="81" t="s">
        <v>43</v>
      </c>
      <c r="R1540" s="81" t="s">
        <v>46</v>
      </c>
      <c r="S1540" s="81" t="s">
        <v>47</v>
      </c>
      <c r="T1540" s="81" t="s">
        <v>48</v>
      </c>
      <c r="U1540" s="81" t="s">
        <v>48</v>
      </c>
      <c r="V1540" s="81" t="s">
        <v>48</v>
      </c>
      <c r="W1540" s="81" t="s">
        <v>49</v>
      </c>
      <c r="X1540" s="81" t="s">
        <v>48</v>
      </c>
      <c r="Y1540" s="81" t="s">
        <v>48</v>
      </c>
    </row>
    <row r="1541" spans="1:25" x14ac:dyDescent="0.3">
      <c r="A1541" s="16" t="s">
        <v>1414</v>
      </c>
      <c r="B1541" s="81" t="s">
        <v>43</v>
      </c>
      <c r="C1541" s="81" t="s">
        <v>1415</v>
      </c>
      <c r="D1541" s="81" t="s">
        <v>45</v>
      </c>
      <c r="E1541" s="81" t="s">
        <v>2227</v>
      </c>
      <c r="F1541" s="81" t="s">
        <v>2227</v>
      </c>
      <c r="G1541" s="81" t="s">
        <v>3931</v>
      </c>
      <c r="H1541" s="81" t="s">
        <v>6733</v>
      </c>
      <c r="I1541" s="81" t="s">
        <v>6734</v>
      </c>
      <c r="J1541" s="81" t="s">
        <v>2186</v>
      </c>
      <c r="K1541" s="81" t="s">
        <v>6734</v>
      </c>
      <c r="L1541" s="81" t="s">
        <v>2392</v>
      </c>
      <c r="M1541" s="81" t="s">
        <v>6734</v>
      </c>
      <c r="N1541" s="81" t="s">
        <v>2231</v>
      </c>
      <c r="O1541" s="81" t="s">
        <v>2187</v>
      </c>
      <c r="P1541" s="81" t="s">
        <v>2187</v>
      </c>
      <c r="Q1541" s="81" t="s">
        <v>43</v>
      </c>
      <c r="R1541" s="81" t="s">
        <v>203</v>
      </c>
      <c r="S1541" s="81" t="s">
        <v>203</v>
      </c>
      <c r="T1541" s="81" t="s">
        <v>48</v>
      </c>
      <c r="U1541" s="81" t="s">
        <v>48</v>
      </c>
      <c r="V1541" s="81" t="s">
        <v>48</v>
      </c>
      <c r="W1541" s="81" t="s">
        <v>49</v>
      </c>
      <c r="X1541" s="81" t="s">
        <v>48</v>
      </c>
      <c r="Y1541" s="81" t="s">
        <v>48</v>
      </c>
    </row>
    <row r="1542" spans="1:25" x14ac:dyDescent="0.3">
      <c r="A1542" s="16" t="s">
        <v>1416</v>
      </c>
      <c r="B1542" s="81" t="s">
        <v>43</v>
      </c>
      <c r="C1542" s="81" t="s">
        <v>1676</v>
      </c>
      <c r="D1542" s="81" t="s">
        <v>45</v>
      </c>
      <c r="E1542" s="81" t="s">
        <v>2358</v>
      </c>
      <c r="F1542" s="81" t="s">
        <v>2557</v>
      </c>
      <c r="G1542" s="81" t="s">
        <v>3498</v>
      </c>
      <c r="H1542" s="81" t="s">
        <v>6735</v>
      </c>
      <c r="I1542" s="81" t="s">
        <v>6736</v>
      </c>
      <c r="J1542" s="81" t="s">
        <v>2186</v>
      </c>
      <c r="K1542" s="81" t="s">
        <v>6736</v>
      </c>
      <c r="L1542" s="81" t="s">
        <v>2392</v>
      </c>
      <c r="M1542" s="81" t="s">
        <v>6736</v>
      </c>
      <c r="N1542" s="81" t="s">
        <v>2231</v>
      </c>
      <c r="O1542" s="81" t="s">
        <v>2187</v>
      </c>
      <c r="P1542" s="81" t="s">
        <v>2187</v>
      </c>
      <c r="Q1542" s="81" t="s">
        <v>43</v>
      </c>
      <c r="R1542" s="81" t="s">
        <v>203</v>
      </c>
      <c r="S1542" s="81" t="s">
        <v>47</v>
      </c>
      <c r="T1542" s="81" t="s">
        <v>48</v>
      </c>
      <c r="U1542" s="81" t="s">
        <v>48</v>
      </c>
      <c r="V1542" s="81" t="s">
        <v>48</v>
      </c>
      <c r="W1542" s="81" t="s">
        <v>49</v>
      </c>
      <c r="X1542" s="81" t="s">
        <v>48</v>
      </c>
      <c r="Y1542" s="81" t="s">
        <v>48</v>
      </c>
    </row>
    <row r="1543" spans="1:25" x14ac:dyDescent="0.3">
      <c r="A1543" s="16" t="s">
        <v>1417</v>
      </c>
      <c r="B1543" s="81" t="s">
        <v>43</v>
      </c>
      <c r="C1543" s="81" t="s">
        <v>3932</v>
      </c>
      <c r="D1543" s="81" t="s">
        <v>45</v>
      </c>
      <c r="E1543" s="81" t="s">
        <v>2263</v>
      </c>
      <c r="F1543" s="81" t="s">
        <v>2475</v>
      </c>
      <c r="G1543" s="81" t="s">
        <v>3933</v>
      </c>
      <c r="H1543" s="81" t="s">
        <v>6737</v>
      </c>
      <c r="I1543" s="81" t="s">
        <v>6738</v>
      </c>
      <c r="J1543" s="81" t="s">
        <v>2186</v>
      </c>
      <c r="K1543" s="81" t="s">
        <v>6738</v>
      </c>
      <c r="L1543" s="81" t="s">
        <v>2392</v>
      </c>
      <c r="M1543" s="81" t="s">
        <v>6738</v>
      </c>
      <c r="N1543" s="81" t="s">
        <v>2231</v>
      </c>
      <c r="O1543" s="81" t="s">
        <v>2187</v>
      </c>
      <c r="P1543" s="81" t="s">
        <v>2187</v>
      </c>
      <c r="Q1543" s="81" t="s">
        <v>43</v>
      </c>
      <c r="R1543" s="81" t="s">
        <v>374</v>
      </c>
      <c r="S1543" s="81" t="s">
        <v>374</v>
      </c>
      <c r="T1543" s="81" t="s">
        <v>48</v>
      </c>
      <c r="U1543" s="81" t="s">
        <v>48</v>
      </c>
      <c r="V1543" s="81" t="s">
        <v>48</v>
      </c>
      <c r="W1543" s="81" t="s">
        <v>49</v>
      </c>
      <c r="X1543" s="81" t="s">
        <v>48</v>
      </c>
      <c r="Y1543" s="81" t="s">
        <v>48</v>
      </c>
    </row>
    <row r="1544" spans="1:25" x14ac:dyDescent="0.3">
      <c r="A1544" s="16" t="s">
        <v>1418</v>
      </c>
      <c r="B1544" s="81" t="s">
        <v>43</v>
      </c>
      <c r="C1544" s="81" t="s">
        <v>3934</v>
      </c>
      <c r="D1544" s="81" t="s">
        <v>45</v>
      </c>
      <c r="E1544" s="81" t="s">
        <v>2227</v>
      </c>
      <c r="F1544" s="81" t="s">
        <v>2227</v>
      </c>
      <c r="G1544" s="81" t="s">
        <v>3935</v>
      </c>
      <c r="H1544" s="81" t="s">
        <v>3936</v>
      </c>
      <c r="I1544" s="81" t="s">
        <v>3937</v>
      </c>
      <c r="J1544" s="81" t="s">
        <v>2186</v>
      </c>
      <c r="K1544" s="81" t="s">
        <v>3938</v>
      </c>
      <c r="L1544" s="81" t="s">
        <v>2392</v>
      </c>
      <c r="M1544" s="81" t="s">
        <v>3939</v>
      </c>
      <c r="N1544" s="81" t="s">
        <v>2231</v>
      </c>
      <c r="O1544" s="81" t="s">
        <v>2187</v>
      </c>
      <c r="P1544" s="81" t="s">
        <v>2187</v>
      </c>
      <c r="Q1544" s="81" t="s">
        <v>43</v>
      </c>
      <c r="R1544" s="81" t="s">
        <v>506</v>
      </c>
      <c r="S1544" s="81" t="s">
        <v>506</v>
      </c>
      <c r="T1544" s="81" t="s">
        <v>48</v>
      </c>
      <c r="U1544" s="81" t="s">
        <v>48</v>
      </c>
      <c r="V1544" s="81" t="s">
        <v>48</v>
      </c>
      <c r="W1544" s="81" t="s">
        <v>49</v>
      </c>
      <c r="X1544" s="81" t="s">
        <v>48</v>
      </c>
      <c r="Y1544" s="81" t="s">
        <v>48</v>
      </c>
    </row>
    <row r="1545" spans="1:25" x14ac:dyDescent="0.3">
      <c r="A1545" s="16" t="s">
        <v>1419</v>
      </c>
      <c r="B1545" s="81" t="s">
        <v>43</v>
      </c>
      <c r="C1545" s="81" t="s">
        <v>3940</v>
      </c>
      <c r="D1545" s="81" t="s">
        <v>45</v>
      </c>
      <c r="E1545" s="81" t="s">
        <v>2355</v>
      </c>
      <c r="F1545" s="81" t="s">
        <v>2427</v>
      </c>
      <c r="G1545" s="81" t="s">
        <v>3941</v>
      </c>
      <c r="H1545" s="81" t="s">
        <v>3159</v>
      </c>
      <c r="I1545" s="81" t="s">
        <v>6739</v>
      </c>
      <c r="J1545" s="81" t="s">
        <v>2186</v>
      </c>
      <c r="K1545" s="81" t="s">
        <v>6739</v>
      </c>
      <c r="L1545" s="81" t="s">
        <v>2392</v>
      </c>
      <c r="M1545" s="81" t="s">
        <v>6739</v>
      </c>
      <c r="N1545" s="81" t="s">
        <v>2231</v>
      </c>
      <c r="O1545" s="81" t="s">
        <v>2187</v>
      </c>
      <c r="P1545" s="81" t="s">
        <v>2187</v>
      </c>
      <c r="Q1545" s="81" t="s">
        <v>43</v>
      </c>
      <c r="R1545" s="81" t="s">
        <v>506</v>
      </c>
      <c r="S1545" s="81" t="s">
        <v>506</v>
      </c>
      <c r="T1545" s="81" t="s">
        <v>48</v>
      </c>
      <c r="U1545" s="81" t="s">
        <v>48</v>
      </c>
      <c r="V1545" s="81" t="s">
        <v>49</v>
      </c>
      <c r="W1545" s="81" t="s">
        <v>48</v>
      </c>
      <c r="X1545" s="81" t="s">
        <v>48</v>
      </c>
      <c r="Y1545" s="81" t="s">
        <v>48</v>
      </c>
    </row>
    <row r="1546" spans="1:25" x14ac:dyDescent="0.3">
      <c r="A1546" s="16" t="s">
        <v>1420</v>
      </c>
      <c r="B1546" s="81" t="s">
        <v>43</v>
      </c>
      <c r="C1546" s="81" t="s">
        <v>1421</v>
      </c>
      <c r="D1546" s="81" t="s">
        <v>45</v>
      </c>
      <c r="E1546" s="81" t="s">
        <v>2308</v>
      </c>
      <c r="F1546" s="81" t="s">
        <v>2179</v>
      </c>
      <c r="G1546" s="81" t="s">
        <v>3407</v>
      </c>
      <c r="H1546" s="81" t="s">
        <v>2220</v>
      </c>
      <c r="I1546" s="81" t="s">
        <v>6342</v>
      </c>
      <c r="J1546" s="81" t="s">
        <v>2186</v>
      </c>
      <c r="K1546" s="81" t="s">
        <v>6342</v>
      </c>
      <c r="L1546" s="81" t="s">
        <v>2392</v>
      </c>
      <c r="M1546" s="81" t="s">
        <v>6342</v>
      </c>
      <c r="N1546" s="81" t="s">
        <v>2231</v>
      </c>
      <c r="O1546" s="81" t="s">
        <v>2187</v>
      </c>
      <c r="P1546" s="81" t="s">
        <v>2187</v>
      </c>
      <c r="Q1546" s="81" t="s">
        <v>1001</v>
      </c>
      <c r="R1546" s="81" t="s">
        <v>46</v>
      </c>
      <c r="S1546" s="81" t="s">
        <v>46</v>
      </c>
      <c r="T1546" s="81" t="s">
        <v>48</v>
      </c>
      <c r="U1546" s="81" t="s">
        <v>48</v>
      </c>
      <c r="V1546" s="81" t="s">
        <v>48</v>
      </c>
      <c r="W1546" s="81" t="s">
        <v>49</v>
      </c>
      <c r="X1546" s="81" t="s">
        <v>48</v>
      </c>
      <c r="Y1546" s="81" t="s">
        <v>48</v>
      </c>
    </row>
    <row r="1547" spans="1:25" x14ac:dyDescent="0.3">
      <c r="A1547" s="16" t="s">
        <v>1422</v>
      </c>
      <c r="B1547" s="81" t="s">
        <v>43</v>
      </c>
      <c r="C1547" s="81" t="s">
        <v>3942</v>
      </c>
      <c r="D1547" s="81" t="s">
        <v>45</v>
      </c>
      <c r="E1547" s="81" t="s">
        <v>2179</v>
      </c>
      <c r="F1547" s="81" t="s">
        <v>2704</v>
      </c>
      <c r="G1547" s="81" t="s">
        <v>3943</v>
      </c>
      <c r="H1547" s="81" t="s">
        <v>6740</v>
      </c>
      <c r="I1547" s="81" t="s">
        <v>6741</v>
      </c>
      <c r="J1547" s="81" t="s">
        <v>2186</v>
      </c>
      <c r="K1547" s="81" t="s">
        <v>6741</v>
      </c>
      <c r="L1547" s="81" t="s">
        <v>2392</v>
      </c>
      <c r="M1547" s="81" t="s">
        <v>6741</v>
      </c>
      <c r="N1547" s="81" t="s">
        <v>2231</v>
      </c>
      <c r="O1547" s="81" t="s">
        <v>2187</v>
      </c>
      <c r="P1547" s="81" t="s">
        <v>2187</v>
      </c>
      <c r="Q1547" s="81" t="s">
        <v>43</v>
      </c>
      <c r="R1547" s="81" t="s">
        <v>46</v>
      </c>
      <c r="S1547" s="81" t="s">
        <v>46</v>
      </c>
      <c r="T1547" s="81" t="s">
        <v>48</v>
      </c>
      <c r="U1547" s="81" t="s">
        <v>48</v>
      </c>
      <c r="V1547" s="81" t="s">
        <v>49</v>
      </c>
      <c r="W1547" s="81" t="s">
        <v>48</v>
      </c>
      <c r="X1547" s="81" t="s">
        <v>48</v>
      </c>
      <c r="Y1547" s="81" t="s">
        <v>48</v>
      </c>
    </row>
    <row r="1548" spans="1:25" x14ac:dyDescent="0.3">
      <c r="A1548" s="16" t="s">
        <v>1423</v>
      </c>
      <c r="B1548" s="81" t="s">
        <v>43</v>
      </c>
      <c r="C1548" s="81" t="s">
        <v>1424</v>
      </c>
      <c r="D1548" s="81" t="s">
        <v>45</v>
      </c>
      <c r="E1548" s="81" t="s">
        <v>2227</v>
      </c>
      <c r="F1548" s="81" t="s">
        <v>2227</v>
      </c>
      <c r="G1548" s="81" t="s">
        <v>3750</v>
      </c>
      <c r="H1548" s="81" t="s">
        <v>6118</v>
      </c>
      <c r="I1548" s="81" t="s">
        <v>6652</v>
      </c>
      <c r="J1548" s="81" t="s">
        <v>2186</v>
      </c>
      <c r="K1548" s="81" t="s">
        <v>6652</v>
      </c>
      <c r="L1548" s="81" t="s">
        <v>2392</v>
      </c>
      <c r="M1548" s="81" t="s">
        <v>6652</v>
      </c>
      <c r="N1548" s="81" t="s">
        <v>2231</v>
      </c>
      <c r="O1548" s="81" t="s">
        <v>2187</v>
      </c>
      <c r="P1548" s="81" t="s">
        <v>2187</v>
      </c>
      <c r="Q1548" s="81" t="s">
        <v>43</v>
      </c>
      <c r="R1548" s="81" t="s">
        <v>524</v>
      </c>
      <c r="S1548" s="81" t="s">
        <v>525</v>
      </c>
      <c r="T1548" s="81" t="s">
        <v>48</v>
      </c>
      <c r="U1548" s="81" t="s">
        <v>48</v>
      </c>
      <c r="V1548" s="81" t="s">
        <v>49</v>
      </c>
      <c r="W1548" s="81" t="s">
        <v>48</v>
      </c>
      <c r="X1548" s="81" t="s">
        <v>48</v>
      </c>
      <c r="Y1548" s="81" t="s">
        <v>48</v>
      </c>
    </row>
    <row r="1549" spans="1:25" x14ac:dyDescent="0.3">
      <c r="A1549" s="16" t="s">
        <v>1425</v>
      </c>
      <c r="B1549" s="81" t="s">
        <v>43</v>
      </c>
      <c r="C1549" s="81" t="s">
        <v>1426</v>
      </c>
      <c r="D1549" s="81" t="s">
        <v>45</v>
      </c>
      <c r="E1549" s="81" t="s">
        <v>2227</v>
      </c>
      <c r="F1549" s="81" t="s">
        <v>2227</v>
      </c>
      <c r="G1549" s="81" t="s">
        <v>3944</v>
      </c>
      <c r="H1549" s="81" t="s">
        <v>3842</v>
      </c>
      <c r="I1549" s="81" t="s">
        <v>6742</v>
      </c>
      <c r="J1549" s="81" t="s">
        <v>2186</v>
      </c>
      <c r="K1549" s="81" t="s">
        <v>6742</v>
      </c>
      <c r="L1549" s="81" t="s">
        <v>2392</v>
      </c>
      <c r="M1549" s="81" t="s">
        <v>6742</v>
      </c>
      <c r="N1549" s="81" t="s">
        <v>2231</v>
      </c>
      <c r="O1549" s="81" t="s">
        <v>2187</v>
      </c>
      <c r="P1549" s="81" t="s">
        <v>2187</v>
      </c>
      <c r="Q1549" s="81" t="s">
        <v>43</v>
      </c>
      <c r="R1549" s="81" t="s">
        <v>46</v>
      </c>
      <c r="S1549" s="81" t="s">
        <v>47</v>
      </c>
      <c r="T1549" s="81" t="s">
        <v>49</v>
      </c>
      <c r="U1549" s="81" t="s">
        <v>48</v>
      </c>
      <c r="V1549" s="81" t="s">
        <v>48</v>
      </c>
      <c r="W1549" s="81" t="s">
        <v>49</v>
      </c>
      <c r="X1549" s="81" t="s">
        <v>48</v>
      </c>
      <c r="Y1549" s="81" t="s">
        <v>48</v>
      </c>
    </row>
    <row r="1550" spans="1:25" x14ac:dyDescent="0.3">
      <c r="A1550" s="16" t="s">
        <v>1427</v>
      </c>
      <c r="B1550" s="81" t="s">
        <v>43</v>
      </c>
      <c r="C1550" s="81" t="s">
        <v>1428</v>
      </c>
      <c r="D1550" s="81" t="s">
        <v>45</v>
      </c>
      <c r="E1550" s="81" t="s">
        <v>2368</v>
      </c>
      <c r="F1550" s="81" t="s">
        <v>2357</v>
      </c>
      <c r="G1550" s="81" t="s">
        <v>3945</v>
      </c>
      <c r="H1550" s="81" t="s">
        <v>6743</v>
      </c>
      <c r="I1550" s="81" t="s">
        <v>6744</v>
      </c>
      <c r="J1550" s="81" t="s">
        <v>2186</v>
      </c>
      <c r="K1550" s="81" t="s">
        <v>6744</v>
      </c>
      <c r="L1550" s="81" t="s">
        <v>2392</v>
      </c>
      <c r="M1550" s="81" t="s">
        <v>6744</v>
      </c>
      <c r="N1550" s="81" t="s">
        <v>2231</v>
      </c>
      <c r="O1550" s="81" t="s">
        <v>2187</v>
      </c>
      <c r="P1550" s="81" t="s">
        <v>2187</v>
      </c>
      <c r="Q1550" s="81" t="s">
        <v>43</v>
      </c>
      <c r="R1550" s="81" t="s">
        <v>46</v>
      </c>
      <c r="S1550" s="81" t="s">
        <v>46</v>
      </c>
      <c r="T1550" s="81" t="s">
        <v>48</v>
      </c>
      <c r="U1550" s="81" t="s">
        <v>48</v>
      </c>
      <c r="V1550" s="81" t="s">
        <v>48</v>
      </c>
      <c r="W1550" s="81" t="s">
        <v>49</v>
      </c>
      <c r="X1550" s="81" t="s">
        <v>48</v>
      </c>
      <c r="Y1550" s="81" t="s">
        <v>48</v>
      </c>
    </row>
    <row r="1551" spans="1:25" x14ac:dyDescent="0.3">
      <c r="A1551" s="16" t="s">
        <v>1429</v>
      </c>
      <c r="B1551" s="81" t="s">
        <v>43</v>
      </c>
      <c r="C1551" s="81" t="s">
        <v>1430</v>
      </c>
      <c r="D1551" s="81" t="s">
        <v>45</v>
      </c>
      <c r="E1551" s="81" t="s">
        <v>2191</v>
      </c>
      <c r="F1551" s="81" t="s">
        <v>2192</v>
      </c>
      <c r="G1551" s="81" t="s">
        <v>3946</v>
      </c>
      <c r="H1551" s="81" t="s">
        <v>2681</v>
      </c>
      <c r="I1551" s="81" t="s">
        <v>3322</v>
      </c>
      <c r="J1551" s="81" t="s">
        <v>2186</v>
      </c>
      <c r="K1551" s="81" t="s">
        <v>3322</v>
      </c>
      <c r="L1551" s="81" t="s">
        <v>2392</v>
      </c>
      <c r="M1551" s="81" t="s">
        <v>3322</v>
      </c>
      <c r="N1551" s="81" t="s">
        <v>2231</v>
      </c>
      <c r="O1551" s="81" t="s">
        <v>2187</v>
      </c>
      <c r="P1551" s="81" t="s">
        <v>2187</v>
      </c>
      <c r="Q1551" s="81" t="s">
        <v>43</v>
      </c>
      <c r="R1551" s="81" t="s">
        <v>203</v>
      </c>
      <c r="S1551" s="81" t="s">
        <v>47</v>
      </c>
      <c r="T1551" s="81" t="s">
        <v>48</v>
      </c>
      <c r="U1551" s="81" t="s">
        <v>48</v>
      </c>
      <c r="V1551" s="81" t="s">
        <v>48</v>
      </c>
      <c r="W1551" s="81" t="s">
        <v>49</v>
      </c>
      <c r="X1551" s="81" t="s">
        <v>48</v>
      </c>
      <c r="Y1551" s="81" t="s">
        <v>48</v>
      </c>
    </row>
    <row r="1552" spans="1:25" x14ac:dyDescent="0.3">
      <c r="A1552" s="16" t="s">
        <v>1431</v>
      </c>
      <c r="B1552" s="81" t="s">
        <v>43</v>
      </c>
      <c r="C1552" s="81" t="s">
        <v>1432</v>
      </c>
      <c r="D1552" s="81" t="s">
        <v>45</v>
      </c>
      <c r="E1552" s="81" t="s">
        <v>2357</v>
      </c>
      <c r="F1552" s="81" t="s">
        <v>2457</v>
      </c>
      <c r="G1552" s="81" t="s">
        <v>3947</v>
      </c>
      <c r="H1552" s="81" t="s">
        <v>2681</v>
      </c>
      <c r="I1552" s="81" t="s">
        <v>6745</v>
      </c>
      <c r="J1552" s="81" t="s">
        <v>2186</v>
      </c>
      <c r="K1552" s="81" t="s">
        <v>6745</v>
      </c>
      <c r="L1552" s="81" t="s">
        <v>2392</v>
      </c>
      <c r="M1552" s="81" t="s">
        <v>6745</v>
      </c>
      <c r="N1552" s="81" t="s">
        <v>2231</v>
      </c>
      <c r="O1552" s="81" t="s">
        <v>2187</v>
      </c>
      <c r="P1552" s="81" t="s">
        <v>2187</v>
      </c>
      <c r="Q1552" s="81" t="s">
        <v>43</v>
      </c>
      <c r="R1552" s="81" t="s">
        <v>203</v>
      </c>
      <c r="S1552" s="81" t="s">
        <v>47</v>
      </c>
      <c r="T1552" s="81" t="s">
        <v>48</v>
      </c>
      <c r="U1552" s="81" t="s">
        <v>48</v>
      </c>
      <c r="V1552" s="81" t="s">
        <v>48</v>
      </c>
      <c r="W1552" s="81" t="s">
        <v>49</v>
      </c>
      <c r="X1552" s="81" t="s">
        <v>48</v>
      </c>
      <c r="Y1552" s="81" t="s">
        <v>48</v>
      </c>
    </row>
    <row r="1553" spans="1:25" x14ac:dyDescent="0.3">
      <c r="A1553" s="16" t="s">
        <v>1433</v>
      </c>
      <c r="B1553" s="81" t="s">
        <v>43</v>
      </c>
      <c r="C1553" s="81" t="s">
        <v>1434</v>
      </c>
      <c r="D1553" s="81" t="s">
        <v>45</v>
      </c>
      <c r="E1553" s="81" t="s">
        <v>2412</v>
      </c>
      <c r="F1553" s="81" t="s">
        <v>2412</v>
      </c>
      <c r="G1553" s="81" t="s">
        <v>3529</v>
      </c>
      <c r="H1553" s="81" t="s">
        <v>2702</v>
      </c>
      <c r="I1553" s="81" t="s">
        <v>6305</v>
      </c>
      <c r="J1553" s="81" t="s">
        <v>2186</v>
      </c>
      <c r="K1553" s="81" t="s">
        <v>6305</v>
      </c>
      <c r="L1553" s="81" t="s">
        <v>2392</v>
      </c>
      <c r="M1553" s="81" t="s">
        <v>6305</v>
      </c>
      <c r="N1553" s="81" t="s">
        <v>2231</v>
      </c>
      <c r="O1553" s="81" t="s">
        <v>2187</v>
      </c>
      <c r="P1553" s="81" t="s">
        <v>2187</v>
      </c>
      <c r="Q1553" s="81" t="s">
        <v>43</v>
      </c>
      <c r="R1553" s="81" t="s">
        <v>122</v>
      </c>
      <c r="S1553" s="81" t="s">
        <v>123</v>
      </c>
      <c r="T1553" s="81" t="s">
        <v>48</v>
      </c>
      <c r="U1553" s="81" t="s">
        <v>48</v>
      </c>
      <c r="V1553" s="81" t="s">
        <v>49</v>
      </c>
      <c r="W1553" s="81" t="s">
        <v>48</v>
      </c>
      <c r="X1553" s="81" t="s">
        <v>48</v>
      </c>
      <c r="Y1553" s="81" t="s">
        <v>48</v>
      </c>
    </row>
    <row r="1554" spans="1:25" x14ac:dyDescent="0.3">
      <c r="A1554" s="16" t="s">
        <v>1435</v>
      </c>
      <c r="B1554" s="81" t="s">
        <v>43</v>
      </c>
      <c r="C1554" s="81" t="s">
        <v>1436</v>
      </c>
      <c r="D1554" s="81" t="s">
        <v>45</v>
      </c>
      <c r="E1554" s="81" t="s">
        <v>2180</v>
      </c>
      <c r="F1554" s="81" t="s">
        <v>2704</v>
      </c>
      <c r="G1554" s="81" t="s">
        <v>3529</v>
      </c>
      <c r="H1554" s="81" t="s">
        <v>2702</v>
      </c>
      <c r="I1554" s="81" t="s">
        <v>6305</v>
      </c>
      <c r="J1554" s="81" t="s">
        <v>2186</v>
      </c>
      <c r="K1554" s="81" t="s">
        <v>6305</v>
      </c>
      <c r="L1554" s="81" t="s">
        <v>2392</v>
      </c>
      <c r="M1554" s="81" t="s">
        <v>6305</v>
      </c>
      <c r="N1554" s="81" t="s">
        <v>2231</v>
      </c>
      <c r="O1554" s="81" t="s">
        <v>2187</v>
      </c>
      <c r="P1554" s="81" t="s">
        <v>2187</v>
      </c>
      <c r="Q1554" s="81" t="s">
        <v>43</v>
      </c>
      <c r="R1554" s="81" t="s">
        <v>122</v>
      </c>
      <c r="S1554" s="81" t="s">
        <v>123</v>
      </c>
      <c r="T1554" s="81" t="s">
        <v>48</v>
      </c>
      <c r="U1554" s="81" t="s">
        <v>48</v>
      </c>
      <c r="V1554" s="81" t="s">
        <v>49</v>
      </c>
      <c r="W1554" s="81" t="s">
        <v>48</v>
      </c>
      <c r="X1554" s="81" t="s">
        <v>48</v>
      </c>
      <c r="Y1554" s="81" t="s">
        <v>48</v>
      </c>
    </row>
    <row r="1555" spans="1:25" x14ac:dyDescent="0.3">
      <c r="A1555" s="16" t="s">
        <v>1437</v>
      </c>
      <c r="B1555" s="81" t="s">
        <v>43</v>
      </c>
      <c r="C1555" s="81" t="s">
        <v>1438</v>
      </c>
      <c r="D1555" s="81" t="s">
        <v>45</v>
      </c>
      <c r="E1555" s="81" t="s">
        <v>2180</v>
      </c>
      <c r="F1555" s="81" t="s">
        <v>2363</v>
      </c>
      <c r="G1555" s="81" t="s">
        <v>3509</v>
      </c>
      <c r="H1555" s="81" t="s">
        <v>5291</v>
      </c>
      <c r="I1555" s="81" t="s">
        <v>6746</v>
      </c>
      <c r="J1555" s="81" t="s">
        <v>2186</v>
      </c>
      <c r="K1555" s="81" t="s">
        <v>6746</v>
      </c>
      <c r="L1555" s="81" t="s">
        <v>2392</v>
      </c>
      <c r="M1555" s="81" t="s">
        <v>6746</v>
      </c>
      <c r="N1555" s="81" t="s">
        <v>2231</v>
      </c>
      <c r="O1555" s="81" t="s">
        <v>2187</v>
      </c>
      <c r="P1555" s="81" t="s">
        <v>2187</v>
      </c>
      <c r="Q1555" s="81" t="s">
        <v>43</v>
      </c>
      <c r="R1555" s="81" t="s">
        <v>524</v>
      </c>
      <c r="S1555" s="81" t="s">
        <v>525</v>
      </c>
      <c r="T1555" s="81" t="s">
        <v>48</v>
      </c>
      <c r="U1555" s="81" t="s">
        <v>48</v>
      </c>
      <c r="V1555" s="81" t="s">
        <v>49</v>
      </c>
      <c r="W1555" s="81" t="s">
        <v>48</v>
      </c>
      <c r="X1555" s="81" t="s">
        <v>48</v>
      </c>
      <c r="Y1555" s="81" t="s">
        <v>48</v>
      </c>
    </row>
    <row r="1556" spans="1:25" x14ac:dyDescent="0.3">
      <c r="A1556" s="16">
        <v>759684317170</v>
      </c>
      <c r="B1556" s="81" t="s">
        <v>43</v>
      </c>
      <c r="C1556" s="81" t="s">
        <v>2050</v>
      </c>
      <c r="D1556" s="81" t="s">
        <v>45</v>
      </c>
      <c r="E1556" s="81" t="s">
        <v>2227</v>
      </c>
      <c r="F1556" s="81" t="s">
        <v>2227</v>
      </c>
      <c r="G1556" s="81" t="s">
        <v>4560</v>
      </c>
      <c r="H1556" s="81" t="s">
        <v>3041</v>
      </c>
      <c r="I1556" s="81" t="s">
        <v>6747</v>
      </c>
      <c r="J1556" s="81" t="s">
        <v>2186</v>
      </c>
      <c r="K1556" s="81" t="s">
        <v>6747</v>
      </c>
      <c r="L1556" s="81" t="s">
        <v>2392</v>
      </c>
      <c r="M1556" s="81" t="s">
        <v>6747</v>
      </c>
      <c r="N1556" s="81" t="s">
        <v>2231</v>
      </c>
      <c r="O1556" s="81" t="s">
        <v>2187</v>
      </c>
      <c r="P1556" s="81" t="s">
        <v>2187</v>
      </c>
      <c r="Q1556" s="81" t="s">
        <v>43</v>
      </c>
      <c r="R1556" s="81" t="s">
        <v>1191</v>
      </c>
      <c r="S1556" s="81" t="s">
        <v>1192</v>
      </c>
      <c r="T1556" s="81" t="s">
        <v>48</v>
      </c>
      <c r="U1556" s="81" t="s">
        <v>48</v>
      </c>
      <c r="V1556" s="81" t="s">
        <v>49</v>
      </c>
      <c r="W1556" s="81" t="s">
        <v>48</v>
      </c>
      <c r="X1556" s="81" t="s">
        <v>48</v>
      </c>
      <c r="Y1556" s="81" t="s">
        <v>48</v>
      </c>
    </row>
    <row r="1557" spans="1:25" x14ac:dyDescent="0.3">
      <c r="A1557" s="16">
        <v>7501384544584</v>
      </c>
      <c r="B1557" s="81" t="s">
        <v>43</v>
      </c>
      <c r="C1557" s="81" t="s">
        <v>2051</v>
      </c>
      <c r="D1557" s="81" t="s">
        <v>45</v>
      </c>
      <c r="E1557" s="81" t="s">
        <v>2227</v>
      </c>
      <c r="F1557" s="81" t="s">
        <v>2227</v>
      </c>
      <c r="G1557" s="81" t="s">
        <v>5519</v>
      </c>
      <c r="H1557" s="81" t="s">
        <v>2264</v>
      </c>
      <c r="I1557" s="81" t="s">
        <v>5716</v>
      </c>
      <c r="J1557" s="81" t="s">
        <v>2186</v>
      </c>
      <c r="K1557" s="81" t="s">
        <v>5716</v>
      </c>
      <c r="L1557" s="81" t="s">
        <v>2392</v>
      </c>
      <c r="M1557" s="81" t="s">
        <v>5716</v>
      </c>
      <c r="N1557" s="81" t="s">
        <v>2231</v>
      </c>
      <c r="O1557" s="81" t="s">
        <v>2187</v>
      </c>
      <c r="P1557" s="81" t="s">
        <v>2187</v>
      </c>
      <c r="Q1557" s="81" t="s">
        <v>43</v>
      </c>
      <c r="R1557" s="81" t="s">
        <v>122</v>
      </c>
      <c r="S1557" s="81" t="s">
        <v>123</v>
      </c>
      <c r="T1557" s="81" t="s">
        <v>48</v>
      </c>
      <c r="U1557" s="81" t="s">
        <v>48</v>
      </c>
      <c r="V1557" s="81" t="s">
        <v>48</v>
      </c>
      <c r="W1557" s="81" t="s">
        <v>49</v>
      </c>
      <c r="X1557" s="81" t="s">
        <v>48</v>
      </c>
      <c r="Y1557" s="81" t="s">
        <v>48</v>
      </c>
    </row>
    <row r="1558" spans="1:25" x14ac:dyDescent="0.3">
      <c r="A1558" s="16">
        <v>637420602004</v>
      </c>
      <c r="B1558" s="81" t="s">
        <v>43</v>
      </c>
      <c r="C1558" s="81" t="s">
        <v>2052</v>
      </c>
      <c r="D1558" s="81" t="s">
        <v>45</v>
      </c>
      <c r="E1558" s="81" t="s">
        <v>2227</v>
      </c>
      <c r="F1558" s="81" t="s">
        <v>2227</v>
      </c>
      <c r="G1558" s="81" t="s">
        <v>5292</v>
      </c>
      <c r="H1558" s="81" t="s">
        <v>3594</v>
      </c>
      <c r="I1558" s="81" t="s">
        <v>6748</v>
      </c>
      <c r="J1558" s="81" t="s">
        <v>2186</v>
      </c>
      <c r="K1558" s="81" t="s">
        <v>6748</v>
      </c>
      <c r="L1558" s="81" t="s">
        <v>2392</v>
      </c>
      <c r="M1558" s="81" t="s">
        <v>6748</v>
      </c>
      <c r="N1558" s="81" t="s">
        <v>2231</v>
      </c>
      <c r="O1558" s="81" t="s">
        <v>2187</v>
      </c>
      <c r="P1558" s="81" t="s">
        <v>2187</v>
      </c>
      <c r="Q1558" s="81" t="s">
        <v>43</v>
      </c>
      <c r="R1558" s="81" t="s">
        <v>101</v>
      </c>
      <c r="S1558" s="81" t="s">
        <v>101</v>
      </c>
      <c r="T1558" s="81" t="s">
        <v>48</v>
      </c>
      <c r="U1558" s="81" t="s">
        <v>48</v>
      </c>
      <c r="V1558" s="81" t="s">
        <v>49</v>
      </c>
      <c r="W1558" s="81" t="s">
        <v>48</v>
      </c>
      <c r="X1558" s="81" t="s">
        <v>48</v>
      </c>
      <c r="Y1558" s="81" t="s">
        <v>48</v>
      </c>
    </row>
    <row r="1559" spans="1:25" x14ac:dyDescent="0.3">
      <c r="A1559" s="16">
        <v>7502224246125</v>
      </c>
      <c r="B1559" s="81" t="s">
        <v>43</v>
      </c>
      <c r="C1559" s="81" t="s">
        <v>1439</v>
      </c>
      <c r="D1559" s="81" t="s">
        <v>45</v>
      </c>
      <c r="E1559" s="81" t="s">
        <v>2227</v>
      </c>
      <c r="F1559" s="81" t="s">
        <v>2227</v>
      </c>
      <c r="G1559" s="81" t="s">
        <v>3948</v>
      </c>
      <c r="H1559" s="81" t="s">
        <v>3949</v>
      </c>
      <c r="I1559" s="81" t="s">
        <v>6749</v>
      </c>
      <c r="J1559" s="81" t="s">
        <v>2186</v>
      </c>
      <c r="K1559" s="81" t="s">
        <v>6749</v>
      </c>
      <c r="L1559" s="81" t="s">
        <v>2392</v>
      </c>
      <c r="M1559" s="81" t="s">
        <v>6749</v>
      </c>
      <c r="N1559" s="81" t="s">
        <v>2231</v>
      </c>
      <c r="O1559" s="81" t="s">
        <v>2187</v>
      </c>
      <c r="P1559" s="81" t="s">
        <v>2187</v>
      </c>
      <c r="Q1559" s="81" t="s">
        <v>43</v>
      </c>
      <c r="R1559" s="81" t="s">
        <v>1191</v>
      </c>
      <c r="S1559" s="81" t="s">
        <v>1192</v>
      </c>
      <c r="T1559" s="81" t="s">
        <v>48</v>
      </c>
      <c r="U1559" s="81" t="s">
        <v>48</v>
      </c>
      <c r="V1559" s="81" t="s">
        <v>49</v>
      </c>
      <c r="W1559" s="81" t="s">
        <v>48</v>
      </c>
      <c r="X1559" s="81" t="s">
        <v>48</v>
      </c>
      <c r="Y1559" s="81" t="s">
        <v>48</v>
      </c>
    </row>
    <row r="1560" spans="1:25" x14ac:dyDescent="0.3">
      <c r="A1560" s="16">
        <v>7501020680461</v>
      </c>
      <c r="B1560" s="81" t="s">
        <v>43</v>
      </c>
      <c r="C1560" s="81" t="s">
        <v>1440</v>
      </c>
      <c r="D1560" s="81" t="s">
        <v>45</v>
      </c>
      <c r="E1560" s="81" t="s">
        <v>2227</v>
      </c>
      <c r="F1560" s="81" t="s">
        <v>2227</v>
      </c>
      <c r="G1560" s="81" t="s">
        <v>3950</v>
      </c>
      <c r="H1560" s="81" t="s">
        <v>6750</v>
      </c>
      <c r="I1560" s="81" t="s">
        <v>6751</v>
      </c>
      <c r="J1560" s="81" t="s">
        <v>2186</v>
      </c>
      <c r="K1560" s="81" t="s">
        <v>6751</v>
      </c>
      <c r="L1560" s="81" t="s">
        <v>2392</v>
      </c>
      <c r="M1560" s="81" t="s">
        <v>6751</v>
      </c>
      <c r="N1560" s="81" t="s">
        <v>2231</v>
      </c>
      <c r="O1560" s="81" t="s">
        <v>2187</v>
      </c>
      <c r="P1560" s="81" t="s">
        <v>2187</v>
      </c>
      <c r="Q1560" s="81" t="s">
        <v>43</v>
      </c>
      <c r="R1560" s="81" t="s">
        <v>122</v>
      </c>
      <c r="S1560" s="81" t="s">
        <v>122</v>
      </c>
      <c r="T1560" s="81" t="s">
        <v>48</v>
      </c>
      <c r="U1560" s="81" t="s">
        <v>48</v>
      </c>
      <c r="V1560" s="81" t="s">
        <v>49</v>
      </c>
      <c r="W1560" s="81" t="s">
        <v>48</v>
      </c>
      <c r="X1560" s="81" t="s">
        <v>48</v>
      </c>
      <c r="Y1560" s="81" t="s">
        <v>48</v>
      </c>
    </row>
    <row r="1561" spans="1:25" x14ac:dyDescent="0.3">
      <c r="A1561" s="16">
        <v>7891317019815</v>
      </c>
      <c r="B1561" s="81" t="s">
        <v>43</v>
      </c>
      <c r="C1561" s="81" t="s">
        <v>1441</v>
      </c>
      <c r="D1561" s="81" t="s">
        <v>45</v>
      </c>
      <c r="E1561" s="81" t="s">
        <v>2227</v>
      </c>
      <c r="F1561" s="81" t="s">
        <v>2227</v>
      </c>
      <c r="G1561" s="81" t="s">
        <v>3951</v>
      </c>
      <c r="H1561" s="81" t="s">
        <v>3107</v>
      </c>
      <c r="I1561" s="81" t="s">
        <v>6752</v>
      </c>
      <c r="J1561" s="81" t="s">
        <v>2186</v>
      </c>
      <c r="K1561" s="81" t="s">
        <v>6752</v>
      </c>
      <c r="L1561" s="81" t="s">
        <v>2392</v>
      </c>
      <c r="M1561" s="81" t="s">
        <v>6752</v>
      </c>
      <c r="N1561" s="81" t="s">
        <v>2231</v>
      </c>
      <c r="O1561" s="81" t="s">
        <v>2187</v>
      </c>
      <c r="P1561" s="81" t="s">
        <v>2187</v>
      </c>
      <c r="Q1561" s="81" t="s">
        <v>43</v>
      </c>
      <c r="R1561" s="81" t="s">
        <v>374</v>
      </c>
      <c r="S1561" s="81" t="s">
        <v>374</v>
      </c>
      <c r="T1561" s="81" t="s">
        <v>48</v>
      </c>
      <c r="U1561" s="81" t="s">
        <v>48</v>
      </c>
      <c r="V1561" s="81" t="s">
        <v>48</v>
      </c>
      <c r="W1561" s="81" t="s">
        <v>49</v>
      </c>
      <c r="X1561" s="81" t="s">
        <v>48</v>
      </c>
      <c r="Y1561" s="81" t="s">
        <v>48</v>
      </c>
    </row>
    <row r="1562" spans="1:25" x14ac:dyDescent="0.3">
      <c r="A1562" s="16">
        <v>7501478316226</v>
      </c>
      <c r="B1562" s="81" t="s">
        <v>43</v>
      </c>
      <c r="C1562" s="81" t="s">
        <v>2053</v>
      </c>
      <c r="D1562" s="81" t="s">
        <v>45</v>
      </c>
      <c r="E1562" s="81" t="s">
        <v>2227</v>
      </c>
      <c r="F1562" s="81" t="s">
        <v>2227</v>
      </c>
      <c r="G1562" s="81" t="s">
        <v>5354</v>
      </c>
      <c r="H1562" s="81" t="s">
        <v>2337</v>
      </c>
      <c r="I1562" s="81" t="s">
        <v>6753</v>
      </c>
      <c r="J1562" s="81" t="s">
        <v>2186</v>
      </c>
      <c r="K1562" s="81" t="s">
        <v>6753</v>
      </c>
      <c r="L1562" s="81" t="s">
        <v>2392</v>
      </c>
      <c r="M1562" s="81" t="s">
        <v>6753</v>
      </c>
      <c r="N1562" s="81" t="s">
        <v>2231</v>
      </c>
      <c r="O1562" s="81" t="s">
        <v>2187</v>
      </c>
      <c r="P1562" s="81" t="s">
        <v>2187</v>
      </c>
      <c r="Q1562" s="81" t="s">
        <v>43</v>
      </c>
      <c r="R1562" s="81" t="s">
        <v>46</v>
      </c>
      <c r="S1562" s="81" t="s">
        <v>46</v>
      </c>
      <c r="T1562" s="81" t="s">
        <v>48</v>
      </c>
      <c r="U1562" s="81" t="s">
        <v>48</v>
      </c>
      <c r="V1562" s="81" t="s">
        <v>48</v>
      </c>
      <c r="W1562" s="81" t="s">
        <v>49</v>
      </c>
      <c r="X1562" s="81" t="s">
        <v>48</v>
      </c>
      <c r="Y1562" s="81" t="s">
        <v>48</v>
      </c>
    </row>
    <row r="1563" spans="1:25" x14ac:dyDescent="0.3">
      <c r="A1563" s="16">
        <v>7560223314344</v>
      </c>
      <c r="B1563" s="81" t="s">
        <v>43</v>
      </c>
      <c r="C1563" s="81" t="s">
        <v>1442</v>
      </c>
      <c r="D1563" s="81" t="s">
        <v>45</v>
      </c>
      <c r="E1563" s="81" t="s">
        <v>2227</v>
      </c>
      <c r="F1563" s="81" t="s">
        <v>2227</v>
      </c>
      <c r="G1563" s="81" t="s">
        <v>2712</v>
      </c>
      <c r="H1563" s="81" t="s">
        <v>3953</v>
      </c>
      <c r="I1563" s="81" t="s">
        <v>6754</v>
      </c>
      <c r="J1563" s="81" t="s">
        <v>2186</v>
      </c>
      <c r="K1563" s="81" t="s">
        <v>6754</v>
      </c>
      <c r="L1563" s="81" t="s">
        <v>2392</v>
      </c>
      <c r="M1563" s="81" t="s">
        <v>6754</v>
      </c>
      <c r="N1563" s="81" t="s">
        <v>2231</v>
      </c>
      <c r="O1563" s="81" t="s">
        <v>2187</v>
      </c>
      <c r="P1563" s="81" t="s">
        <v>2187</v>
      </c>
      <c r="Q1563" s="81" t="s">
        <v>43</v>
      </c>
      <c r="R1563" s="81" t="s">
        <v>101</v>
      </c>
      <c r="S1563" s="81" t="s">
        <v>101</v>
      </c>
      <c r="T1563" s="81" t="s">
        <v>48</v>
      </c>
      <c r="U1563" s="81" t="s">
        <v>48</v>
      </c>
      <c r="V1563" s="81" t="s">
        <v>49</v>
      </c>
      <c r="W1563" s="81" t="s">
        <v>48</v>
      </c>
      <c r="X1563" s="81" t="s">
        <v>48</v>
      </c>
      <c r="Y1563" s="81" t="s">
        <v>48</v>
      </c>
    </row>
    <row r="1564" spans="1:25" x14ac:dyDescent="0.3">
      <c r="A1564" s="16" t="s">
        <v>1443</v>
      </c>
      <c r="B1564" s="81" t="s">
        <v>43</v>
      </c>
      <c r="C1564" s="81" t="s">
        <v>493</v>
      </c>
      <c r="D1564" s="81" t="s">
        <v>45</v>
      </c>
      <c r="E1564" s="81" t="s">
        <v>2288</v>
      </c>
      <c r="F1564" s="81" t="s">
        <v>2890</v>
      </c>
      <c r="G1564" s="81" t="s">
        <v>3954</v>
      </c>
      <c r="H1564" s="81" t="s">
        <v>3379</v>
      </c>
      <c r="I1564" s="81" t="s">
        <v>6755</v>
      </c>
      <c r="J1564" s="81" t="s">
        <v>2186</v>
      </c>
      <c r="K1564" s="81" t="s">
        <v>6755</v>
      </c>
      <c r="L1564" s="81" t="s">
        <v>2392</v>
      </c>
      <c r="M1564" s="81" t="s">
        <v>6755</v>
      </c>
      <c r="N1564" s="81" t="s">
        <v>2231</v>
      </c>
      <c r="O1564" s="81" t="s">
        <v>2187</v>
      </c>
      <c r="P1564" s="81" t="s">
        <v>2187</v>
      </c>
      <c r="Q1564" s="81" t="s">
        <v>43</v>
      </c>
      <c r="R1564" s="81" t="s">
        <v>51</v>
      </c>
      <c r="S1564" s="81" t="s">
        <v>73</v>
      </c>
      <c r="T1564" s="81" t="s">
        <v>49</v>
      </c>
      <c r="U1564" s="81" t="s">
        <v>48</v>
      </c>
      <c r="V1564" s="81" t="s">
        <v>48</v>
      </c>
      <c r="W1564" s="81" t="s">
        <v>49</v>
      </c>
      <c r="X1564" s="81" t="s">
        <v>48</v>
      </c>
      <c r="Y1564" s="81" t="s">
        <v>48</v>
      </c>
    </row>
    <row r="1565" spans="1:25" x14ac:dyDescent="0.3">
      <c r="A1565" s="16" t="s">
        <v>1444</v>
      </c>
      <c r="B1565" s="81" t="s">
        <v>43</v>
      </c>
      <c r="C1565" s="81" t="s">
        <v>1445</v>
      </c>
      <c r="D1565" s="81" t="s">
        <v>45</v>
      </c>
      <c r="E1565" s="81" t="s">
        <v>2620</v>
      </c>
      <c r="F1565" s="81" t="s">
        <v>2780</v>
      </c>
      <c r="G1565" s="81" t="s">
        <v>3955</v>
      </c>
      <c r="H1565" s="81" t="s">
        <v>2503</v>
      </c>
      <c r="I1565" s="81" t="s">
        <v>6756</v>
      </c>
      <c r="J1565" s="81" t="s">
        <v>2186</v>
      </c>
      <c r="K1565" s="81" t="s">
        <v>6756</v>
      </c>
      <c r="L1565" s="81" t="s">
        <v>2392</v>
      </c>
      <c r="M1565" s="81" t="s">
        <v>6756</v>
      </c>
      <c r="N1565" s="81" t="s">
        <v>2231</v>
      </c>
      <c r="O1565" s="81" t="s">
        <v>2187</v>
      </c>
      <c r="P1565" s="81" t="s">
        <v>2187</v>
      </c>
      <c r="Q1565" s="81" t="s">
        <v>43</v>
      </c>
      <c r="R1565" s="81" t="s">
        <v>51</v>
      </c>
      <c r="S1565" s="81" t="s">
        <v>81</v>
      </c>
      <c r="T1565" s="81" t="s">
        <v>49</v>
      </c>
      <c r="U1565" s="81" t="s">
        <v>48</v>
      </c>
      <c r="V1565" s="81" t="s">
        <v>48</v>
      </c>
      <c r="W1565" s="81" t="s">
        <v>49</v>
      </c>
      <c r="X1565" s="81" t="s">
        <v>48</v>
      </c>
      <c r="Y1565" s="81" t="s">
        <v>48</v>
      </c>
    </row>
    <row r="1566" spans="1:25" x14ac:dyDescent="0.3">
      <c r="A1566" s="16" t="s">
        <v>1446</v>
      </c>
      <c r="B1566" s="81" t="s">
        <v>43</v>
      </c>
      <c r="C1566" s="81" t="s">
        <v>1447</v>
      </c>
      <c r="D1566" s="81" t="s">
        <v>45</v>
      </c>
      <c r="E1566" s="81" t="s">
        <v>2620</v>
      </c>
      <c r="F1566" s="81" t="s">
        <v>2780</v>
      </c>
      <c r="G1566" s="81" t="s">
        <v>3955</v>
      </c>
      <c r="H1566" s="81" t="s">
        <v>2503</v>
      </c>
      <c r="I1566" s="81" t="s">
        <v>6756</v>
      </c>
      <c r="J1566" s="81" t="s">
        <v>2186</v>
      </c>
      <c r="K1566" s="81" t="s">
        <v>6756</v>
      </c>
      <c r="L1566" s="81" t="s">
        <v>2392</v>
      </c>
      <c r="M1566" s="81" t="s">
        <v>6756</v>
      </c>
      <c r="N1566" s="81" t="s">
        <v>2231</v>
      </c>
      <c r="O1566" s="81" t="s">
        <v>2187</v>
      </c>
      <c r="P1566" s="81" t="s">
        <v>2187</v>
      </c>
      <c r="Q1566" s="81" t="s">
        <v>43</v>
      </c>
      <c r="R1566" s="81" t="s">
        <v>51</v>
      </c>
      <c r="S1566" s="81" t="s">
        <v>81</v>
      </c>
      <c r="T1566" s="81" t="s">
        <v>49</v>
      </c>
      <c r="U1566" s="81" t="s">
        <v>48</v>
      </c>
      <c r="V1566" s="81" t="s">
        <v>48</v>
      </c>
      <c r="W1566" s="81" t="s">
        <v>49</v>
      </c>
      <c r="X1566" s="81" t="s">
        <v>48</v>
      </c>
      <c r="Y1566" s="81" t="s">
        <v>48</v>
      </c>
    </row>
    <row r="1567" spans="1:25" x14ac:dyDescent="0.3">
      <c r="A1567" s="16" t="s">
        <v>1448</v>
      </c>
      <c r="B1567" s="81" t="s">
        <v>43</v>
      </c>
      <c r="C1567" s="81" t="s">
        <v>1449</v>
      </c>
      <c r="D1567" s="81" t="s">
        <v>45</v>
      </c>
      <c r="E1567" s="81" t="s">
        <v>2239</v>
      </c>
      <c r="F1567" s="81" t="s">
        <v>2341</v>
      </c>
      <c r="G1567" s="81" t="s">
        <v>3956</v>
      </c>
      <c r="H1567" s="81" t="s">
        <v>2243</v>
      </c>
      <c r="I1567" s="81" t="s">
        <v>5662</v>
      </c>
      <c r="J1567" s="81" t="s">
        <v>2186</v>
      </c>
      <c r="K1567" s="81" t="s">
        <v>5662</v>
      </c>
      <c r="L1567" s="81" t="s">
        <v>2392</v>
      </c>
      <c r="M1567" s="81" t="s">
        <v>5662</v>
      </c>
      <c r="N1567" s="81" t="s">
        <v>2231</v>
      </c>
      <c r="O1567" s="81" t="s">
        <v>2187</v>
      </c>
      <c r="P1567" s="81" t="s">
        <v>2187</v>
      </c>
      <c r="Q1567" s="81" t="s">
        <v>43</v>
      </c>
      <c r="R1567" s="81" t="s">
        <v>51</v>
      </c>
      <c r="S1567" s="81" t="s">
        <v>81</v>
      </c>
      <c r="T1567" s="81" t="s">
        <v>49</v>
      </c>
      <c r="U1567" s="81" t="s">
        <v>48</v>
      </c>
      <c r="V1567" s="81" t="s">
        <v>48</v>
      </c>
      <c r="W1567" s="81" t="s">
        <v>49</v>
      </c>
      <c r="X1567" s="81" t="s">
        <v>48</v>
      </c>
      <c r="Y1567" s="81" t="s">
        <v>48</v>
      </c>
    </row>
    <row r="1568" spans="1:25" x14ac:dyDescent="0.3">
      <c r="A1568" s="16" t="s">
        <v>1450</v>
      </c>
      <c r="B1568" s="81" t="s">
        <v>43</v>
      </c>
      <c r="C1568" s="81" t="s">
        <v>1451</v>
      </c>
      <c r="D1568" s="81" t="s">
        <v>45</v>
      </c>
      <c r="E1568" s="81" t="s">
        <v>2288</v>
      </c>
      <c r="F1568" s="81" t="s">
        <v>2890</v>
      </c>
      <c r="G1568" s="81" t="s">
        <v>3954</v>
      </c>
      <c r="H1568" s="81" t="s">
        <v>3379</v>
      </c>
      <c r="I1568" s="81" t="s">
        <v>6755</v>
      </c>
      <c r="J1568" s="81" t="s">
        <v>2186</v>
      </c>
      <c r="K1568" s="81" t="s">
        <v>6755</v>
      </c>
      <c r="L1568" s="81" t="s">
        <v>2392</v>
      </c>
      <c r="M1568" s="81" t="s">
        <v>6755</v>
      </c>
      <c r="N1568" s="81" t="s">
        <v>2231</v>
      </c>
      <c r="O1568" s="81" t="s">
        <v>2187</v>
      </c>
      <c r="P1568" s="81" t="s">
        <v>2187</v>
      </c>
      <c r="Q1568" s="81" t="s">
        <v>43</v>
      </c>
      <c r="R1568" s="81" t="s">
        <v>51</v>
      </c>
      <c r="S1568" s="81" t="s">
        <v>73</v>
      </c>
      <c r="T1568" s="81" t="s">
        <v>49</v>
      </c>
      <c r="U1568" s="81" t="s">
        <v>48</v>
      </c>
      <c r="V1568" s="81" t="s">
        <v>48</v>
      </c>
      <c r="W1568" s="81" t="s">
        <v>49</v>
      </c>
      <c r="X1568" s="81" t="s">
        <v>48</v>
      </c>
      <c r="Y1568" s="81" t="s">
        <v>48</v>
      </c>
    </row>
    <row r="1569" spans="1:25" x14ac:dyDescent="0.3">
      <c r="A1569" s="16" t="s">
        <v>1452</v>
      </c>
      <c r="B1569" s="81" t="s">
        <v>43</v>
      </c>
      <c r="C1569" s="81" t="s">
        <v>1453</v>
      </c>
      <c r="D1569" s="81" t="s">
        <v>45</v>
      </c>
      <c r="E1569" s="81" t="s">
        <v>2283</v>
      </c>
      <c r="F1569" s="81" t="s">
        <v>2510</v>
      </c>
      <c r="G1569" s="81" t="s">
        <v>3957</v>
      </c>
      <c r="H1569" s="81" t="s">
        <v>6757</v>
      </c>
      <c r="I1569" s="81" t="s">
        <v>6758</v>
      </c>
      <c r="J1569" s="81" t="s">
        <v>2186</v>
      </c>
      <c r="K1569" s="81" t="s">
        <v>6758</v>
      </c>
      <c r="L1569" s="81" t="s">
        <v>2392</v>
      </c>
      <c r="M1569" s="81" t="s">
        <v>6758</v>
      </c>
      <c r="N1569" s="81" t="s">
        <v>2231</v>
      </c>
      <c r="O1569" s="81" t="s">
        <v>2187</v>
      </c>
      <c r="P1569" s="81" t="s">
        <v>2187</v>
      </c>
      <c r="Q1569" s="81" t="s">
        <v>43</v>
      </c>
      <c r="R1569" s="81" t="s">
        <v>51</v>
      </c>
      <c r="S1569" s="81" t="s">
        <v>81</v>
      </c>
      <c r="T1569" s="81" t="s">
        <v>49</v>
      </c>
      <c r="U1569" s="81" t="s">
        <v>48</v>
      </c>
      <c r="V1569" s="81" t="s">
        <v>48</v>
      </c>
      <c r="W1569" s="81" t="s">
        <v>49</v>
      </c>
      <c r="X1569" s="81" t="s">
        <v>48</v>
      </c>
      <c r="Y1569" s="81" t="s">
        <v>48</v>
      </c>
    </row>
    <row r="1570" spans="1:25" x14ac:dyDescent="0.3">
      <c r="A1570" s="16" t="s">
        <v>1454</v>
      </c>
      <c r="B1570" s="81" t="s">
        <v>43</v>
      </c>
      <c r="C1570" s="81" t="s">
        <v>1455</v>
      </c>
      <c r="D1570" s="81" t="s">
        <v>45</v>
      </c>
      <c r="E1570" s="81" t="s">
        <v>2435</v>
      </c>
      <c r="F1570" s="81" t="s">
        <v>2204</v>
      </c>
      <c r="G1570" s="81" t="s">
        <v>3958</v>
      </c>
      <c r="H1570" s="81" t="s">
        <v>5293</v>
      </c>
      <c r="I1570" s="81" t="s">
        <v>6759</v>
      </c>
      <c r="J1570" s="81" t="s">
        <v>2186</v>
      </c>
      <c r="K1570" s="81" t="s">
        <v>6759</v>
      </c>
      <c r="L1570" s="81" t="s">
        <v>2392</v>
      </c>
      <c r="M1570" s="81" t="s">
        <v>6759</v>
      </c>
      <c r="N1570" s="81" t="s">
        <v>2231</v>
      </c>
      <c r="O1570" s="81" t="s">
        <v>2187</v>
      </c>
      <c r="P1570" s="81" t="s">
        <v>2187</v>
      </c>
      <c r="Q1570" s="81" t="s">
        <v>280</v>
      </c>
      <c r="R1570" s="81" t="s">
        <v>51</v>
      </c>
      <c r="S1570" s="81" t="s">
        <v>47</v>
      </c>
      <c r="T1570" s="81" t="s">
        <v>49</v>
      </c>
      <c r="U1570" s="81" t="s">
        <v>48</v>
      </c>
      <c r="V1570" s="81" t="s">
        <v>48</v>
      </c>
      <c r="W1570" s="81" t="s">
        <v>49</v>
      </c>
      <c r="X1570" s="81" t="s">
        <v>48</v>
      </c>
      <c r="Y1570" s="81" t="s">
        <v>48</v>
      </c>
    </row>
    <row r="1571" spans="1:25" x14ac:dyDescent="0.3">
      <c r="A1571" s="16" t="s">
        <v>1456</v>
      </c>
      <c r="B1571" s="81" t="s">
        <v>43</v>
      </c>
      <c r="C1571" s="81" t="s">
        <v>1457</v>
      </c>
      <c r="D1571" s="81" t="s">
        <v>45</v>
      </c>
      <c r="E1571" s="81" t="s">
        <v>2422</v>
      </c>
      <c r="F1571" s="81" t="s">
        <v>2423</v>
      </c>
      <c r="G1571" s="81" t="s">
        <v>3959</v>
      </c>
      <c r="H1571" s="81" t="s">
        <v>6760</v>
      </c>
      <c r="I1571" s="81" t="s">
        <v>6761</v>
      </c>
      <c r="J1571" s="81" t="s">
        <v>2186</v>
      </c>
      <c r="K1571" s="81" t="s">
        <v>6761</v>
      </c>
      <c r="L1571" s="81" t="s">
        <v>2392</v>
      </c>
      <c r="M1571" s="81" t="s">
        <v>6761</v>
      </c>
      <c r="N1571" s="81" t="s">
        <v>2231</v>
      </c>
      <c r="O1571" s="81" t="s">
        <v>2187</v>
      </c>
      <c r="P1571" s="81" t="s">
        <v>2187</v>
      </c>
      <c r="Q1571" s="81" t="s">
        <v>165</v>
      </c>
      <c r="R1571" s="81" t="s">
        <v>51</v>
      </c>
      <c r="S1571" s="81" t="s">
        <v>81</v>
      </c>
      <c r="T1571" s="81" t="s">
        <v>49</v>
      </c>
      <c r="U1571" s="81" t="s">
        <v>48</v>
      </c>
      <c r="V1571" s="81" t="s">
        <v>48</v>
      </c>
      <c r="W1571" s="81" t="s">
        <v>49</v>
      </c>
      <c r="X1571" s="81" t="s">
        <v>48</v>
      </c>
      <c r="Y1571" s="81" t="s">
        <v>48</v>
      </c>
    </row>
    <row r="1572" spans="1:25" x14ac:dyDescent="0.3">
      <c r="A1572" s="16" t="s">
        <v>1458</v>
      </c>
      <c r="B1572" s="81" t="s">
        <v>43</v>
      </c>
      <c r="C1572" s="81" t="s">
        <v>1459</v>
      </c>
      <c r="D1572" s="81" t="s">
        <v>45</v>
      </c>
      <c r="E1572" s="81" t="s">
        <v>2233</v>
      </c>
      <c r="F1572" s="81" t="s">
        <v>2234</v>
      </c>
      <c r="G1572" s="81" t="s">
        <v>3960</v>
      </c>
      <c r="H1572" s="81" t="s">
        <v>6762</v>
      </c>
      <c r="I1572" s="81" t="s">
        <v>6763</v>
      </c>
      <c r="J1572" s="81" t="s">
        <v>2186</v>
      </c>
      <c r="K1572" s="81" t="s">
        <v>6763</v>
      </c>
      <c r="L1572" s="81" t="s">
        <v>2392</v>
      </c>
      <c r="M1572" s="81" t="s">
        <v>6763</v>
      </c>
      <c r="N1572" s="81" t="s">
        <v>2231</v>
      </c>
      <c r="O1572" s="81" t="s">
        <v>2187</v>
      </c>
      <c r="P1572" s="81" t="s">
        <v>2187</v>
      </c>
      <c r="Q1572" s="81" t="s">
        <v>43</v>
      </c>
      <c r="R1572" s="81" t="s">
        <v>51</v>
      </c>
      <c r="S1572" s="81" t="s">
        <v>47</v>
      </c>
      <c r="T1572" s="81" t="s">
        <v>49</v>
      </c>
      <c r="U1572" s="81" t="s">
        <v>48</v>
      </c>
      <c r="V1572" s="81" t="s">
        <v>48</v>
      </c>
      <c r="W1572" s="81" t="s">
        <v>49</v>
      </c>
      <c r="X1572" s="81" t="s">
        <v>48</v>
      </c>
      <c r="Y1572" s="81" t="s">
        <v>48</v>
      </c>
    </row>
    <row r="1573" spans="1:25" x14ac:dyDescent="0.3">
      <c r="A1573" s="16" t="s">
        <v>1460</v>
      </c>
      <c r="B1573" s="81" t="s">
        <v>43</v>
      </c>
      <c r="C1573" s="81" t="s">
        <v>1461</v>
      </c>
      <c r="D1573" s="81" t="s">
        <v>45</v>
      </c>
      <c r="E1573" s="81" t="s">
        <v>2448</v>
      </c>
      <c r="F1573" s="81" t="s">
        <v>2540</v>
      </c>
      <c r="G1573" s="81" t="s">
        <v>3961</v>
      </c>
      <c r="H1573" s="81" t="s">
        <v>6764</v>
      </c>
      <c r="I1573" s="81" t="s">
        <v>6765</v>
      </c>
      <c r="J1573" s="81" t="s">
        <v>2186</v>
      </c>
      <c r="K1573" s="81" t="s">
        <v>6765</v>
      </c>
      <c r="L1573" s="81" t="s">
        <v>2392</v>
      </c>
      <c r="M1573" s="81" t="s">
        <v>6765</v>
      </c>
      <c r="N1573" s="81" t="s">
        <v>2231</v>
      </c>
      <c r="O1573" s="81" t="s">
        <v>2187</v>
      </c>
      <c r="P1573" s="81" t="s">
        <v>2187</v>
      </c>
      <c r="Q1573" s="81" t="s">
        <v>397</v>
      </c>
      <c r="R1573" s="81" t="s">
        <v>51</v>
      </c>
      <c r="S1573" s="81" t="s">
        <v>81</v>
      </c>
      <c r="T1573" s="81" t="s">
        <v>49</v>
      </c>
      <c r="U1573" s="81" t="s">
        <v>48</v>
      </c>
      <c r="V1573" s="81" t="s">
        <v>48</v>
      </c>
      <c r="W1573" s="81" t="s">
        <v>49</v>
      </c>
      <c r="X1573" s="81" t="s">
        <v>48</v>
      </c>
      <c r="Y1573" s="81" t="s">
        <v>48</v>
      </c>
    </row>
    <row r="1574" spans="1:25" x14ac:dyDescent="0.3">
      <c r="A1574" s="16" t="s">
        <v>1462</v>
      </c>
      <c r="B1574" s="81" t="s">
        <v>43</v>
      </c>
      <c r="C1574" s="81" t="s">
        <v>1463</v>
      </c>
      <c r="D1574" s="81" t="s">
        <v>45</v>
      </c>
      <c r="E1574" s="81" t="s">
        <v>2780</v>
      </c>
      <c r="F1574" s="81" t="s">
        <v>2939</v>
      </c>
      <c r="G1574" s="81" t="s">
        <v>2938</v>
      </c>
      <c r="H1574" s="81" t="s">
        <v>2415</v>
      </c>
      <c r="I1574" s="81" t="s">
        <v>5923</v>
      </c>
      <c r="J1574" s="81" t="s">
        <v>2186</v>
      </c>
      <c r="K1574" s="81" t="s">
        <v>5923</v>
      </c>
      <c r="L1574" s="81" t="s">
        <v>2392</v>
      </c>
      <c r="M1574" s="81" t="s">
        <v>5923</v>
      </c>
      <c r="N1574" s="81" t="s">
        <v>2231</v>
      </c>
      <c r="O1574" s="81" t="s">
        <v>2187</v>
      </c>
      <c r="P1574" s="81" t="s">
        <v>2187</v>
      </c>
      <c r="Q1574" s="81" t="s">
        <v>43</v>
      </c>
      <c r="R1574" s="81" t="s">
        <v>203</v>
      </c>
      <c r="S1574" s="81" t="s">
        <v>203</v>
      </c>
      <c r="T1574" s="81" t="s">
        <v>48</v>
      </c>
      <c r="U1574" s="81" t="s">
        <v>48</v>
      </c>
      <c r="V1574" s="81" t="s">
        <v>48</v>
      </c>
      <c r="W1574" s="81" t="s">
        <v>49</v>
      </c>
      <c r="X1574" s="81" t="s">
        <v>48</v>
      </c>
      <c r="Y1574" s="81" t="s">
        <v>48</v>
      </c>
    </row>
    <row r="1575" spans="1:25" x14ac:dyDescent="0.3">
      <c r="A1575" s="16" t="s">
        <v>1464</v>
      </c>
      <c r="B1575" s="81" t="s">
        <v>43</v>
      </c>
      <c r="C1575" s="81" t="s">
        <v>1465</v>
      </c>
      <c r="D1575" s="81" t="s">
        <v>45</v>
      </c>
      <c r="E1575" s="81" t="s">
        <v>2304</v>
      </c>
      <c r="F1575" s="81" t="s">
        <v>2435</v>
      </c>
      <c r="G1575" s="81" t="s">
        <v>3407</v>
      </c>
      <c r="H1575" s="81" t="s">
        <v>2220</v>
      </c>
      <c r="I1575" s="81" t="s">
        <v>6342</v>
      </c>
      <c r="J1575" s="81" t="s">
        <v>2186</v>
      </c>
      <c r="K1575" s="81" t="s">
        <v>6342</v>
      </c>
      <c r="L1575" s="81" t="s">
        <v>2392</v>
      </c>
      <c r="M1575" s="81" t="s">
        <v>6342</v>
      </c>
      <c r="N1575" s="81" t="s">
        <v>2231</v>
      </c>
      <c r="O1575" s="81" t="s">
        <v>2187</v>
      </c>
      <c r="P1575" s="81" t="s">
        <v>2187</v>
      </c>
      <c r="Q1575" s="81" t="s">
        <v>43</v>
      </c>
      <c r="R1575" s="81" t="s">
        <v>46</v>
      </c>
      <c r="S1575" s="81" t="s">
        <v>46</v>
      </c>
      <c r="T1575" s="81" t="s">
        <v>48</v>
      </c>
      <c r="U1575" s="81" t="s">
        <v>48</v>
      </c>
      <c r="V1575" s="81" t="s">
        <v>48</v>
      </c>
      <c r="W1575" s="81" t="s">
        <v>49</v>
      </c>
      <c r="X1575" s="81" t="s">
        <v>48</v>
      </c>
      <c r="Y1575" s="81" t="s">
        <v>48</v>
      </c>
    </row>
    <row r="1576" spans="1:25" x14ac:dyDescent="0.3">
      <c r="A1576" s="16" t="s">
        <v>1466</v>
      </c>
      <c r="B1576" s="81" t="s">
        <v>43</v>
      </c>
      <c r="C1576" s="81" t="s">
        <v>1467</v>
      </c>
      <c r="D1576" s="81" t="s">
        <v>45</v>
      </c>
      <c r="E1576" s="81" t="s">
        <v>2227</v>
      </c>
      <c r="F1576" s="81" t="s">
        <v>2227</v>
      </c>
      <c r="G1576" s="81" t="s">
        <v>3665</v>
      </c>
      <c r="H1576" s="81" t="s">
        <v>6766</v>
      </c>
      <c r="I1576" s="81" t="s">
        <v>6767</v>
      </c>
      <c r="J1576" s="81" t="s">
        <v>2186</v>
      </c>
      <c r="K1576" s="81" t="s">
        <v>6767</v>
      </c>
      <c r="L1576" s="81" t="s">
        <v>2392</v>
      </c>
      <c r="M1576" s="81" t="s">
        <v>6767</v>
      </c>
      <c r="N1576" s="81" t="s">
        <v>2231</v>
      </c>
      <c r="O1576" s="81" t="s">
        <v>2187</v>
      </c>
      <c r="P1576" s="81" t="s">
        <v>2187</v>
      </c>
      <c r="Q1576" s="81" t="s">
        <v>43</v>
      </c>
      <c r="R1576" s="81" t="s">
        <v>524</v>
      </c>
      <c r="S1576" s="81" t="s">
        <v>525</v>
      </c>
      <c r="T1576" s="81" t="s">
        <v>48</v>
      </c>
      <c r="U1576" s="81" t="s">
        <v>48</v>
      </c>
      <c r="V1576" s="81" t="s">
        <v>49</v>
      </c>
      <c r="W1576" s="81" t="s">
        <v>48</v>
      </c>
      <c r="X1576" s="81" t="s">
        <v>48</v>
      </c>
      <c r="Y1576" s="81" t="s">
        <v>48</v>
      </c>
    </row>
    <row r="1577" spans="1:25" x14ac:dyDescent="0.3">
      <c r="A1577" s="16" t="s">
        <v>1468</v>
      </c>
      <c r="B1577" s="81" t="s">
        <v>43</v>
      </c>
      <c r="C1577" s="81" t="s">
        <v>1469</v>
      </c>
      <c r="D1577" s="81" t="s">
        <v>45</v>
      </c>
      <c r="E1577" s="81" t="s">
        <v>2616</v>
      </c>
      <c r="F1577" s="81" t="s">
        <v>2617</v>
      </c>
      <c r="G1577" s="81" t="s">
        <v>3962</v>
      </c>
      <c r="H1577" s="81" t="s">
        <v>2321</v>
      </c>
      <c r="I1577" s="81" t="s">
        <v>6768</v>
      </c>
      <c r="J1577" s="81" t="s">
        <v>2186</v>
      </c>
      <c r="K1577" s="81" t="s">
        <v>6768</v>
      </c>
      <c r="L1577" s="81" t="s">
        <v>2392</v>
      </c>
      <c r="M1577" s="81" t="s">
        <v>6768</v>
      </c>
      <c r="N1577" s="81" t="s">
        <v>2231</v>
      </c>
      <c r="O1577" s="81" t="s">
        <v>2187</v>
      </c>
      <c r="P1577" s="81" t="s">
        <v>2187</v>
      </c>
      <c r="Q1577" s="81" t="s">
        <v>317</v>
      </c>
      <c r="R1577" s="81" t="s">
        <v>51</v>
      </c>
      <c r="S1577" s="81" t="s">
        <v>47</v>
      </c>
      <c r="T1577" s="81" t="s">
        <v>49</v>
      </c>
      <c r="U1577" s="81" t="s">
        <v>48</v>
      </c>
      <c r="V1577" s="81" t="s">
        <v>48</v>
      </c>
      <c r="W1577" s="81" t="s">
        <v>49</v>
      </c>
      <c r="X1577" s="81" t="s">
        <v>48</v>
      </c>
      <c r="Y1577" s="81" t="s">
        <v>48</v>
      </c>
    </row>
    <row r="1578" spans="1:25" x14ac:dyDescent="0.3">
      <c r="A1578" s="16" t="s">
        <v>1470</v>
      </c>
      <c r="B1578" s="81" t="s">
        <v>43</v>
      </c>
      <c r="C1578" s="81" t="s">
        <v>1471</v>
      </c>
      <c r="D1578" s="81" t="s">
        <v>45</v>
      </c>
      <c r="E1578" s="81" t="s">
        <v>2294</v>
      </c>
      <c r="F1578" s="81" t="s">
        <v>2295</v>
      </c>
      <c r="G1578" s="81" t="s">
        <v>3963</v>
      </c>
      <c r="H1578" s="81" t="s">
        <v>5157</v>
      </c>
      <c r="I1578" s="81" t="s">
        <v>6769</v>
      </c>
      <c r="J1578" s="81" t="s">
        <v>2186</v>
      </c>
      <c r="K1578" s="81" t="s">
        <v>6769</v>
      </c>
      <c r="L1578" s="81" t="s">
        <v>2392</v>
      </c>
      <c r="M1578" s="81" t="s">
        <v>6769</v>
      </c>
      <c r="N1578" s="81" t="s">
        <v>2231</v>
      </c>
      <c r="O1578" s="81" t="s">
        <v>2187</v>
      </c>
      <c r="P1578" s="81" t="s">
        <v>2187</v>
      </c>
      <c r="Q1578" s="81" t="s">
        <v>43</v>
      </c>
      <c r="R1578" s="81" t="s">
        <v>46</v>
      </c>
      <c r="S1578" s="81" t="s">
        <v>47</v>
      </c>
      <c r="T1578" s="81" t="s">
        <v>48</v>
      </c>
      <c r="U1578" s="81" t="s">
        <v>48</v>
      </c>
      <c r="V1578" s="81" t="s">
        <v>48</v>
      </c>
      <c r="W1578" s="81" t="s">
        <v>49</v>
      </c>
      <c r="X1578" s="81" t="s">
        <v>48</v>
      </c>
      <c r="Y1578" s="81" t="s">
        <v>48</v>
      </c>
    </row>
    <row r="1579" spans="1:25" x14ac:dyDescent="0.3">
      <c r="A1579" s="16" t="s">
        <v>1472</v>
      </c>
      <c r="B1579" s="81" t="s">
        <v>43</v>
      </c>
      <c r="C1579" s="81" t="s">
        <v>1473</v>
      </c>
      <c r="D1579" s="81" t="s">
        <v>45</v>
      </c>
      <c r="E1579" s="81" t="s">
        <v>2629</v>
      </c>
      <c r="F1579" s="81" t="s">
        <v>2433</v>
      </c>
      <c r="G1579" s="81" t="s">
        <v>3964</v>
      </c>
      <c r="H1579" s="81" t="s">
        <v>6770</v>
      </c>
      <c r="I1579" s="81" t="s">
        <v>6771</v>
      </c>
      <c r="J1579" s="81" t="s">
        <v>2186</v>
      </c>
      <c r="K1579" s="81" t="s">
        <v>6771</v>
      </c>
      <c r="L1579" s="81" t="s">
        <v>2392</v>
      </c>
      <c r="M1579" s="81" t="s">
        <v>6771</v>
      </c>
      <c r="N1579" s="81" t="s">
        <v>2231</v>
      </c>
      <c r="O1579" s="81" t="s">
        <v>2187</v>
      </c>
      <c r="P1579" s="81" t="s">
        <v>2187</v>
      </c>
      <c r="Q1579" s="81" t="s">
        <v>43</v>
      </c>
      <c r="R1579" s="81" t="s">
        <v>51</v>
      </c>
      <c r="S1579" s="81" t="s">
        <v>81</v>
      </c>
      <c r="T1579" s="81" t="s">
        <v>49</v>
      </c>
      <c r="U1579" s="81" t="s">
        <v>48</v>
      </c>
      <c r="V1579" s="81" t="s">
        <v>48</v>
      </c>
      <c r="W1579" s="81" t="s">
        <v>49</v>
      </c>
      <c r="X1579" s="81" t="s">
        <v>48</v>
      </c>
      <c r="Y1579" s="81" t="s">
        <v>48</v>
      </c>
    </row>
    <row r="1580" spans="1:25" x14ac:dyDescent="0.3">
      <c r="A1580" s="16">
        <v>7506476200126</v>
      </c>
      <c r="B1580" s="81" t="s">
        <v>43</v>
      </c>
      <c r="C1580" s="81" t="s">
        <v>3965</v>
      </c>
      <c r="D1580" s="81" t="s">
        <v>45</v>
      </c>
      <c r="E1580" s="81" t="s">
        <v>2227</v>
      </c>
      <c r="F1580" s="81" t="s">
        <v>2227</v>
      </c>
      <c r="G1580" s="81" t="s">
        <v>3966</v>
      </c>
      <c r="H1580" s="81" t="s">
        <v>2290</v>
      </c>
      <c r="I1580" s="81" t="s">
        <v>6772</v>
      </c>
      <c r="J1580" s="81" t="s">
        <v>2186</v>
      </c>
      <c r="K1580" s="81" t="s">
        <v>6772</v>
      </c>
      <c r="L1580" s="81" t="s">
        <v>2392</v>
      </c>
      <c r="M1580" s="81" t="s">
        <v>6772</v>
      </c>
      <c r="N1580" s="81" t="s">
        <v>2231</v>
      </c>
      <c r="O1580" s="81" t="s">
        <v>2187</v>
      </c>
      <c r="P1580" s="81" t="s">
        <v>2187</v>
      </c>
      <c r="Q1580" s="81" t="s">
        <v>43</v>
      </c>
      <c r="R1580" s="81" t="s">
        <v>56</v>
      </c>
      <c r="S1580" s="81" t="s">
        <v>57</v>
      </c>
      <c r="T1580" s="81" t="s">
        <v>48</v>
      </c>
      <c r="U1580" s="81" t="s">
        <v>48</v>
      </c>
      <c r="V1580" s="81" t="s">
        <v>48</v>
      </c>
      <c r="W1580" s="81" t="s">
        <v>49</v>
      </c>
      <c r="X1580" s="81" t="s">
        <v>48</v>
      </c>
      <c r="Y1580" s="81" t="s">
        <v>48</v>
      </c>
    </row>
    <row r="1581" spans="1:25" x14ac:dyDescent="0.3">
      <c r="A1581" s="16" t="s">
        <v>1474</v>
      </c>
      <c r="B1581" s="81" t="s">
        <v>43</v>
      </c>
      <c r="C1581" s="81" t="s">
        <v>1475</v>
      </c>
      <c r="D1581" s="81" t="s">
        <v>45</v>
      </c>
      <c r="E1581" s="81" t="s">
        <v>2227</v>
      </c>
      <c r="F1581" s="81" t="s">
        <v>2227</v>
      </c>
      <c r="G1581" s="81" t="s">
        <v>3665</v>
      </c>
      <c r="H1581" s="81" t="s">
        <v>6766</v>
      </c>
      <c r="I1581" s="81" t="s">
        <v>6767</v>
      </c>
      <c r="J1581" s="81" t="s">
        <v>2186</v>
      </c>
      <c r="K1581" s="81" t="s">
        <v>6767</v>
      </c>
      <c r="L1581" s="81" t="s">
        <v>2392</v>
      </c>
      <c r="M1581" s="81" t="s">
        <v>6767</v>
      </c>
      <c r="N1581" s="81" t="s">
        <v>2231</v>
      </c>
      <c r="O1581" s="81" t="s">
        <v>2187</v>
      </c>
      <c r="P1581" s="81" t="s">
        <v>2187</v>
      </c>
      <c r="Q1581" s="81" t="s">
        <v>43</v>
      </c>
      <c r="R1581" s="81" t="s">
        <v>524</v>
      </c>
      <c r="S1581" s="81" t="s">
        <v>525</v>
      </c>
      <c r="T1581" s="81" t="s">
        <v>48</v>
      </c>
      <c r="U1581" s="81" t="s">
        <v>48</v>
      </c>
      <c r="V1581" s="81" t="s">
        <v>49</v>
      </c>
      <c r="W1581" s="81" t="s">
        <v>48</v>
      </c>
      <c r="X1581" s="81" t="s">
        <v>48</v>
      </c>
      <c r="Y1581" s="81" t="s">
        <v>48</v>
      </c>
    </row>
    <row r="1582" spans="1:25" x14ac:dyDescent="0.3">
      <c r="A1582" s="16">
        <v>7501034605115</v>
      </c>
      <c r="B1582" s="81" t="s">
        <v>43</v>
      </c>
      <c r="C1582" s="81" t="s">
        <v>2054</v>
      </c>
      <c r="D1582" s="81" t="s">
        <v>45</v>
      </c>
      <c r="E1582" s="81" t="s">
        <v>2227</v>
      </c>
      <c r="F1582" s="81" t="s">
        <v>2227</v>
      </c>
      <c r="G1582" s="81" t="s">
        <v>4732</v>
      </c>
      <c r="H1582" s="81" t="s">
        <v>4433</v>
      </c>
      <c r="I1582" s="81" t="s">
        <v>4434</v>
      </c>
      <c r="J1582" s="81" t="s">
        <v>2186</v>
      </c>
      <c r="K1582" s="81" t="s">
        <v>4435</v>
      </c>
      <c r="L1582" s="81" t="s">
        <v>2392</v>
      </c>
      <c r="M1582" s="81" t="s">
        <v>4436</v>
      </c>
      <c r="N1582" s="81" t="s">
        <v>2231</v>
      </c>
      <c r="O1582" s="81" t="s">
        <v>2187</v>
      </c>
      <c r="P1582" s="81" t="s">
        <v>2187</v>
      </c>
      <c r="Q1582" s="81" t="s">
        <v>43</v>
      </c>
      <c r="R1582" s="81" t="s">
        <v>203</v>
      </c>
      <c r="S1582" s="81" t="s">
        <v>203</v>
      </c>
      <c r="T1582" s="81" t="s">
        <v>48</v>
      </c>
      <c r="U1582" s="81" t="s">
        <v>48</v>
      </c>
      <c r="V1582" s="81" t="s">
        <v>48</v>
      </c>
      <c r="W1582" s="81" t="s">
        <v>49</v>
      </c>
      <c r="X1582" s="81" t="s">
        <v>48</v>
      </c>
      <c r="Y1582" s="81" t="s">
        <v>48</v>
      </c>
    </row>
    <row r="1583" spans="1:25" x14ac:dyDescent="0.3">
      <c r="A1583" s="16" t="s">
        <v>1476</v>
      </c>
      <c r="B1583" s="81" t="s">
        <v>43</v>
      </c>
      <c r="C1583" s="81" t="s">
        <v>1477</v>
      </c>
      <c r="D1583" s="81" t="s">
        <v>45</v>
      </c>
      <c r="E1583" s="81" t="s">
        <v>2368</v>
      </c>
      <c r="F1583" s="81" t="s">
        <v>2369</v>
      </c>
      <c r="G1583" s="81" t="s">
        <v>3588</v>
      </c>
      <c r="H1583" s="81" t="s">
        <v>6360</v>
      </c>
      <c r="I1583" s="81" t="s">
        <v>6361</v>
      </c>
      <c r="J1583" s="81" t="s">
        <v>2186</v>
      </c>
      <c r="K1583" s="81" t="s">
        <v>6361</v>
      </c>
      <c r="L1583" s="81" t="s">
        <v>2392</v>
      </c>
      <c r="M1583" s="81" t="s">
        <v>6361</v>
      </c>
      <c r="N1583" s="81" t="s">
        <v>2231</v>
      </c>
      <c r="O1583" s="81" t="s">
        <v>2187</v>
      </c>
      <c r="P1583" s="81" t="s">
        <v>2187</v>
      </c>
      <c r="Q1583" s="81" t="s">
        <v>43</v>
      </c>
      <c r="R1583" s="81" t="s">
        <v>524</v>
      </c>
      <c r="S1583" s="81" t="s">
        <v>525</v>
      </c>
      <c r="T1583" s="81" t="s">
        <v>48</v>
      </c>
      <c r="U1583" s="81" t="s">
        <v>48</v>
      </c>
      <c r="V1583" s="81" t="s">
        <v>49</v>
      </c>
      <c r="W1583" s="81" t="s">
        <v>48</v>
      </c>
      <c r="X1583" s="81" t="s">
        <v>48</v>
      </c>
      <c r="Y1583" s="81" t="s">
        <v>48</v>
      </c>
    </row>
    <row r="1584" spans="1:25" x14ac:dyDescent="0.3">
      <c r="A1584" s="16" t="s">
        <v>1478</v>
      </c>
      <c r="B1584" s="81" t="s">
        <v>43</v>
      </c>
      <c r="C1584" s="81" t="s">
        <v>1479</v>
      </c>
      <c r="D1584" s="81" t="s">
        <v>45</v>
      </c>
      <c r="E1584" s="81" t="s">
        <v>2442</v>
      </c>
      <c r="F1584" s="81" t="s">
        <v>2443</v>
      </c>
      <c r="G1584" s="81" t="s">
        <v>3967</v>
      </c>
      <c r="H1584" s="81" t="s">
        <v>6773</v>
      </c>
      <c r="I1584" s="81" t="s">
        <v>6774</v>
      </c>
      <c r="J1584" s="81" t="s">
        <v>2186</v>
      </c>
      <c r="K1584" s="81" t="s">
        <v>6774</v>
      </c>
      <c r="L1584" s="81" t="s">
        <v>2392</v>
      </c>
      <c r="M1584" s="81" t="s">
        <v>6774</v>
      </c>
      <c r="N1584" s="81" t="s">
        <v>2231</v>
      </c>
      <c r="O1584" s="81" t="s">
        <v>2187</v>
      </c>
      <c r="P1584" s="81" t="s">
        <v>2187</v>
      </c>
      <c r="Q1584" s="81" t="s">
        <v>43</v>
      </c>
      <c r="R1584" s="81" t="s">
        <v>51</v>
      </c>
      <c r="S1584" s="81" t="s">
        <v>81</v>
      </c>
      <c r="T1584" s="81" t="s">
        <v>49</v>
      </c>
      <c r="U1584" s="81" t="s">
        <v>48</v>
      </c>
      <c r="V1584" s="81" t="s">
        <v>48</v>
      </c>
      <c r="W1584" s="81" t="s">
        <v>49</v>
      </c>
      <c r="X1584" s="81" t="s">
        <v>48</v>
      </c>
      <c r="Y1584" s="81" t="s">
        <v>48</v>
      </c>
    </row>
    <row r="1585" spans="1:25" x14ac:dyDescent="0.3">
      <c r="A1585" s="16">
        <v>7501075727517</v>
      </c>
      <c r="B1585" s="81" t="s">
        <v>43</v>
      </c>
      <c r="C1585" s="81" t="s">
        <v>179</v>
      </c>
      <c r="D1585" s="81" t="s">
        <v>45</v>
      </c>
      <c r="E1585" s="81" t="s">
        <v>2444</v>
      </c>
      <c r="F1585" s="81" t="s">
        <v>2445</v>
      </c>
      <c r="G1585" s="81" t="s">
        <v>4404</v>
      </c>
      <c r="H1585" s="81" t="s">
        <v>2183</v>
      </c>
      <c r="I1585" s="81" t="s">
        <v>6775</v>
      </c>
      <c r="J1585" s="81" t="s">
        <v>2186</v>
      </c>
      <c r="K1585" s="81" t="s">
        <v>6775</v>
      </c>
      <c r="L1585" s="81" t="s">
        <v>2392</v>
      </c>
      <c r="M1585" s="81" t="s">
        <v>6775</v>
      </c>
      <c r="N1585" s="81" t="s">
        <v>2231</v>
      </c>
      <c r="O1585" s="81" t="s">
        <v>2187</v>
      </c>
      <c r="P1585" s="81" t="s">
        <v>2187</v>
      </c>
      <c r="Q1585" s="81" t="s">
        <v>180</v>
      </c>
      <c r="R1585" s="81" t="s">
        <v>46</v>
      </c>
      <c r="S1585" s="81" t="s">
        <v>47</v>
      </c>
      <c r="T1585" s="81" t="s">
        <v>48</v>
      </c>
      <c r="U1585" s="81" t="s">
        <v>48</v>
      </c>
      <c r="V1585" s="81" t="s">
        <v>48</v>
      </c>
      <c r="W1585" s="81" t="s">
        <v>49</v>
      </c>
      <c r="X1585" s="81" t="s">
        <v>48</v>
      </c>
      <c r="Y1585" s="81" t="s">
        <v>48</v>
      </c>
    </row>
    <row r="1586" spans="1:25" x14ac:dyDescent="0.3">
      <c r="A1586" s="16">
        <v>148138</v>
      </c>
      <c r="B1586" s="81" t="s">
        <v>43</v>
      </c>
      <c r="C1586" s="81" t="s">
        <v>1480</v>
      </c>
      <c r="D1586" s="81" t="s">
        <v>45</v>
      </c>
      <c r="E1586" s="81" t="s">
        <v>2227</v>
      </c>
      <c r="F1586" s="81" t="s">
        <v>2227</v>
      </c>
      <c r="G1586" s="81" t="s">
        <v>3968</v>
      </c>
      <c r="H1586" s="81" t="s">
        <v>3187</v>
      </c>
      <c r="I1586" s="81" t="s">
        <v>6776</v>
      </c>
      <c r="J1586" s="81" t="s">
        <v>2186</v>
      </c>
      <c r="K1586" s="81" t="s">
        <v>6776</v>
      </c>
      <c r="L1586" s="81" t="s">
        <v>2392</v>
      </c>
      <c r="M1586" s="81" t="s">
        <v>6776</v>
      </c>
      <c r="N1586" s="81" t="s">
        <v>2231</v>
      </c>
      <c r="O1586" s="81" t="s">
        <v>2187</v>
      </c>
      <c r="P1586" s="81" t="s">
        <v>2187</v>
      </c>
      <c r="Q1586" s="81" t="s">
        <v>43</v>
      </c>
      <c r="R1586" s="81" t="s">
        <v>122</v>
      </c>
      <c r="S1586" s="81" t="s">
        <v>123</v>
      </c>
      <c r="T1586" s="81" t="s">
        <v>48</v>
      </c>
      <c r="U1586" s="81" t="s">
        <v>48</v>
      </c>
      <c r="V1586" s="81" t="s">
        <v>49</v>
      </c>
      <c r="W1586" s="81" t="s">
        <v>48</v>
      </c>
      <c r="X1586" s="81" t="s">
        <v>48</v>
      </c>
      <c r="Y1586" s="81" t="s">
        <v>48</v>
      </c>
    </row>
    <row r="1587" spans="1:25" x14ac:dyDescent="0.3">
      <c r="A1587" s="16">
        <v>7501072300218</v>
      </c>
      <c r="B1587" s="81" t="s">
        <v>43</v>
      </c>
      <c r="C1587" s="81" t="s">
        <v>1481</v>
      </c>
      <c r="D1587" s="81" t="s">
        <v>45</v>
      </c>
      <c r="E1587" s="81" t="s">
        <v>2227</v>
      </c>
      <c r="F1587" s="81" t="s">
        <v>2227</v>
      </c>
      <c r="G1587" s="81" t="s">
        <v>3969</v>
      </c>
      <c r="H1587" s="81" t="s">
        <v>2552</v>
      </c>
      <c r="I1587" s="81" t="s">
        <v>6777</v>
      </c>
      <c r="J1587" s="81" t="s">
        <v>2186</v>
      </c>
      <c r="K1587" s="81" t="s">
        <v>6777</v>
      </c>
      <c r="L1587" s="81" t="s">
        <v>2392</v>
      </c>
      <c r="M1587" s="81" t="s">
        <v>6777</v>
      </c>
      <c r="N1587" s="81" t="s">
        <v>2231</v>
      </c>
      <c r="O1587" s="81" t="s">
        <v>2187</v>
      </c>
      <c r="P1587" s="81" t="s">
        <v>2187</v>
      </c>
      <c r="Q1587" s="81" t="s">
        <v>43</v>
      </c>
      <c r="R1587" s="81" t="s">
        <v>525</v>
      </c>
      <c r="S1587" s="81" t="s">
        <v>525</v>
      </c>
      <c r="T1587" s="81" t="s">
        <v>48</v>
      </c>
      <c r="U1587" s="81" t="s">
        <v>48</v>
      </c>
      <c r="V1587" s="81" t="s">
        <v>48</v>
      </c>
      <c r="W1587" s="81" t="s">
        <v>49</v>
      </c>
      <c r="X1587" s="81" t="s">
        <v>48</v>
      </c>
      <c r="Y1587" s="81" t="s">
        <v>48</v>
      </c>
    </row>
    <row r="1588" spans="1:25" x14ac:dyDescent="0.3">
      <c r="A1588" s="16">
        <v>7506476200164</v>
      </c>
      <c r="B1588" s="81" t="s">
        <v>43</v>
      </c>
      <c r="C1588" s="81" t="s">
        <v>3970</v>
      </c>
      <c r="D1588" s="81" t="s">
        <v>45</v>
      </c>
      <c r="E1588" s="81" t="s">
        <v>2227</v>
      </c>
      <c r="F1588" s="81" t="s">
        <v>2227</v>
      </c>
      <c r="G1588" s="81" t="s">
        <v>4460</v>
      </c>
      <c r="H1588" s="81" t="s">
        <v>2269</v>
      </c>
      <c r="I1588" s="81" t="s">
        <v>6778</v>
      </c>
      <c r="J1588" s="81" t="s">
        <v>2186</v>
      </c>
      <c r="K1588" s="81" t="s">
        <v>6778</v>
      </c>
      <c r="L1588" s="81" t="s">
        <v>2392</v>
      </c>
      <c r="M1588" s="81" t="s">
        <v>6778</v>
      </c>
      <c r="N1588" s="81" t="s">
        <v>2231</v>
      </c>
      <c r="O1588" s="81" t="s">
        <v>2187</v>
      </c>
      <c r="P1588" s="81" t="s">
        <v>2187</v>
      </c>
      <c r="Q1588" s="81" t="s">
        <v>43</v>
      </c>
      <c r="R1588" s="81" t="s">
        <v>46</v>
      </c>
      <c r="S1588" s="81" t="s">
        <v>47</v>
      </c>
      <c r="T1588" s="81" t="s">
        <v>48</v>
      </c>
      <c r="U1588" s="81" t="s">
        <v>48</v>
      </c>
      <c r="V1588" s="81" t="s">
        <v>48</v>
      </c>
      <c r="W1588" s="81" t="s">
        <v>49</v>
      </c>
      <c r="X1588" s="81" t="s">
        <v>48</v>
      </c>
      <c r="Y1588" s="81" t="s">
        <v>48</v>
      </c>
    </row>
    <row r="1589" spans="1:25" x14ac:dyDescent="0.3">
      <c r="A1589" s="16">
        <v>7506476200171</v>
      </c>
      <c r="B1589" s="81" t="s">
        <v>43</v>
      </c>
      <c r="C1589" s="81" t="s">
        <v>3971</v>
      </c>
      <c r="D1589" s="81" t="s">
        <v>45</v>
      </c>
      <c r="E1589" s="81" t="s">
        <v>2227</v>
      </c>
      <c r="F1589" s="81" t="s">
        <v>2227</v>
      </c>
      <c r="G1589" s="81" t="s">
        <v>5417</v>
      </c>
      <c r="H1589" s="81" t="s">
        <v>2217</v>
      </c>
      <c r="I1589" s="81" t="s">
        <v>6779</v>
      </c>
      <c r="J1589" s="81" t="s">
        <v>2186</v>
      </c>
      <c r="K1589" s="81" t="s">
        <v>6779</v>
      </c>
      <c r="L1589" s="81" t="s">
        <v>2392</v>
      </c>
      <c r="M1589" s="81" t="s">
        <v>6779</v>
      </c>
      <c r="N1589" s="81" t="s">
        <v>2231</v>
      </c>
      <c r="O1589" s="81" t="s">
        <v>2187</v>
      </c>
      <c r="P1589" s="81" t="s">
        <v>2187</v>
      </c>
      <c r="Q1589" s="81" t="s">
        <v>43</v>
      </c>
      <c r="R1589" s="81" t="s">
        <v>46</v>
      </c>
      <c r="S1589" s="81" t="s">
        <v>47</v>
      </c>
      <c r="T1589" s="81" t="s">
        <v>48</v>
      </c>
      <c r="U1589" s="81" t="s">
        <v>48</v>
      </c>
      <c r="V1589" s="81" t="s">
        <v>48</v>
      </c>
      <c r="W1589" s="81" t="s">
        <v>49</v>
      </c>
      <c r="X1589" s="81" t="s">
        <v>48</v>
      </c>
      <c r="Y1589" s="81" t="s">
        <v>48</v>
      </c>
    </row>
    <row r="1590" spans="1:25" x14ac:dyDescent="0.3">
      <c r="A1590" s="16">
        <v>7501349024243</v>
      </c>
      <c r="B1590" s="81" t="s">
        <v>43</v>
      </c>
      <c r="C1590" s="81" t="s">
        <v>3972</v>
      </c>
      <c r="D1590" s="81" t="s">
        <v>45</v>
      </c>
      <c r="E1590" s="81" t="s">
        <v>2227</v>
      </c>
      <c r="F1590" s="81" t="s">
        <v>2227</v>
      </c>
      <c r="G1590" s="81" t="s">
        <v>3973</v>
      </c>
      <c r="H1590" s="81" t="s">
        <v>2434</v>
      </c>
      <c r="I1590" s="81" t="s">
        <v>6780</v>
      </c>
      <c r="J1590" s="81" t="s">
        <v>2186</v>
      </c>
      <c r="K1590" s="81" t="s">
        <v>6780</v>
      </c>
      <c r="L1590" s="81" t="s">
        <v>2392</v>
      </c>
      <c r="M1590" s="81" t="s">
        <v>6780</v>
      </c>
      <c r="N1590" s="81" t="s">
        <v>2231</v>
      </c>
      <c r="O1590" s="81" t="s">
        <v>2187</v>
      </c>
      <c r="P1590" s="81" t="s">
        <v>2187</v>
      </c>
      <c r="Q1590" s="81" t="s">
        <v>43</v>
      </c>
      <c r="R1590" s="81" t="s">
        <v>203</v>
      </c>
      <c r="S1590" s="81" t="s">
        <v>203</v>
      </c>
      <c r="T1590" s="81" t="s">
        <v>48</v>
      </c>
      <c r="U1590" s="81" t="s">
        <v>48</v>
      </c>
      <c r="V1590" s="81" t="s">
        <v>48</v>
      </c>
      <c r="W1590" s="81" t="s">
        <v>49</v>
      </c>
      <c r="X1590" s="81" t="s">
        <v>48</v>
      </c>
      <c r="Y1590" s="81" t="s">
        <v>48</v>
      </c>
    </row>
    <row r="1591" spans="1:25" x14ac:dyDescent="0.3">
      <c r="A1591" s="16" t="s">
        <v>1482</v>
      </c>
      <c r="B1591" s="81" t="s">
        <v>43</v>
      </c>
      <c r="C1591" s="81" t="s">
        <v>1677</v>
      </c>
      <c r="D1591" s="81" t="s">
        <v>45</v>
      </c>
      <c r="E1591" s="81" t="s">
        <v>2216</v>
      </c>
      <c r="F1591" s="81" t="s">
        <v>2684</v>
      </c>
      <c r="G1591" s="81" t="s">
        <v>3974</v>
      </c>
      <c r="H1591" s="81" t="s">
        <v>6781</v>
      </c>
      <c r="I1591" s="81" t="s">
        <v>6782</v>
      </c>
      <c r="J1591" s="81" t="s">
        <v>2186</v>
      </c>
      <c r="K1591" s="81" t="s">
        <v>6782</v>
      </c>
      <c r="L1591" s="81" t="s">
        <v>2392</v>
      </c>
      <c r="M1591" s="81" t="s">
        <v>6782</v>
      </c>
      <c r="N1591" s="81" t="s">
        <v>2231</v>
      </c>
      <c r="O1591" s="81" t="s">
        <v>2187</v>
      </c>
      <c r="P1591" s="81" t="s">
        <v>2187</v>
      </c>
      <c r="Q1591" s="81" t="s">
        <v>43</v>
      </c>
      <c r="R1591" s="81" t="s">
        <v>46</v>
      </c>
      <c r="S1591" s="81" t="s">
        <v>46</v>
      </c>
      <c r="T1591" s="81" t="s">
        <v>48</v>
      </c>
      <c r="U1591" s="81" t="s">
        <v>48</v>
      </c>
      <c r="V1591" s="81" t="s">
        <v>48</v>
      </c>
      <c r="W1591" s="81" t="s">
        <v>49</v>
      </c>
      <c r="X1591" s="81" t="s">
        <v>48</v>
      </c>
      <c r="Y1591" s="81" t="s">
        <v>48</v>
      </c>
    </row>
    <row r="1592" spans="1:25" x14ac:dyDescent="0.3">
      <c r="A1592" s="16">
        <v>7502009749162</v>
      </c>
      <c r="B1592" s="81" t="s">
        <v>43</v>
      </c>
      <c r="C1592" s="81" t="s">
        <v>3975</v>
      </c>
      <c r="D1592" s="81" t="s">
        <v>45</v>
      </c>
      <c r="E1592" s="81" t="s">
        <v>2227</v>
      </c>
      <c r="F1592" s="81" t="s">
        <v>2227</v>
      </c>
      <c r="G1592" s="81" t="s">
        <v>5444</v>
      </c>
      <c r="H1592" s="81" t="s">
        <v>2315</v>
      </c>
      <c r="I1592" s="81" t="s">
        <v>6783</v>
      </c>
      <c r="J1592" s="81" t="s">
        <v>2186</v>
      </c>
      <c r="K1592" s="81" t="s">
        <v>6783</v>
      </c>
      <c r="L1592" s="81" t="s">
        <v>2392</v>
      </c>
      <c r="M1592" s="81" t="s">
        <v>6783</v>
      </c>
      <c r="N1592" s="81" t="s">
        <v>2231</v>
      </c>
      <c r="O1592" s="81" t="s">
        <v>2187</v>
      </c>
      <c r="P1592" s="81" t="s">
        <v>2187</v>
      </c>
      <c r="Q1592" s="81" t="s">
        <v>43</v>
      </c>
      <c r="R1592" s="81" t="s">
        <v>46</v>
      </c>
      <c r="S1592" s="81" t="s">
        <v>46</v>
      </c>
      <c r="T1592" s="81" t="s">
        <v>48</v>
      </c>
      <c r="U1592" s="81" t="s">
        <v>48</v>
      </c>
      <c r="V1592" s="81" t="s">
        <v>48</v>
      </c>
      <c r="W1592" s="81" t="s">
        <v>49</v>
      </c>
      <c r="X1592" s="81" t="s">
        <v>48</v>
      </c>
      <c r="Y1592" s="81" t="s">
        <v>48</v>
      </c>
    </row>
    <row r="1593" spans="1:25" x14ac:dyDescent="0.3">
      <c r="A1593" s="16">
        <v>7502240450988</v>
      </c>
      <c r="B1593" s="81" t="s">
        <v>43</v>
      </c>
      <c r="C1593" s="81" t="s">
        <v>2055</v>
      </c>
      <c r="D1593" s="81" t="s">
        <v>45</v>
      </c>
      <c r="E1593" s="81" t="s">
        <v>2227</v>
      </c>
      <c r="F1593" s="81" t="s">
        <v>2227</v>
      </c>
      <c r="G1593" s="81" t="s">
        <v>3704</v>
      </c>
      <c r="H1593" s="81" t="s">
        <v>2993</v>
      </c>
      <c r="I1593" s="81" t="s">
        <v>4496</v>
      </c>
      <c r="J1593" s="81" t="s">
        <v>2186</v>
      </c>
      <c r="K1593" s="81" t="s">
        <v>4497</v>
      </c>
      <c r="L1593" s="81" t="s">
        <v>2392</v>
      </c>
      <c r="M1593" s="81" t="s">
        <v>4498</v>
      </c>
      <c r="N1593" s="81" t="s">
        <v>2231</v>
      </c>
      <c r="O1593" s="81" t="s">
        <v>2187</v>
      </c>
      <c r="P1593" s="81" t="s">
        <v>2187</v>
      </c>
      <c r="Q1593" s="81" t="s">
        <v>43</v>
      </c>
      <c r="R1593" s="81" t="s">
        <v>203</v>
      </c>
      <c r="S1593" s="81" t="s">
        <v>203</v>
      </c>
      <c r="T1593" s="81" t="s">
        <v>48</v>
      </c>
      <c r="U1593" s="81" t="s">
        <v>48</v>
      </c>
      <c r="V1593" s="81" t="s">
        <v>48</v>
      </c>
      <c r="W1593" s="81" t="s">
        <v>49</v>
      </c>
      <c r="X1593" s="81" t="s">
        <v>48</v>
      </c>
      <c r="Y1593" s="81" t="s">
        <v>48</v>
      </c>
    </row>
    <row r="1594" spans="1:25" x14ac:dyDescent="0.3">
      <c r="A1594" s="16" t="s">
        <v>1483</v>
      </c>
      <c r="B1594" s="81" t="s">
        <v>43</v>
      </c>
      <c r="C1594" s="81" t="s">
        <v>1484</v>
      </c>
      <c r="D1594" s="81" t="s">
        <v>45</v>
      </c>
      <c r="E1594" s="81" t="s">
        <v>2388</v>
      </c>
      <c r="F1594" s="81" t="s">
        <v>2389</v>
      </c>
      <c r="G1594" s="81" t="s">
        <v>2883</v>
      </c>
      <c r="H1594" s="81" t="s">
        <v>2209</v>
      </c>
      <c r="I1594" s="81" t="s">
        <v>6560</v>
      </c>
      <c r="J1594" s="81" t="s">
        <v>2186</v>
      </c>
      <c r="K1594" s="81" t="s">
        <v>6560</v>
      </c>
      <c r="L1594" s="81" t="s">
        <v>2392</v>
      </c>
      <c r="M1594" s="81" t="s">
        <v>6560</v>
      </c>
      <c r="N1594" s="81" t="s">
        <v>2231</v>
      </c>
      <c r="O1594" s="81" t="s">
        <v>2187</v>
      </c>
      <c r="P1594" s="81" t="s">
        <v>2187</v>
      </c>
      <c r="Q1594" s="81" t="s">
        <v>149</v>
      </c>
      <c r="R1594" s="81" t="s">
        <v>46</v>
      </c>
      <c r="S1594" s="81" t="s">
        <v>47</v>
      </c>
      <c r="T1594" s="81" t="s">
        <v>48</v>
      </c>
      <c r="U1594" s="81" t="s">
        <v>48</v>
      </c>
      <c r="V1594" s="81" t="s">
        <v>48</v>
      </c>
      <c r="W1594" s="81" t="s">
        <v>49</v>
      </c>
      <c r="X1594" s="81" t="s">
        <v>48</v>
      </c>
      <c r="Y1594" s="81" t="s">
        <v>48</v>
      </c>
    </row>
    <row r="1595" spans="1:25" x14ac:dyDescent="0.3">
      <c r="A1595" s="16" t="s">
        <v>1485</v>
      </c>
      <c r="B1595" s="81" t="s">
        <v>43</v>
      </c>
      <c r="C1595" s="81" t="s">
        <v>1486</v>
      </c>
      <c r="D1595" s="81" t="s">
        <v>45</v>
      </c>
      <c r="E1595" s="81" t="s">
        <v>2227</v>
      </c>
      <c r="F1595" s="81" t="s">
        <v>2227</v>
      </c>
      <c r="G1595" s="81" t="s">
        <v>3976</v>
      </c>
      <c r="H1595" s="81" t="s">
        <v>6784</v>
      </c>
      <c r="I1595" s="81" t="s">
        <v>6785</v>
      </c>
      <c r="J1595" s="81" t="s">
        <v>2186</v>
      </c>
      <c r="K1595" s="81" t="s">
        <v>6785</v>
      </c>
      <c r="L1595" s="81" t="s">
        <v>2392</v>
      </c>
      <c r="M1595" s="81" t="s">
        <v>6785</v>
      </c>
      <c r="N1595" s="81" t="s">
        <v>2231</v>
      </c>
      <c r="O1595" s="81" t="s">
        <v>2187</v>
      </c>
      <c r="P1595" s="81" t="s">
        <v>2187</v>
      </c>
      <c r="Q1595" s="81" t="s">
        <v>43</v>
      </c>
      <c r="R1595" s="81" t="s">
        <v>524</v>
      </c>
      <c r="S1595" s="81" t="s">
        <v>525</v>
      </c>
      <c r="T1595" s="81" t="s">
        <v>48</v>
      </c>
      <c r="U1595" s="81" t="s">
        <v>48</v>
      </c>
      <c r="V1595" s="81" t="s">
        <v>49</v>
      </c>
      <c r="W1595" s="81" t="s">
        <v>48</v>
      </c>
      <c r="X1595" s="81" t="s">
        <v>48</v>
      </c>
      <c r="Y1595" s="81" t="s">
        <v>48</v>
      </c>
    </row>
    <row r="1596" spans="1:25" x14ac:dyDescent="0.3">
      <c r="A1596" s="16" t="s">
        <v>1487</v>
      </c>
      <c r="B1596" s="81" t="s">
        <v>43</v>
      </c>
      <c r="C1596" s="81" t="s">
        <v>1488</v>
      </c>
      <c r="D1596" s="81" t="s">
        <v>45</v>
      </c>
      <c r="E1596" s="81" t="s">
        <v>2227</v>
      </c>
      <c r="F1596" s="81" t="s">
        <v>2227</v>
      </c>
      <c r="G1596" s="81" t="s">
        <v>3977</v>
      </c>
      <c r="H1596" s="81" t="s">
        <v>6786</v>
      </c>
      <c r="I1596" s="81" t="s">
        <v>6787</v>
      </c>
      <c r="J1596" s="81" t="s">
        <v>2186</v>
      </c>
      <c r="K1596" s="81" t="s">
        <v>6787</v>
      </c>
      <c r="L1596" s="81" t="s">
        <v>2392</v>
      </c>
      <c r="M1596" s="81" t="s">
        <v>6787</v>
      </c>
      <c r="N1596" s="81" t="s">
        <v>2231</v>
      </c>
      <c r="O1596" s="81" t="s">
        <v>2187</v>
      </c>
      <c r="P1596" s="81" t="s">
        <v>2187</v>
      </c>
      <c r="Q1596" s="81" t="s">
        <v>43</v>
      </c>
      <c r="R1596" s="81" t="s">
        <v>203</v>
      </c>
      <c r="S1596" s="81" t="s">
        <v>203</v>
      </c>
      <c r="T1596" s="81" t="s">
        <v>48</v>
      </c>
      <c r="U1596" s="81" t="s">
        <v>48</v>
      </c>
      <c r="V1596" s="81" t="s">
        <v>48</v>
      </c>
      <c r="W1596" s="81" t="s">
        <v>49</v>
      </c>
      <c r="X1596" s="81" t="s">
        <v>48</v>
      </c>
      <c r="Y1596" s="81" t="s">
        <v>48</v>
      </c>
    </row>
    <row r="1597" spans="1:25" x14ac:dyDescent="0.3">
      <c r="A1597" s="16" t="s">
        <v>1489</v>
      </c>
      <c r="B1597" s="81" t="s">
        <v>43</v>
      </c>
      <c r="C1597" s="81" t="s">
        <v>1490</v>
      </c>
      <c r="D1597" s="81" t="s">
        <v>45</v>
      </c>
      <c r="E1597" s="81" t="s">
        <v>2227</v>
      </c>
      <c r="F1597" s="81" t="s">
        <v>2227</v>
      </c>
      <c r="G1597" s="81" t="s">
        <v>3978</v>
      </c>
      <c r="H1597" s="81" t="s">
        <v>6788</v>
      </c>
      <c r="I1597" s="81" t="s">
        <v>6789</v>
      </c>
      <c r="J1597" s="81" t="s">
        <v>2186</v>
      </c>
      <c r="K1597" s="81" t="s">
        <v>6789</v>
      </c>
      <c r="L1597" s="81" t="s">
        <v>2392</v>
      </c>
      <c r="M1597" s="81" t="s">
        <v>6789</v>
      </c>
      <c r="N1597" s="81" t="s">
        <v>2231</v>
      </c>
      <c r="O1597" s="81" t="s">
        <v>2187</v>
      </c>
      <c r="P1597" s="81" t="s">
        <v>2187</v>
      </c>
      <c r="Q1597" s="81" t="s">
        <v>43</v>
      </c>
      <c r="R1597" s="81" t="s">
        <v>374</v>
      </c>
      <c r="S1597" s="81" t="s">
        <v>374</v>
      </c>
      <c r="T1597" s="81" t="s">
        <v>48</v>
      </c>
      <c r="U1597" s="81" t="s">
        <v>48</v>
      </c>
      <c r="V1597" s="81" t="s">
        <v>48</v>
      </c>
      <c r="W1597" s="81" t="s">
        <v>49</v>
      </c>
      <c r="X1597" s="81" t="s">
        <v>48</v>
      </c>
      <c r="Y1597" s="81" t="s">
        <v>48</v>
      </c>
    </row>
    <row r="1598" spans="1:25" x14ac:dyDescent="0.3">
      <c r="A1598" s="16" t="s">
        <v>1491</v>
      </c>
      <c r="B1598" s="81" t="s">
        <v>43</v>
      </c>
      <c r="C1598" s="81" t="s">
        <v>1744</v>
      </c>
      <c r="D1598" s="81" t="s">
        <v>45</v>
      </c>
      <c r="E1598" s="81" t="s">
        <v>2354</v>
      </c>
      <c r="F1598" s="81" t="s">
        <v>2355</v>
      </c>
      <c r="G1598" s="81" t="s">
        <v>3979</v>
      </c>
      <c r="H1598" s="81" t="s">
        <v>3308</v>
      </c>
      <c r="I1598" s="81" t="s">
        <v>6790</v>
      </c>
      <c r="J1598" s="81" t="s">
        <v>2186</v>
      </c>
      <c r="K1598" s="81" t="s">
        <v>6790</v>
      </c>
      <c r="L1598" s="81" t="s">
        <v>2392</v>
      </c>
      <c r="M1598" s="81" t="s">
        <v>6790</v>
      </c>
      <c r="N1598" s="81" t="s">
        <v>2231</v>
      </c>
      <c r="O1598" s="81" t="s">
        <v>2187</v>
      </c>
      <c r="P1598" s="81" t="s">
        <v>2187</v>
      </c>
      <c r="Q1598" s="81" t="s">
        <v>43</v>
      </c>
      <c r="R1598" s="81" t="s">
        <v>203</v>
      </c>
      <c r="S1598" s="81" t="s">
        <v>164</v>
      </c>
      <c r="T1598" s="81" t="s">
        <v>48</v>
      </c>
      <c r="U1598" s="81" t="s">
        <v>48</v>
      </c>
      <c r="V1598" s="81" t="s">
        <v>48</v>
      </c>
      <c r="W1598" s="81" t="s">
        <v>49</v>
      </c>
      <c r="X1598" s="81" t="s">
        <v>48</v>
      </c>
      <c r="Y1598" s="81" t="s">
        <v>48</v>
      </c>
    </row>
    <row r="1599" spans="1:25" x14ac:dyDescent="0.3">
      <c r="A1599" s="16" t="s">
        <v>1492</v>
      </c>
      <c r="B1599" s="81" t="s">
        <v>43</v>
      </c>
      <c r="C1599" s="81" t="s">
        <v>1493</v>
      </c>
      <c r="D1599" s="81" t="s">
        <v>45</v>
      </c>
      <c r="E1599" s="81" t="s">
        <v>2227</v>
      </c>
      <c r="F1599" s="81" t="s">
        <v>2227</v>
      </c>
      <c r="G1599" s="81" t="s">
        <v>3736</v>
      </c>
      <c r="H1599" s="81" t="s">
        <v>2949</v>
      </c>
      <c r="I1599" s="81" t="s">
        <v>3628</v>
      </c>
      <c r="J1599" s="81" t="s">
        <v>2186</v>
      </c>
      <c r="K1599" s="81" t="s">
        <v>3628</v>
      </c>
      <c r="L1599" s="81" t="s">
        <v>2392</v>
      </c>
      <c r="M1599" s="81" t="s">
        <v>3628</v>
      </c>
      <c r="N1599" s="81" t="s">
        <v>2231</v>
      </c>
      <c r="O1599" s="81" t="s">
        <v>2187</v>
      </c>
      <c r="P1599" s="81" t="s">
        <v>2187</v>
      </c>
      <c r="Q1599" s="81" t="s">
        <v>43</v>
      </c>
      <c r="R1599" s="81" t="s">
        <v>203</v>
      </c>
      <c r="S1599" s="81" t="s">
        <v>203</v>
      </c>
      <c r="T1599" s="81" t="s">
        <v>48</v>
      </c>
      <c r="U1599" s="81" t="s">
        <v>48</v>
      </c>
      <c r="V1599" s="81" t="s">
        <v>49</v>
      </c>
      <c r="W1599" s="81" t="s">
        <v>48</v>
      </c>
      <c r="X1599" s="81" t="s">
        <v>48</v>
      </c>
      <c r="Y1599" s="81" t="s">
        <v>48</v>
      </c>
    </row>
    <row r="1600" spans="1:25" x14ac:dyDescent="0.3">
      <c r="A1600" s="16" t="s">
        <v>1494</v>
      </c>
      <c r="B1600" s="81" t="s">
        <v>43</v>
      </c>
      <c r="C1600" s="81" t="s">
        <v>1495</v>
      </c>
      <c r="D1600" s="81" t="s">
        <v>45</v>
      </c>
      <c r="E1600" s="81" t="s">
        <v>2557</v>
      </c>
      <c r="F1600" s="81" t="s">
        <v>2613</v>
      </c>
      <c r="G1600" s="81" t="s">
        <v>3445</v>
      </c>
      <c r="H1600" s="81" t="s">
        <v>3015</v>
      </c>
      <c r="I1600" s="81" t="s">
        <v>6217</v>
      </c>
      <c r="J1600" s="81" t="s">
        <v>2186</v>
      </c>
      <c r="K1600" s="81" t="s">
        <v>6217</v>
      </c>
      <c r="L1600" s="81" t="s">
        <v>2392</v>
      </c>
      <c r="M1600" s="81" t="s">
        <v>6217</v>
      </c>
      <c r="N1600" s="81" t="s">
        <v>2231</v>
      </c>
      <c r="O1600" s="81" t="s">
        <v>2187</v>
      </c>
      <c r="P1600" s="81" t="s">
        <v>2187</v>
      </c>
      <c r="Q1600" s="81" t="s">
        <v>43</v>
      </c>
      <c r="R1600" s="81" t="s">
        <v>203</v>
      </c>
      <c r="S1600" s="81" t="s">
        <v>203</v>
      </c>
      <c r="T1600" s="81" t="s">
        <v>48</v>
      </c>
      <c r="U1600" s="81" t="s">
        <v>48</v>
      </c>
      <c r="V1600" s="81" t="s">
        <v>49</v>
      </c>
      <c r="W1600" s="81" t="s">
        <v>48</v>
      </c>
      <c r="X1600" s="81" t="s">
        <v>48</v>
      </c>
      <c r="Y1600" s="81" t="s">
        <v>48</v>
      </c>
    </row>
    <row r="1601" spans="1:25" x14ac:dyDescent="0.3">
      <c r="A1601" s="16" t="s">
        <v>1496</v>
      </c>
      <c r="B1601" s="81" t="s">
        <v>43</v>
      </c>
      <c r="C1601" s="81" t="s">
        <v>1497</v>
      </c>
      <c r="D1601" s="81" t="s">
        <v>45</v>
      </c>
      <c r="E1601" s="81" t="s">
        <v>2442</v>
      </c>
      <c r="F1601" s="81" t="s">
        <v>2443</v>
      </c>
      <c r="G1601" s="81" t="s">
        <v>3446</v>
      </c>
      <c r="H1601" s="81" t="s">
        <v>6218</v>
      </c>
      <c r="I1601" s="81" t="s">
        <v>6219</v>
      </c>
      <c r="J1601" s="81" t="s">
        <v>2186</v>
      </c>
      <c r="K1601" s="81" t="s">
        <v>6219</v>
      </c>
      <c r="L1601" s="81" t="s">
        <v>2392</v>
      </c>
      <c r="M1601" s="81" t="s">
        <v>6219</v>
      </c>
      <c r="N1601" s="81" t="s">
        <v>2231</v>
      </c>
      <c r="O1601" s="81" t="s">
        <v>2187</v>
      </c>
      <c r="P1601" s="81" t="s">
        <v>2187</v>
      </c>
      <c r="Q1601" s="81" t="s">
        <v>43</v>
      </c>
      <c r="R1601" s="81" t="s">
        <v>203</v>
      </c>
      <c r="S1601" s="81" t="s">
        <v>203</v>
      </c>
      <c r="T1601" s="81" t="s">
        <v>48</v>
      </c>
      <c r="U1601" s="81" t="s">
        <v>48</v>
      </c>
      <c r="V1601" s="81" t="s">
        <v>49</v>
      </c>
      <c r="W1601" s="81" t="s">
        <v>48</v>
      </c>
      <c r="X1601" s="81" t="s">
        <v>48</v>
      </c>
      <c r="Y1601" s="81" t="s">
        <v>48</v>
      </c>
    </row>
    <row r="1602" spans="1:25" x14ac:dyDescent="0.3">
      <c r="A1602" s="16" t="s">
        <v>1498</v>
      </c>
      <c r="B1602" s="81" t="s">
        <v>43</v>
      </c>
      <c r="C1602" s="81" t="s">
        <v>1499</v>
      </c>
      <c r="D1602" s="81" t="s">
        <v>45</v>
      </c>
      <c r="E1602" s="81" t="s">
        <v>2227</v>
      </c>
      <c r="F1602" s="81" t="s">
        <v>2227</v>
      </c>
      <c r="G1602" s="81" t="s">
        <v>2403</v>
      </c>
      <c r="H1602" s="81" t="s">
        <v>6791</v>
      </c>
      <c r="I1602" s="81" t="s">
        <v>5662</v>
      </c>
      <c r="J1602" s="81" t="s">
        <v>2186</v>
      </c>
      <c r="K1602" s="81" t="s">
        <v>5662</v>
      </c>
      <c r="L1602" s="81" t="s">
        <v>2392</v>
      </c>
      <c r="M1602" s="81" t="s">
        <v>5662</v>
      </c>
      <c r="N1602" s="81" t="s">
        <v>2231</v>
      </c>
      <c r="O1602" s="81" t="s">
        <v>2187</v>
      </c>
      <c r="P1602" s="81" t="s">
        <v>2187</v>
      </c>
      <c r="Q1602" s="81" t="s">
        <v>43</v>
      </c>
      <c r="R1602" s="81" t="s">
        <v>46</v>
      </c>
      <c r="S1602" s="81" t="s">
        <v>46</v>
      </c>
      <c r="T1602" s="81" t="s">
        <v>48</v>
      </c>
      <c r="U1602" s="81" t="s">
        <v>48</v>
      </c>
      <c r="V1602" s="81" t="s">
        <v>48</v>
      </c>
      <c r="W1602" s="81" t="s">
        <v>49</v>
      </c>
      <c r="X1602" s="81" t="s">
        <v>48</v>
      </c>
      <c r="Y1602" s="81" t="s">
        <v>48</v>
      </c>
    </row>
    <row r="1603" spans="1:25" x14ac:dyDescent="0.3">
      <c r="A1603" s="16" t="s">
        <v>1500</v>
      </c>
      <c r="B1603" s="81" t="s">
        <v>43</v>
      </c>
      <c r="C1603" s="81" t="s">
        <v>1501</v>
      </c>
      <c r="D1603" s="81" t="s">
        <v>45</v>
      </c>
      <c r="E1603" s="81" t="s">
        <v>2939</v>
      </c>
      <c r="F1603" s="81" t="s">
        <v>2689</v>
      </c>
      <c r="G1603" s="81" t="s">
        <v>3637</v>
      </c>
      <c r="H1603" s="81" t="s">
        <v>6792</v>
      </c>
      <c r="I1603" s="81" t="s">
        <v>6793</v>
      </c>
      <c r="J1603" s="81" t="s">
        <v>2186</v>
      </c>
      <c r="K1603" s="81" t="s">
        <v>6793</v>
      </c>
      <c r="L1603" s="81" t="s">
        <v>2392</v>
      </c>
      <c r="M1603" s="81" t="s">
        <v>6793</v>
      </c>
      <c r="N1603" s="81" t="s">
        <v>2231</v>
      </c>
      <c r="O1603" s="81" t="s">
        <v>2187</v>
      </c>
      <c r="P1603" s="81" t="s">
        <v>2187</v>
      </c>
      <c r="Q1603" s="81" t="s">
        <v>43</v>
      </c>
      <c r="R1603" s="81" t="s">
        <v>203</v>
      </c>
      <c r="S1603" s="81" t="s">
        <v>203</v>
      </c>
      <c r="T1603" s="81" t="s">
        <v>48</v>
      </c>
      <c r="U1603" s="81" t="s">
        <v>48</v>
      </c>
      <c r="V1603" s="81" t="s">
        <v>48</v>
      </c>
      <c r="W1603" s="81" t="s">
        <v>49</v>
      </c>
      <c r="X1603" s="81" t="s">
        <v>48</v>
      </c>
      <c r="Y1603" s="81" t="s">
        <v>48</v>
      </c>
    </row>
    <row r="1604" spans="1:25" x14ac:dyDescent="0.3">
      <c r="A1604" s="16" t="s">
        <v>1502</v>
      </c>
      <c r="B1604" s="81" t="s">
        <v>43</v>
      </c>
      <c r="C1604" s="81" t="s">
        <v>1503</v>
      </c>
      <c r="D1604" s="81" t="s">
        <v>45</v>
      </c>
      <c r="E1604" s="81" t="s">
        <v>2227</v>
      </c>
      <c r="F1604" s="81" t="s">
        <v>2227</v>
      </c>
      <c r="G1604" s="81" t="s">
        <v>3976</v>
      </c>
      <c r="H1604" s="81" t="s">
        <v>6784</v>
      </c>
      <c r="I1604" s="81" t="s">
        <v>6785</v>
      </c>
      <c r="J1604" s="81" t="s">
        <v>2186</v>
      </c>
      <c r="K1604" s="81" t="s">
        <v>6785</v>
      </c>
      <c r="L1604" s="81" t="s">
        <v>2392</v>
      </c>
      <c r="M1604" s="81" t="s">
        <v>6785</v>
      </c>
      <c r="N1604" s="81" t="s">
        <v>2231</v>
      </c>
      <c r="O1604" s="81" t="s">
        <v>2187</v>
      </c>
      <c r="P1604" s="81" t="s">
        <v>2187</v>
      </c>
      <c r="Q1604" s="81" t="s">
        <v>43</v>
      </c>
      <c r="R1604" s="81" t="s">
        <v>524</v>
      </c>
      <c r="S1604" s="81" t="s">
        <v>525</v>
      </c>
      <c r="T1604" s="81" t="s">
        <v>48</v>
      </c>
      <c r="U1604" s="81" t="s">
        <v>48</v>
      </c>
      <c r="V1604" s="81" t="s">
        <v>49</v>
      </c>
      <c r="W1604" s="81" t="s">
        <v>48</v>
      </c>
      <c r="X1604" s="81" t="s">
        <v>48</v>
      </c>
      <c r="Y1604" s="81" t="s">
        <v>48</v>
      </c>
    </row>
    <row r="1605" spans="1:25" x14ac:dyDescent="0.3">
      <c r="A1605" s="16" t="s">
        <v>1504</v>
      </c>
      <c r="B1605" s="81" t="s">
        <v>43</v>
      </c>
      <c r="C1605" s="81" t="s">
        <v>1505</v>
      </c>
      <c r="D1605" s="81" t="s">
        <v>45</v>
      </c>
      <c r="E1605" s="81" t="s">
        <v>2528</v>
      </c>
      <c r="F1605" s="81" t="s">
        <v>2529</v>
      </c>
      <c r="G1605" s="81" t="s">
        <v>3980</v>
      </c>
      <c r="H1605" s="81" t="s">
        <v>2611</v>
      </c>
      <c r="I1605" s="81" t="s">
        <v>6794</v>
      </c>
      <c r="J1605" s="81" t="s">
        <v>2186</v>
      </c>
      <c r="K1605" s="81" t="s">
        <v>6794</v>
      </c>
      <c r="L1605" s="81" t="s">
        <v>2392</v>
      </c>
      <c r="M1605" s="81" t="s">
        <v>6794</v>
      </c>
      <c r="N1605" s="81" t="s">
        <v>2231</v>
      </c>
      <c r="O1605" s="81" t="s">
        <v>2187</v>
      </c>
      <c r="P1605" s="81" t="s">
        <v>2187</v>
      </c>
      <c r="Q1605" s="81" t="s">
        <v>43</v>
      </c>
      <c r="R1605" s="81" t="s">
        <v>203</v>
      </c>
      <c r="S1605" s="81" t="s">
        <v>164</v>
      </c>
      <c r="T1605" s="81" t="s">
        <v>48</v>
      </c>
      <c r="U1605" s="81" t="s">
        <v>48</v>
      </c>
      <c r="V1605" s="81" t="s">
        <v>48</v>
      </c>
      <c r="W1605" s="81" t="s">
        <v>49</v>
      </c>
      <c r="X1605" s="81" t="s">
        <v>48</v>
      </c>
      <c r="Y1605" s="81" t="s">
        <v>48</v>
      </c>
    </row>
    <row r="1606" spans="1:25" x14ac:dyDescent="0.3">
      <c r="A1606" s="16" t="s">
        <v>1506</v>
      </c>
      <c r="B1606" s="81" t="s">
        <v>43</v>
      </c>
      <c r="C1606" s="81" t="s">
        <v>1745</v>
      </c>
      <c r="D1606" s="81" t="s">
        <v>45</v>
      </c>
      <c r="E1606" s="81" t="s">
        <v>2215</v>
      </c>
      <c r="F1606" s="81" t="s">
        <v>2216</v>
      </c>
      <c r="G1606" s="81" t="s">
        <v>3981</v>
      </c>
      <c r="H1606" s="81" t="s">
        <v>6795</v>
      </c>
      <c r="I1606" s="81" t="s">
        <v>6796</v>
      </c>
      <c r="J1606" s="81" t="s">
        <v>2186</v>
      </c>
      <c r="K1606" s="81" t="s">
        <v>6796</v>
      </c>
      <c r="L1606" s="81" t="s">
        <v>2392</v>
      </c>
      <c r="M1606" s="81" t="s">
        <v>6796</v>
      </c>
      <c r="N1606" s="81" t="s">
        <v>2231</v>
      </c>
      <c r="O1606" s="81" t="s">
        <v>2187</v>
      </c>
      <c r="P1606" s="81" t="s">
        <v>2187</v>
      </c>
      <c r="Q1606" s="81" t="s">
        <v>707</v>
      </c>
      <c r="R1606" s="81" t="s">
        <v>46</v>
      </c>
      <c r="S1606" s="81" t="s">
        <v>46</v>
      </c>
      <c r="T1606" s="81" t="s">
        <v>48</v>
      </c>
      <c r="U1606" s="81" t="s">
        <v>48</v>
      </c>
      <c r="V1606" s="81" t="s">
        <v>48</v>
      </c>
      <c r="W1606" s="81" t="s">
        <v>49</v>
      </c>
      <c r="X1606" s="81" t="s">
        <v>48</v>
      </c>
      <c r="Y1606" s="81" t="s">
        <v>48</v>
      </c>
    </row>
    <row r="1607" spans="1:25" x14ac:dyDescent="0.3">
      <c r="A1607" s="16" t="s">
        <v>1507</v>
      </c>
      <c r="B1607" s="81" t="s">
        <v>43</v>
      </c>
      <c r="C1607" s="81" t="s">
        <v>1508</v>
      </c>
      <c r="D1607" s="81" t="s">
        <v>45</v>
      </c>
      <c r="E1607" s="81" t="s">
        <v>2494</v>
      </c>
      <c r="F1607" s="81" t="s">
        <v>2574</v>
      </c>
      <c r="G1607" s="81" t="s">
        <v>2558</v>
      </c>
      <c r="H1607" s="81" t="s">
        <v>3097</v>
      </c>
      <c r="I1607" s="81" t="s">
        <v>6797</v>
      </c>
      <c r="J1607" s="81" t="s">
        <v>2186</v>
      </c>
      <c r="K1607" s="81" t="s">
        <v>6797</v>
      </c>
      <c r="L1607" s="81" t="s">
        <v>2392</v>
      </c>
      <c r="M1607" s="81" t="s">
        <v>6797</v>
      </c>
      <c r="N1607" s="81" t="s">
        <v>2231</v>
      </c>
      <c r="O1607" s="81" t="s">
        <v>2187</v>
      </c>
      <c r="P1607" s="81" t="s">
        <v>2187</v>
      </c>
      <c r="Q1607" s="81" t="s">
        <v>43</v>
      </c>
      <c r="R1607" s="81" t="s">
        <v>203</v>
      </c>
      <c r="S1607" s="81" t="s">
        <v>47</v>
      </c>
      <c r="T1607" s="81" t="s">
        <v>48</v>
      </c>
      <c r="U1607" s="81" t="s">
        <v>48</v>
      </c>
      <c r="V1607" s="81" t="s">
        <v>48</v>
      </c>
      <c r="W1607" s="81" t="s">
        <v>49</v>
      </c>
      <c r="X1607" s="81" t="s">
        <v>48</v>
      </c>
      <c r="Y1607" s="81" t="s">
        <v>48</v>
      </c>
    </row>
    <row r="1608" spans="1:25" x14ac:dyDescent="0.3">
      <c r="A1608" s="16" t="s">
        <v>1509</v>
      </c>
      <c r="B1608" s="81" t="s">
        <v>43</v>
      </c>
      <c r="C1608" s="81" t="s">
        <v>1510</v>
      </c>
      <c r="D1608" s="81" t="s">
        <v>45</v>
      </c>
      <c r="E1608" s="81" t="s">
        <v>3002</v>
      </c>
      <c r="F1608" s="81" t="s">
        <v>3003</v>
      </c>
      <c r="G1608" s="81" t="s">
        <v>3982</v>
      </c>
      <c r="H1608" s="81" t="s">
        <v>6798</v>
      </c>
      <c r="I1608" s="81" t="s">
        <v>6799</v>
      </c>
      <c r="J1608" s="81" t="s">
        <v>2186</v>
      </c>
      <c r="K1608" s="81" t="s">
        <v>6799</v>
      </c>
      <c r="L1608" s="81" t="s">
        <v>2392</v>
      </c>
      <c r="M1608" s="81" t="s">
        <v>6799</v>
      </c>
      <c r="N1608" s="81" t="s">
        <v>2231</v>
      </c>
      <c r="O1608" s="81" t="s">
        <v>2187</v>
      </c>
      <c r="P1608" s="81" t="s">
        <v>2187</v>
      </c>
      <c r="Q1608" s="81" t="s">
        <v>43</v>
      </c>
      <c r="R1608" s="81" t="s">
        <v>203</v>
      </c>
      <c r="S1608" s="81" t="s">
        <v>47</v>
      </c>
      <c r="T1608" s="81" t="s">
        <v>48</v>
      </c>
      <c r="U1608" s="81" t="s">
        <v>48</v>
      </c>
      <c r="V1608" s="81" t="s">
        <v>48</v>
      </c>
      <c r="W1608" s="81" t="s">
        <v>49</v>
      </c>
      <c r="X1608" s="81" t="s">
        <v>48</v>
      </c>
      <c r="Y1608" s="81" t="s">
        <v>48</v>
      </c>
    </row>
    <row r="1609" spans="1:25" x14ac:dyDescent="0.3">
      <c r="A1609" s="16" t="s">
        <v>1511</v>
      </c>
      <c r="B1609" s="81" t="s">
        <v>43</v>
      </c>
      <c r="C1609" s="81" t="s">
        <v>1512</v>
      </c>
      <c r="D1609" s="81" t="s">
        <v>45</v>
      </c>
      <c r="E1609" s="81" t="s">
        <v>3589</v>
      </c>
      <c r="F1609" s="81" t="s">
        <v>3590</v>
      </c>
      <c r="G1609" s="81" t="s">
        <v>2975</v>
      </c>
      <c r="H1609" s="81" t="s">
        <v>6800</v>
      </c>
      <c r="I1609" s="81" t="s">
        <v>6801</v>
      </c>
      <c r="J1609" s="81" t="s">
        <v>2186</v>
      </c>
      <c r="K1609" s="81" t="s">
        <v>6801</v>
      </c>
      <c r="L1609" s="81" t="s">
        <v>2392</v>
      </c>
      <c r="M1609" s="81" t="s">
        <v>6801</v>
      </c>
      <c r="N1609" s="81" t="s">
        <v>2231</v>
      </c>
      <c r="O1609" s="81" t="s">
        <v>2187</v>
      </c>
      <c r="P1609" s="81" t="s">
        <v>2187</v>
      </c>
      <c r="Q1609" s="81" t="s">
        <v>43</v>
      </c>
      <c r="R1609" s="81" t="s">
        <v>203</v>
      </c>
      <c r="S1609" s="81" t="s">
        <v>203</v>
      </c>
      <c r="T1609" s="81" t="s">
        <v>48</v>
      </c>
      <c r="U1609" s="81" t="s">
        <v>48</v>
      </c>
      <c r="V1609" s="81" t="s">
        <v>48</v>
      </c>
      <c r="W1609" s="81" t="s">
        <v>49</v>
      </c>
      <c r="X1609" s="81" t="s">
        <v>48</v>
      </c>
      <c r="Y1609" s="81" t="s">
        <v>48</v>
      </c>
    </row>
    <row r="1610" spans="1:25" x14ac:dyDescent="0.3">
      <c r="A1610" s="16" t="s">
        <v>1513</v>
      </c>
      <c r="B1610" s="81" t="s">
        <v>43</v>
      </c>
      <c r="C1610" s="81" t="s">
        <v>3983</v>
      </c>
      <c r="D1610" s="81" t="s">
        <v>45</v>
      </c>
      <c r="E1610" s="81" t="s">
        <v>2227</v>
      </c>
      <c r="F1610" s="81" t="s">
        <v>2227</v>
      </c>
      <c r="G1610" s="81" t="s">
        <v>3643</v>
      </c>
      <c r="H1610" s="81" t="s">
        <v>6802</v>
      </c>
      <c r="I1610" s="81" t="s">
        <v>6803</v>
      </c>
      <c r="J1610" s="81" t="s">
        <v>2186</v>
      </c>
      <c r="K1610" s="81" t="s">
        <v>6803</v>
      </c>
      <c r="L1610" s="81" t="s">
        <v>2392</v>
      </c>
      <c r="M1610" s="81" t="s">
        <v>6803</v>
      </c>
      <c r="N1610" s="81" t="s">
        <v>2231</v>
      </c>
      <c r="O1610" s="81" t="s">
        <v>2187</v>
      </c>
      <c r="P1610" s="81" t="s">
        <v>2187</v>
      </c>
      <c r="Q1610" s="81" t="s">
        <v>43</v>
      </c>
      <c r="R1610" s="81" t="s">
        <v>46</v>
      </c>
      <c r="S1610" s="81" t="s">
        <v>46</v>
      </c>
      <c r="T1610" s="81" t="s">
        <v>48</v>
      </c>
      <c r="U1610" s="81" t="s">
        <v>48</v>
      </c>
      <c r="V1610" s="81" t="s">
        <v>48</v>
      </c>
      <c r="W1610" s="81" t="s">
        <v>49</v>
      </c>
      <c r="X1610" s="81" t="s">
        <v>48</v>
      </c>
      <c r="Y1610" s="81" t="s">
        <v>48</v>
      </c>
    </row>
    <row r="1611" spans="1:25" x14ac:dyDescent="0.3">
      <c r="A1611" s="16" t="s">
        <v>1514</v>
      </c>
      <c r="B1611" s="81" t="s">
        <v>43</v>
      </c>
      <c r="C1611" s="81" t="s">
        <v>3984</v>
      </c>
      <c r="D1611" s="81" t="s">
        <v>45</v>
      </c>
      <c r="E1611" s="81" t="s">
        <v>2179</v>
      </c>
      <c r="F1611" s="81" t="s">
        <v>2191</v>
      </c>
      <c r="G1611" s="81" t="s">
        <v>3985</v>
      </c>
      <c r="H1611" s="81" t="s">
        <v>2560</v>
      </c>
      <c r="I1611" s="81" t="s">
        <v>5974</v>
      </c>
      <c r="J1611" s="81" t="s">
        <v>2186</v>
      </c>
      <c r="K1611" s="81" t="s">
        <v>5974</v>
      </c>
      <c r="L1611" s="81" t="s">
        <v>2392</v>
      </c>
      <c r="M1611" s="81" t="s">
        <v>5974</v>
      </c>
      <c r="N1611" s="81" t="s">
        <v>2231</v>
      </c>
      <c r="O1611" s="81" t="s">
        <v>2187</v>
      </c>
      <c r="P1611" s="81" t="s">
        <v>2187</v>
      </c>
      <c r="Q1611" s="81" t="s">
        <v>43</v>
      </c>
      <c r="R1611" s="81" t="s">
        <v>203</v>
      </c>
      <c r="S1611" s="81" t="s">
        <v>203</v>
      </c>
      <c r="T1611" s="81" t="s">
        <v>48</v>
      </c>
      <c r="U1611" s="81" t="s">
        <v>48</v>
      </c>
      <c r="V1611" s="81" t="s">
        <v>48</v>
      </c>
      <c r="W1611" s="81" t="s">
        <v>49</v>
      </c>
      <c r="X1611" s="81" t="s">
        <v>48</v>
      </c>
      <c r="Y1611" s="81" t="s">
        <v>48</v>
      </c>
    </row>
    <row r="1612" spans="1:25" x14ac:dyDescent="0.3">
      <c r="A1612" s="16" t="s">
        <v>1515</v>
      </c>
      <c r="B1612" s="81" t="s">
        <v>43</v>
      </c>
      <c r="C1612" s="81" t="s">
        <v>1516</v>
      </c>
      <c r="D1612" s="81" t="s">
        <v>45</v>
      </c>
      <c r="E1612" s="81" t="s">
        <v>2515</v>
      </c>
      <c r="F1612" s="81" t="s">
        <v>2516</v>
      </c>
      <c r="G1612" s="81" t="s">
        <v>3986</v>
      </c>
      <c r="H1612" s="81" t="s">
        <v>2209</v>
      </c>
      <c r="I1612" s="81" t="s">
        <v>6804</v>
      </c>
      <c r="J1612" s="81" t="s">
        <v>2186</v>
      </c>
      <c r="K1612" s="81" t="s">
        <v>6804</v>
      </c>
      <c r="L1612" s="81" t="s">
        <v>2392</v>
      </c>
      <c r="M1612" s="81" t="s">
        <v>6804</v>
      </c>
      <c r="N1612" s="81" t="s">
        <v>2231</v>
      </c>
      <c r="O1612" s="81" t="s">
        <v>2187</v>
      </c>
      <c r="P1612" s="81" t="s">
        <v>2187</v>
      </c>
      <c r="Q1612" s="81" t="s">
        <v>237</v>
      </c>
      <c r="R1612" s="81" t="s">
        <v>51</v>
      </c>
      <c r="S1612" s="81" t="s">
        <v>81</v>
      </c>
      <c r="T1612" s="81" t="s">
        <v>49</v>
      </c>
      <c r="U1612" s="81" t="s">
        <v>48</v>
      </c>
      <c r="V1612" s="81" t="s">
        <v>48</v>
      </c>
      <c r="W1612" s="81" t="s">
        <v>49</v>
      </c>
      <c r="X1612" s="81" t="s">
        <v>48</v>
      </c>
      <c r="Y1612" s="81" t="s">
        <v>48</v>
      </c>
    </row>
    <row r="1613" spans="1:25" x14ac:dyDescent="0.3">
      <c r="A1613" s="16" t="s">
        <v>1517</v>
      </c>
      <c r="B1613" s="81" t="s">
        <v>43</v>
      </c>
      <c r="C1613" s="81" t="s">
        <v>1518</v>
      </c>
      <c r="D1613" s="81" t="s">
        <v>45</v>
      </c>
      <c r="E1613" s="81" t="s">
        <v>2357</v>
      </c>
      <c r="F1613" s="81" t="s">
        <v>2457</v>
      </c>
      <c r="G1613" s="81" t="s">
        <v>3988</v>
      </c>
      <c r="H1613" s="81" t="s">
        <v>3502</v>
      </c>
      <c r="I1613" s="81" t="s">
        <v>6805</v>
      </c>
      <c r="J1613" s="81" t="s">
        <v>2186</v>
      </c>
      <c r="K1613" s="81" t="s">
        <v>6805</v>
      </c>
      <c r="L1613" s="81" t="s">
        <v>2392</v>
      </c>
      <c r="M1613" s="81" t="s">
        <v>6805</v>
      </c>
      <c r="N1613" s="81" t="s">
        <v>2231</v>
      </c>
      <c r="O1613" s="81" t="s">
        <v>2187</v>
      </c>
      <c r="P1613" s="81" t="s">
        <v>2187</v>
      </c>
      <c r="Q1613" s="81" t="s">
        <v>43</v>
      </c>
      <c r="R1613" s="81" t="s">
        <v>203</v>
      </c>
      <c r="S1613" s="81" t="s">
        <v>203</v>
      </c>
      <c r="T1613" s="81" t="s">
        <v>48</v>
      </c>
      <c r="U1613" s="81" t="s">
        <v>48</v>
      </c>
      <c r="V1613" s="81" t="s">
        <v>48</v>
      </c>
      <c r="W1613" s="81" t="s">
        <v>49</v>
      </c>
      <c r="X1613" s="81" t="s">
        <v>48</v>
      </c>
      <c r="Y1613" s="81" t="s">
        <v>48</v>
      </c>
    </row>
    <row r="1614" spans="1:25" x14ac:dyDescent="0.3">
      <c r="A1614" s="16" t="s">
        <v>1519</v>
      </c>
      <c r="B1614" s="81" t="s">
        <v>43</v>
      </c>
      <c r="C1614" s="81" t="s">
        <v>1520</v>
      </c>
      <c r="D1614" s="81" t="s">
        <v>45</v>
      </c>
      <c r="E1614" s="81" t="s">
        <v>2893</v>
      </c>
      <c r="F1614" s="81" t="s">
        <v>2894</v>
      </c>
      <c r="G1614" s="81" t="s">
        <v>3990</v>
      </c>
      <c r="H1614" s="81" t="s">
        <v>6806</v>
      </c>
      <c r="I1614" s="81" t="s">
        <v>6807</v>
      </c>
      <c r="J1614" s="81" t="s">
        <v>2186</v>
      </c>
      <c r="K1614" s="81" t="s">
        <v>6807</v>
      </c>
      <c r="L1614" s="81" t="s">
        <v>2392</v>
      </c>
      <c r="M1614" s="81" t="s">
        <v>6807</v>
      </c>
      <c r="N1614" s="81" t="s">
        <v>2231</v>
      </c>
      <c r="O1614" s="81" t="s">
        <v>2187</v>
      </c>
      <c r="P1614" s="81" t="s">
        <v>2187</v>
      </c>
      <c r="Q1614" s="81" t="s">
        <v>43</v>
      </c>
      <c r="R1614" s="81" t="s">
        <v>203</v>
      </c>
      <c r="S1614" s="81" t="s">
        <v>203</v>
      </c>
      <c r="T1614" s="81" t="s">
        <v>48</v>
      </c>
      <c r="U1614" s="81" t="s">
        <v>48</v>
      </c>
      <c r="V1614" s="81" t="s">
        <v>48</v>
      </c>
      <c r="W1614" s="81" t="s">
        <v>49</v>
      </c>
      <c r="X1614" s="81" t="s">
        <v>48</v>
      </c>
      <c r="Y1614" s="81" t="s">
        <v>48</v>
      </c>
    </row>
    <row r="1615" spans="1:25" x14ac:dyDescent="0.3">
      <c r="A1615" s="16" t="s">
        <v>1521</v>
      </c>
      <c r="B1615" s="81" t="s">
        <v>43</v>
      </c>
      <c r="C1615" s="81" t="s">
        <v>3991</v>
      </c>
      <c r="D1615" s="81" t="s">
        <v>45</v>
      </c>
      <c r="E1615" s="81" t="s">
        <v>2227</v>
      </c>
      <c r="F1615" s="81" t="s">
        <v>2227</v>
      </c>
      <c r="G1615" s="81" t="s">
        <v>2986</v>
      </c>
      <c r="H1615" s="81" t="s">
        <v>6808</v>
      </c>
      <c r="I1615" s="81" t="s">
        <v>6809</v>
      </c>
      <c r="J1615" s="81" t="s">
        <v>2186</v>
      </c>
      <c r="K1615" s="81" t="s">
        <v>6809</v>
      </c>
      <c r="L1615" s="81" t="s">
        <v>2392</v>
      </c>
      <c r="M1615" s="81" t="s">
        <v>6809</v>
      </c>
      <c r="N1615" s="81" t="s">
        <v>2231</v>
      </c>
      <c r="O1615" s="81" t="s">
        <v>2187</v>
      </c>
      <c r="P1615" s="81" t="s">
        <v>2187</v>
      </c>
      <c r="Q1615" s="81" t="s">
        <v>43</v>
      </c>
      <c r="R1615" s="81" t="s">
        <v>46</v>
      </c>
      <c r="S1615" s="81" t="s">
        <v>46</v>
      </c>
      <c r="T1615" s="81" t="s">
        <v>48</v>
      </c>
      <c r="U1615" s="81" t="s">
        <v>48</v>
      </c>
      <c r="V1615" s="81" t="s">
        <v>48</v>
      </c>
      <c r="W1615" s="81" t="s">
        <v>49</v>
      </c>
      <c r="X1615" s="81" t="s">
        <v>48</v>
      </c>
      <c r="Y1615" s="81" t="s">
        <v>48</v>
      </c>
    </row>
    <row r="1616" spans="1:25" x14ac:dyDescent="0.3">
      <c r="A1616" s="16" t="s">
        <v>1522</v>
      </c>
      <c r="B1616" s="81" t="s">
        <v>43</v>
      </c>
      <c r="C1616" s="81" t="s">
        <v>1523</v>
      </c>
      <c r="D1616" s="81" t="s">
        <v>45</v>
      </c>
      <c r="E1616" s="81" t="s">
        <v>2620</v>
      </c>
      <c r="F1616" s="81" t="s">
        <v>2780</v>
      </c>
      <c r="G1616" s="81" t="s">
        <v>3642</v>
      </c>
      <c r="H1616" s="81" t="s">
        <v>2237</v>
      </c>
      <c r="I1616" s="81" t="s">
        <v>5687</v>
      </c>
      <c r="J1616" s="81" t="s">
        <v>2186</v>
      </c>
      <c r="K1616" s="81" t="s">
        <v>5687</v>
      </c>
      <c r="L1616" s="81" t="s">
        <v>2392</v>
      </c>
      <c r="M1616" s="81" t="s">
        <v>5687</v>
      </c>
      <c r="N1616" s="81" t="s">
        <v>2231</v>
      </c>
      <c r="O1616" s="81" t="s">
        <v>2187</v>
      </c>
      <c r="P1616" s="81" t="s">
        <v>2187</v>
      </c>
      <c r="Q1616" s="81" t="s">
        <v>43</v>
      </c>
      <c r="R1616" s="81" t="s">
        <v>46</v>
      </c>
      <c r="S1616" s="81" t="s">
        <v>47</v>
      </c>
      <c r="T1616" s="81" t="s">
        <v>48</v>
      </c>
      <c r="U1616" s="81" t="s">
        <v>48</v>
      </c>
      <c r="V1616" s="81" t="s">
        <v>48</v>
      </c>
      <c r="W1616" s="81" t="s">
        <v>49</v>
      </c>
      <c r="X1616" s="81" t="s">
        <v>48</v>
      </c>
      <c r="Y1616" s="81" t="s">
        <v>48</v>
      </c>
    </row>
    <row r="1617" spans="1:25" x14ac:dyDescent="0.3">
      <c r="A1617" s="16" t="s">
        <v>1524</v>
      </c>
      <c r="B1617" s="81" t="s">
        <v>43</v>
      </c>
      <c r="C1617" s="81" t="s">
        <v>1525</v>
      </c>
      <c r="D1617" s="81" t="s">
        <v>45</v>
      </c>
      <c r="E1617" s="81" t="s">
        <v>2227</v>
      </c>
      <c r="F1617" s="81" t="s">
        <v>2227</v>
      </c>
      <c r="G1617" s="81" t="s">
        <v>3992</v>
      </c>
      <c r="H1617" s="81" t="s">
        <v>2943</v>
      </c>
      <c r="I1617" s="81" t="s">
        <v>6810</v>
      </c>
      <c r="J1617" s="81" t="s">
        <v>2186</v>
      </c>
      <c r="K1617" s="81" t="s">
        <v>6810</v>
      </c>
      <c r="L1617" s="81" t="s">
        <v>2392</v>
      </c>
      <c r="M1617" s="81" t="s">
        <v>6810</v>
      </c>
      <c r="N1617" s="81" t="s">
        <v>2231</v>
      </c>
      <c r="O1617" s="81" t="s">
        <v>2187</v>
      </c>
      <c r="P1617" s="81" t="s">
        <v>2187</v>
      </c>
      <c r="Q1617" s="81" t="s">
        <v>43</v>
      </c>
      <c r="R1617" s="81" t="s">
        <v>524</v>
      </c>
      <c r="S1617" s="81" t="s">
        <v>525</v>
      </c>
      <c r="T1617" s="81" t="s">
        <v>48</v>
      </c>
      <c r="U1617" s="81" t="s">
        <v>48</v>
      </c>
      <c r="V1617" s="81" t="s">
        <v>49</v>
      </c>
      <c r="W1617" s="81" t="s">
        <v>48</v>
      </c>
      <c r="X1617" s="81" t="s">
        <v>48</v>
      </c>
      <c r="Y1617" s="81" t="s">
        <v>48</v>
      </c>
    </row>
    <row r="1618" spans="1:25" x14ac:dyDescent="0.3">
      <c r="A1618" s="16" t="s">
        <v>1526</v>
      </c>
      <c r="B1618" s="81" t="s">
        <v>43</v>
      </c>
      <c r="C1618" s="81" t="s">
        <v>1527</v>
      </c>
      <c r="D1618" s="81" t="s">
        <v>45</v>
      </c>
      <c r="E1618" s="81" t="s">
        <v>2227</v>
      </c>
      <c r="F1618" s="81" t="s">
        <v>2227</v>
      </c>
      <c r="G1618" s="81" t="s">
        <v>3993</v>
      </c>
      <c r="H1618" s="81" t="s">
        <v>2424</v>
      </c>
      <c r="I1618" s="81" t="s">
        <v>6811</v>
      </c>
      <c r="J1618" s="81" t="s">
        <v>2186</v>
      </c>
      <c r="K1618" s="81" t="s">
        <v>6811</v>
      </c>
      <c r="L1618" s="81" t="s">
        <v>2392</v>
      </c>
      <c r="M1618" s="81" t="s">
        <v>6811</v>
      </c>
      <c r="N1618" s="81" t="s">
        <v>2231</v>
      </c>
      <c r="O1618" s="81" t="s">
        <v>2187</v>
      </c>
      <c r="P1618" s="81" t="s">
        <v>2187</v>
      </c>
      <c r="Q1618" s="81" t="s">
        <v>43</v>
      </c>
      <c r="R1618" s="81" t="s">
        <v>203</v>
      </c>
      <c r="S1618" s="81" t="s">
        <v>203</v>
      </c>
      <c r="T1618" s="81" t="s">
        <v>48</v>
      </c>
      <c r="U1618" s="81" t="s">
        <v>48</v>
      </c>
      <c r="V1618" s="81" t="s">
        <v>48</v>
      </c>
      <c r="W1618" s="81" t="s">
        <v>49</v>
      </c>
      <c r="X1618" s="81" t="s">
        <v>48</v>
      </c>
      <c r="Y1618" s="81" t="s">
        <v>48</v>
      </c>
    </row>
    <row r="1619" spans="1:25" x14ac:dyDescent="0.3">
      <c r="A1619" s="16" t="s">
        <v>1528</v>
      </c>
      <c r="B1619" s="81" t="s">
        <v>43</v>
      </c>
      <c r="C1619" s="81" t="s">
        <v>1529</v>
      </c>
      <c r="D1619" s="81" t="s">
        <v>45</v>
      </c>
      <c r="E1619" s="81" t="s">
        <v>2357</v>
      </c>
      <c r="F1619" s="81" t="s">
        <v>2358</v>
      </c>
      <c r="G1619" s="81" t="s">
        <v>3275</v>
      </c>
      <c r="H1619" s="81" t="s">
        <v>2243</v>
      </c>
      <c r="I1619" s="81" t="s">
        <v>5600</v>
      </c>
      <c r="J1619" s="81" t="s">
        <v>2186</v>
      </c>
      <c r="K1619" s="81" t="s">
        <v>5600</v>
      </c>
      <c r="L1619" s="81" t="s">
        <v>2392</v>
      </c>
      <c r="M1619" s="81" t="s">
        <v>5600</v>
      </c>
      <c r="N1619" s="81" t="s">
        <v>2231</v>
      </c>
      <c r="O1619" s="81" t="s">
        <v>2187</v>
      </c>
      <c r="P1619" s="81" t="s">
        <v>2187</v>
      </c>
      <c r="Q1619" s="81" t="s">
        <v>43</v>
      </c>
      <c r="R1619" s="81" t="s">
        <v>106</v>
      </c>
      <c r="S1619" s="81" t="s">
        <v>47</v>
      </c>
      <c r="T1619" s="81" t="s">
        <v>48</v>
      </c>
      <c r="U1619" s="81" t="s">
        <v>48</v>
      </c>
      <c r="V1619" s="81" t="s">
        <v>48</v>
      </c>
      <c r="W1619" s="81" t="s">
        <v>49</v>
      </c>
      <c r="X1619" s="81" t="s">
        <v>48</v>
      </c>
      <c r="Y1619" s="81" t="s">
        <v>48</v>
      </c>
    </row>
    <row r="1620" spans="1:25" x14ac:dyDescent="0.3">
      <c r="A1620" s="16" t="s">
        <v>1530</v>
      </c>
      <c r="B1620" s="81" t="s">
        <v>43</v>
      </c>
      <c r="C1620" s="81" t="s">
        <v>1531</v>
      </c>
      <c r="D1620" s="81" t="s">
        <v>45</v>
      </c>
      <c r="E1620" s="81" t="s">
        <v>2227</v>
      </c>
      <c r="F1620" s="81" t="s">
        <v>2227</v>
      </c>
      <c r="G1620" s="81" t="s">
        <v>3950</v>
      </c>
      <c r="H1620" s="81" t="s">
        <v>6750</v>
      </c>
      <c r="I1620" s="81" t="s">
        <v>6751</v>
      </c>
      <c r="J1620" s="81" t="s">
        <v>2186</v>
      </c>
      <c r="K1620" s="81" t="s">
        <v>6751</v>
      </c>
      <c r="L1620" s="81" t="s">
        <v>2392</v>
      </c>
      <c r="M1620" s="81" t="s">
        <v>6751</v>
      </c>
      <c r="N1620" s="81" t="s">
        <v>2231</v>
      </c>
      <c r="O1620" s="81" t="s">
        <v>2187</v>
      </c>
      <c r="P1620" s="81" t="s">
        <v>2187</v>
      </c>
      <c r="Q1620" s="81" t="s">
        <v>43</v>
      </c>
      <c r="R1620" s="81" t="s">
        <v>122</v>
      </c>
      <c r="S1620" s="81" t="s">
        <v>122</v>
      </c>
      <c r="T1620" s="81" t="s">
        <v>48</v>
      </c>
      <c r="U1620" s="81" t="s">
        <v>48</v>
      </c>
      <c r="V1620" s="81" t="s">
        <v>49</v>
      </c>
      <c r="W1620" s="81" t="s">
        <v>48</v>
      </c>
      <c r="X1620" s="81" t="s">
        <v>48</v>
      </c>
      <c r="Y1620" s="81" t="s">
        <v>48</v>
      </c>
    </row>
    <row r="1621" spans="1:25" x14ac:dyDescent="0.3">
      <c r="A1621" s="16" t="s">
        <v>1532</v>
      </c>
      <c r="B1621" s="81" t="s">
        <v>43</v>
      </c>
      <c r="C1621" s="81" t="s">
        <v>3994</v>
      </c>
      <c r="D1621" s="81" t="s">
        <v>45</v>
      </c>
      <c r="E1621" s="81" t="s">
        <v>2300</v>
      </c>
      <c r="F1621" s="81" t="s">
        <v>2601</v>
      </c>
      <c r="G1621" s="81" t="s">
        <v>3995</v>
      </c>
      <c r="H1621" s="81" t="s">
        <v>6812</v>
      </c>
      <c r="I1621" s="81" t="s">
        <v>6813</v>
      </c>
      <c r="J1621" s="81" t="s">
        <v>2186</v>
      </c>
      <c r="K1621" s="81" t="s">
        <v>6813</v>
      </c>
      <c r="L1621" s="81" t="s">
        <v>2392</v>
      </c>
      <c r="M1621" s="81" t="s">
        <v>6813</v>
      </c>
      <c r="N1621" s="81" t="s">
        <v>2231</v>
      </c>
      <c r="O1621" s="81" t="s">
        <v>2187</v>
      </c>
      <c r="P1621" s="81" t="s">
        <v>2187</v>
      </c>
      <c r="Q1621" s="81" t="s">
        <v>299</v>
      </c>
      <c r="R1621" s="81" t="s">
        <v>203</v>
      </c>
      <c r="S1621" s="81" t="s">
        <v>47</v>
      </c>
      <c r="T1621" s="81" t="s">
        <v>48</v>
      </c>
      <c r="U1621" s="81" t="s">
        <v>48</v>
      </c>
      <c r="V1621" s="81" t="s">
        <v>48</v>
      </c>
      <c r="W1621" s="81" t="s">
        <v>49</v>
      </c>
      <c r="X1621" s="81" t="s">
        <v>48</v>
      </c>
      <c r="Y1621" s="81" t="s">
        <v>48</v>
      </c>
    </row>
    <row r="1622" spans="1:25" x14ac:dyDescent="0.3">
      <c r="A1622" s="16">
        <v>7502226294254</v>
      </c>
      <c r="B1622" s="81" t="s">
        <v>43</v>
      </c>
      <c r="C1622" s="81" t="s">
        <v>2168</v>
      </c>
      <c r="D1622" s="81" t="s">
        <v>45</v>
      </c>
      <c r="E1622" s="81" t="s">
        <v>2227</v>
      </c>
      <c r="F1622" s="81" t="s">
        <v>2227</v>
      </c>
      <c r="G1622" s="81" t="s">
        <v>3996</v>
      </c>
      <c r="H1622" s="81" t="s">
        <v>2208</v>
      </c>
      <c r="I1622" s="81" t="s">
        <v>6814</v>
      </c>
      <c r="J1622" s="81" t="s">
        <v>2186</v>
      </c>
      <c r="K1622" s="81" t="s">
        <v>6814</v>
      </c>
      <c r="L1622" s="81" t="s">
        <v>2392</v>
      </c>
      <c r="M1622" s="81" t="s">
        <v>6814</v>
      </c>
      <c r="N1622" s="81" t="s">
        <v>2231</v>
      </c>
      <c r="O1622" s="81" t="s">
        <v>2187</v>
      </c>
      <c r="P1622" s="81" t="s">
        <v>2187</v>
      </c>
      <c r="Q1622" s="81" t="s">
        <v>43</v>
      </c>
      <c r="R1622" s="81" t="s">
        <v>203</v>
      </c>
      <c r="S1622" s="81" t="s">
        <v>203</v>
      </c>
      <c r="T1622" s="81" t="s">
        <v>48</v>
      </c>
      <c r="U1622" s="81" t="s">
        <v>48</v>
      </c>
      <c r="V1622" s="81" t="s">
        <v>48</v>
      </c>
      <c r="W1622" s="81" t="s">
        <v>49</v>
      </c>
      <c r="X1622" s="81" t="s">
        <v>48</v>
      </c>
      <c r="Y1622" s="81" t="s">
        <v>48</v>
      </c>
    </row>
    <row r="1623" spans="1:25" x14ac:dyDescent="0.3">
      <c r="A1623" s="16" t="s">
        <v>1533</v>
      </c>
      <c r="B1623" s="81" t="s">
        <v>43</v>
      </c>
      <c r="C1623" s="81" t="s">
        <v>1534</v>
      </c>
      <c r="D1623" s="81" t="s">
        <v>45</v>
      </c>
      <c r="E1623" s="81" t="s">
        <v>2877</v>
      </c>
      <c r="F1623" s="81" t="s">
        <v>2878</v>
      </c>
      <c r="G1623" s="81" t="s">
        <v>3997</v>
      </c>
      <c r="H1623" s="81" t="s">
        <v>6815</v>
      </c>
      <c r="I1623" s="81" t="s">
        <v>6816</v>
      </c>
      <c r="J1623" s="81" t="s">
        <v>2186</v>
      </c>
      <c r="K1623" s="81" t="s">
        <v>6816</v>
      </c>
      <c r="L1623" s="81" t="s">
        <v>2392</v>
      </c>
      <c r="M1623" s="81" t="s">
        <v>6816</v>
      </c>
      <c r="N1623" s="81" t="s">
        <v>2231</v>
      </c>
      <c r="O1623" s="81" t="s">
        <v>2187</v>
      </c>
      <c r="P1623" s="81" t="s">
        <v>2187</v>
      </c>
      <c r="Q1623" s="81" t="s">
        <v>43</v>
      </c>
      <c r="R1623" s="81" t="s">
        <v>51</v>
      </c>
      <c r="S1623" s="81" t="s">
        <v>81</v>
      </c>
      <c r="T1623" s="81" t="s">
        <v>49</v>
      </c>
      <c r="U1623" s="81" t="s">
        <v>48</v>
      </c>
      <c r="V1623" s="81" t="s">
        <v>48</v>
      </c>
      <c r="W1623" s="81" t="s">
        <v>49</v>
      </c>
      <c r="X1623" s="81" t="s">
        <v>48</v>
      </c>
      <c r="Y1623" s="81" t="s">
        <v>48</v>
      </c>
    </row>
    <row r="1624" spans="1:25" x14ac:dyDescent="0.3">
      <c r="A1624" s="16" t="s">
        <v>1535</v>
      </c>
      <c r="B1624" s="81" t="s">
        <v>43</v>
      </c>
      <c r="C1624" s="81" t="s">
        <v>1536</v>
      </c>
      <c r="D1624" s="81" t="s">
        <v>45</v>
      </c>
      <c r="E1624" s="81" t="s">
        <v>2303</v>
      </c>
      <c r="F1624" s="81" t="s">
        <v>2233</v>
      </c>
      <c r="G1624" s="81" t="s">
        <v>3998</v>
      </c>
      <c r="H1624" s="81" t="s">
        <v>6817</v>
      </c>
      <c r="I1624" s="81" t="s">
        <v>6818</v>
      </c>
      <c r="J1624" s="81" t="s">
        <v>2186</v>
      </c>
      <c r="K1624" s="81" t="s">
        <v>6818</v>
      </c>
      <c r="L1624" s="81" t="s">
        <v>2392</v>
      </c>
      <c r="M1624" s="81" t="s">
        <v>6818</v>
      </c>
      <c r="N1624" s="81" t="s">
        <v>2231</v>
      </c>
      <c r="O1624" s="81" t="s">
        <v>2187</v>
      </c>
      <c r="P1624" s="81" t="s">
        <v>2187</v>
      </c>
      <c r="Q1624" s="81" t="s">
        <v>43</v>
      </c>
      <c r="R1624" s="81" t="s">
        <v>46</v>
      </c>
      <c r="S1624" s="81" t="s">
        <v>47</v>
      </c>
      <c r="T1624" s="81" t="s">
        <v>48</v>
      </c>
      <c r="U1624" s="81" t="s">
        <v>48</v>
      </c>
      <c r="V1624" s="81" t="s">
        <v>48</v>
      </c>
      <c r="W1624" s="81" t="s">
        <v>49</v>
      </c>
      <c r="X1624" s="81" t="s">
        <v>48</v>
      </c>
      <c r="Y1624" s="81" t="s">
        <v>48</v>
      </c>
    </row>
    <row r="1625" spans="1:25" x14ac:dyDescent="0.3">
      <c r="A1625" s="16" t="s">
        <v>1537</v>
      </c>
      <c r="B1625" s="81" t="s">
        <v>43</v>
      </c>
      <c r="C1625" s="81" t="s">
        <v>3999</v>
      </c>
      <c r="D1625" s="81" t="s">
        <v>45</v>
      </c>
      <c r="E1625" s="81" t="s">
        <v>2494</v>
      </c>
      <c r="F1625" s="81" t="s">
        <v>2495</v>
      </c>
      <c r="G1625" s="81" t="s">
        <v>2695</v>
      </c>
      <c r="H1625" s="81" t="s">
        <v>6819</v>
      </c>
      <c r="I1625" s="81" t="s">
        <v>6820</v>
      </c>
      <c r="J1625" s="81" t="s">
        <v>2186</v>
      </c>
      <c r="K1625" s="81" t="s">
        <v>6820</v>
      </c>
      <c r="L1625" s="81" t="s">
        <v>2392</v>
      </c>
      <c r="M1625" s="81" t="s">
        <v>6820</v>
      </c>
      <c r="N1625" s="81" t="s">
        <v>2231</v>
      </c>
      <c r="O1625" s="81" t="s">
        <v>2187</v>
      </c>
      <c r="P1625" s="81" t="s">
        <v>2187</v>
      </c>
      <c r="Q1625" s="81" t="s">
        <v>43</v>
      </c>
      <c r="R1625" s="81" t="s">
        <v>46</v>
      </c>
      <c r="S1625" s="81" t="s">
        <v>46</v>
      </c>
      <c r="T1625" s="81" t="s">
        <v>48</v>
      </c>
      <c r="U1625" s="81" t="s">
        <v>48</v>
      </c>
      <c r="V1625" s="81" t="s">
        <v>48</v>
      </c>
      <c r="W1625" s="81" t="s">
        <v>49</v>
      </c>
      <c r="X1625" s="81" t="s">
        <v>48</v>
      </c>
      <c r="Y1625" s="81" t="s">
        <v>48</v>
      </c>
    </row>
    <row r="1626" spans="1:25" x14ac:dyDescent="0.3">
      <c r="A1626" s="16" t="s">
        <v>1538</v>
      </c>
      <c r="B1626" s="81" t="s">
        <v>43</v>
      </c>
      <c r="C1626" s="81" t="s">
        <v>1539</v>
      </c>
      <c r="D1626" s="81" t="s">
        <v>45</v>
      </c>
      <c r="E1626" s="81" t="s">
        <v>2352</v>
      </c>
      <c r="F1626" s="81" t="s">
        <v>2496</v>
      </c>
      <c r="G1626" s="81" t="s">
        <v>4000</v>
      </c>
      <c r="H1626" s="81" t="s">
        <v>2209</v>
      </c>
      <c r="I1626" s="81" t="s">
        <v>6821</v>
      </c>
      <c r="J1626" s="81" t="s">
        <v>2186</v>
      </c>
      <c r="K1626" s="81" t="s">
        <v>6821</v>
      </c>
      <c r="L1626" s="81" t="s">
        <v>2392</v>
      </c>
      <c r="M1626" s="81" t="s">
        <v>6821</v>
      </c>
      <c r="N1626" s="81" t="s">
        <v>2231</v>
      </c>
      <c r="O1626" s="81" t="s">
        <v>2187</v>
      </c>
      <c r="P1626" s="81" t="s">
        <v>2187</v>
      </c>
      <c r="Q1626" s="81" t="s">
        <v>43</v>
      </c>
      <c r="R1626" s="81" t="s">
        <v>46</v>
      </c>
      <c r="S1626" s="81" t="s">
        <v>46</v>
      </c>
      <c r="T1626" s="81" t="s">
        <v>48</v>
      </c>
      <c r="U1626" s="81" t="s">
        <v>48</v>
      </c>
      <c r="V1626" s="81" t="s">
        <v>48</v>
      </c>
      <c r="W1626" s="81" t="s">
        <v>49</v>
      </c>
      <c r="X1626" s="81" t="s">
        <v>48</v>
      </c>
      <c r="Y1626" s="81" t="s">
        <v>48</v>
      </c>
    </row>
    <row r="1627" spans="1:25" x14ac:dyDescent="0.3">
      <c r="A1627" s="16" t="s">
        <v>1540</v>
      </c>
      <c r="B1627" s="81" t="s">
        <v>43</v>
      </c>
      <c r="C1627" s="81" t="s">
        <v>1541</v>
      </c>
      <c r="D1627" s="81" t="s">
        <v>45</v>
      </c>
      <c r="E1627" s="81" t="s">
        <v>2431</v>
      </c>
      <c r="F1627" s="81" t="s">
        <v>3305</v>
      </c>
      <c r="G1627" s="81" t="s">
        <v>4001</v>
      </c>
      <c r="H1627" s="81" t="s">
        <v>2905</v>
      </c>
      <c r="I1627" s="81" t="s">
        <v>6822</v>
      </c>
      <c r="J1627" s="81" t="s">
        <v>2186</v>
      </c>
      <c r="K1627" s="81" t="s">
        <v>6822</v>
      </c>
      <c r="L1627" s="81" t="s">
        <v>2392</v>
      </c>
      <c r="M1627" s="81" t="s">
        <v>6822</v>
      </c>
      <c r="N1627" s="81" t="s">
        <v>2231</v>
      </c>
      <c r="O1627" s="81" t="s">
        <v>2187</v>
      </c>
      <c r="P1627" s="81" t="s">
        <v>2187</v>
      </c>
      <c r="Q1627" s="81" t="s">
        <v>43</v>
      </c>
      <c r="R1627" s="81" t="s">
        <v>203</v>
      </c>
      <c r="S1627" s="81" t="s">
        <v>203</v>
      </c>
      <c r="T1627" s="81" t="s">
        <v>48</v>
      </c>
      <c r="U1627" s="81" t="s">
        <v>48</v>
      </c>
      <c r="V1627" s="81" t="s">
        <v>48</v>
      </c>
      <c r="W1627" s="81" t="s">
        <v>49</v>
      </c>
      <c r="X1627" s="81" t="s">
        <v>48</v>
      </c>
      <c r="Y1627" s="81" t="s">
        <v>48</v>
      </c>
    </row>
    <row r="1628" spans="1:25" x14ac:dyDescent="0.3">
      <c r="A1628" s="16" t="s">
        <v>1542</v>
      </c>
      <c r="B1628" s="81" t="s">
        <v>43</v>
      </c>
      <c r="C1628" s="81" t="s">
        <v>1543</v>
      </c>
      <c r="D1628" s="81" t="s">
        <v>45</v>
      </c>
      <c r="E1628" s="81" t="s">
        <v>2227</v>
      </c>
      <c r="F1628" s="81" t="s">
        <v>2227</v>
      </c>
      <c r="G1628" s="81" t="s">
        <v>3805</v>
      </c>
      <c r="H1628" s="81" t="s">
        <v>3228</v>
      </c>
      <c r="I1628" s="81" t="s">
        <v>6823</v>
      </c>
      <c r="J1628" s="81" t="s">
        <v>2186</v>
      </c>
      <c r="K1628" s="81" t="s">
        <v>6823</v>
      </c>
      <c r="L1628" s="81" t="s">
        <v>2392</v>
      </c>
      <c r="M1628" s="81" t="s">
        <v>6823</v>
      </c>
      <c r="N1628" s="81" t="s">
        <v>2231</v>
      </c>
      <c r="O1628" s="81" t="s">
        <v>2187</v>
      </c>
      <c r="P1628" s="81" t="s">
        <v>2187</v>
      </c>
      <c r="Q1628" s="81" t="s">
        <v>43</v>
      </c>
      <c r="R1628" s="81" t="s">
        <v>101</v>
      </c>
      <c r="S1628" s="81" t="s">
        <v>101</v>
      </c>
      <c r="T1628" s="81" t="s">
        <v>48</v>
      </c>
      <c r="U1628" s="81" t="s">
        <v>48</v>
      </c>
      <c r="V1628" s="81" t="s">
        <v>49</v>
      </c>
      <c r="W1628" s="81" t="s">
        <v>48</v>
      </c>
      <c r="X1628" s="81" t="s">
        <v>48</v>
      </c>
      <c r="Y1628" s="81" t="s">
        <v>48</v>
      </c>
    </row>
    <row r="1629" spans="1:25" x14ac:dyDescent="0.3">
      <c r="A1629" s="16" t="s">
        <v>1544</v>
      </c>
      <c r="B1629" s="81" t="s">
        <v>43</v>
      </c>
      <c r="C1629" s="81" t="s">
        <v>1545</v>
      </c>
      <c r="D1629" s="81" t="s">
        <v>45</v>
      </c>
      <c r="E1629" s="81" t="s">
        <v>2481</v>
      </c>
      <c r="F1629" s="81" t="s">
        <v>2679</v>
      </c>
      <c r="G1629" s="81" t="s">
        <v>2986</v>
      </c>
      <c r="H1629" s="81" t="s">
        <v>2224</v>
      </c>
      <c r="I1629" s="81" t="s">
        <v>5653</v>
      </c>
      <c r="J1629" s="81" t="s">
        <v>2186</v>
      </c>
      <c r="K1629" s="81" t="s">
        <v>5653</v>
      </c>
      <c r="L1629" s="81" t="s">
        <v>2392</v>
      </c>
      <c r="M1629" s="81" t="s">
        <v>5653</v>
      </c>
      <c r="N1629" s="81" t="s">
        <v>2231</v>
      </c>
      <c r="O1629" s="81" t="s">
        <v>2187</v>
      </c>
      <c r="P1629" s="81" t="s">
        <v>2187</v>
      </c>
      <c r="Q1629" s="81" t="s">
        <v>43</v>
      </c>
      <c r="R1629" s="81" t="s">
        <v>51</v>
      </c>
      <c r="S1629" s="81" t="s">
        <v>73</v>
      </c>
      <c r="T1629" s="81" t="s">
        <v>49</v>
      </c>
      <c r="U1629" s="81" t="s">
        <v>48</v>
      </c>
      <c r="V1629" s="81" t="s">
        <v>48</v>
      </c>
      <c r="W1629" s="81" t="s">
        <v>49</v>
      </c>
      <c r="X1629" s="81" t="s">
        <v>48</v>
      </c>
      <c r="Y1629" s="81" t="s">
        <v>48</v>
      </c>
    </row>
    <row r="1630" spans="1:25" x14ac:dyDescent="0.3">
      <c r="A1630" s="16" t="s">
        <v>1546</v>
      </c>
      <c r="B1630" s="81" t="s">
        <v>43</v>
      </c>
      <c r="C1630" s="81" t="s">
        <v>1547</v>
      </c>
      <c r="D1630" s="81" t="s">
        <v>45</v>
      </c>
      <c r="E1630" s="81" t="s">
        <v>2442</v>
      </c>
      <c r="F1630" s="81" t="s">
        <v>2620</v>
      </c>
      <c r="G1630" s="81" t="s">
        <v>3431</v>
      </c>
      <c r="H1630" s="81" t="s">
        <v>3432</v>
      </c>
      <c r="I1630" s="81" t="s">
        <v>6202</v>
      </c>
      <c r="J1630" s="81" t="s">
        <v>2186</v>
      </c>
      <c r="K1630" s="81" t="s">
        <v>6202</v>
      </c>
      <c r="L1630" s="81" t="s">
        <v>2392</v>
      </c>
      <c r="M1630" s="81" t="s">
        <v>6202</v>
      </c>
      <c r="N1630" s="81" t="s">
        <v>2231</v>
      </c>
      <c r="O1630" s="81" t="s">
        <v>2187</v>
      </c>
      <c r="P1630" s="81" t="s">
        <v>2187</v>
      </c>
      <c r="Q1630" s="81" t="s">
        <v>43</v>
      </c>
      <c r="R1630" s="81" t="s">
        <v>122</v>
      </c>
      <c r="S1630" s="81" t="s">
        <v>123</v>
      </c>
      <c r="T1630" s="81" t="s">
        <v>48</v>
      </c>
      <c r="U1630" s="81" t="s">
        <v>48</v>
      </c>
      <c r="V1630" s="81" t="s">
        <v>49</v>
      </c>
      <c r="W1630" s="81" t="s">
        <v>48</v>
      </c>
      <c r="X1630" s="81" t="s">
        <v>48</v>
      </c>
      <c r="Y1630" s="81" t="s">
        <v>48</v>
      </c>
    </row>
    <row r="1631" spans="1:25" x14ac:dyDescent="0.3">
      <c r="A1631" s="16">
        <v>7702031244493</v>
      </c>
      <c r="B1631" s="81" t="s">
        <v>43</v>
      </c>
      <c r="C1631" s="81" t="s">
        <v>1548</v>
      </c>
      <c r="D1631" s="81" t="s">
        <v>45</v>
      </c>
      <c r="E1631" s="81" t="s">
        <v>2227</v>
      </c>
      <c r="F1631" s="81" t="s">
        <v>2227</v>
      </c>
      <c r="G1631" s="81" t="s">
        <v>4499</v>
      </c>
      <c r="H1631" s="81" t="s">
        <v>3362</v>
      </c>
      <c r="I1631" s="81" t="s">
        <v>6824</v>
      </c>
      <c r="J1631" s="81" t="s">
        <v>2186</v>
      </c>
      <c r="K1631" s="81" t="s">
        <v>6824</v>
      </c>
      <c r="L1631" s="81" t="s">
        <v>2392</v>
      </c>
      <c r="M1631" s="81" t="s">
        <v>6824</v>
      </c>
      <c r="N1631" s="81" t="s">
        <v>2231</v>
      </c>
      <c r="O1631" s="81" t="s">
        <v>2187</v>
      </c>
      <c r="P1631" s="81" t="s">
        <v>2187</v>
      </c>
      <c r="Q1631" s="81" t="s">
        <v>43</v>
      </c>
      <c r="R1631" s="81" t="s">
        <v>524</v>
      </c>
      <c r="S1631" s="81" t="s">
        <v>525</v>
      </c>
      <c r="T1631" s="81" t="s">
        <v>48</v>
      </c>
      <c r="U1631" s="81" t="s">
        <v>48</v>
      </c>
      <c r="V1631" s="81" t="s">
        <v>49</v>
      </c>
      <c r="W1631" s="81" t="s">
        <v>48</v>
      </c>
      <c r="X1631" s="81" t="s">
        <v>48</v>
      </c>
      <c r="Y1631" s="81" t="s">
        <v>48</v>
      </c>
    </row>
    <row r="1632" spans="1:25" x14ac:dyDescent="0.3">
      <c r="A1632" s="16">
        <v>7702035870384</v>
      </c>
      <c r="B1632" s="81" t="s">
        <v>43</v>
      </c>
      <c r="C1632" s="81" t="s">
        <v>2056</v>
      </c>
      <c r="D1632" s="81" t="s">
        <v>45</v>
      </c>
      <c r="E1632" s="81" t="s">
        <v>2227</v>
      </c>
      <c r="F1632" s="81" t="s">
        <v>2227</v>
      </c>
      <c r="G1632" s="81" t="s">
        <v>3488</v>
      </c>
      <c r="H1632" s="81" t="s">
        <v>3052</v>
      </c>
      <c r="I1632" s="81" t="s">
        <v>3287</v>
      </c>
      <c r="J1632" s="81" t="s">
        <v>2186</v>
      </c>
      <c r="K1632" s="81" t="s">
        <v>3161</v>
      </c>
      <c r="L1632" s="81" t="s">
        <v>2392</v>
      </c>
      <c r="M1632" s="81" t="s">
        <v>3497</v>
      </c>
      <c r="N1632" s="81" t="s">
        <v>2231</v>
      </c>
      <c r="O1632" s="81" t="s">
        <v>2187</v>
      </c>
      <c r="P1632" s="81" t="s">
        <v>2187</v>
      </c>
      <c r="Q1632" s="81" t="s">
        <v>43</v>
      </c>
      <c r="R1632" s="81" t="s">
        <v>525</v>
      </c>
      <c r="S1632" s="81" t="s">
        <v>525</v>
      </c>
      <c r="T1632" s="81" t="s">
        <v>48</v>
      </c>
      <c r="U1632" s="81" t="s">
        <v>48</v>
      </c>
      <c r="V1632" s="81" t="s">
        <v>49</v>
      </c>
      <c r="W1632" s="81" t="s">
        <v>48</v>
      </c>
      <c r="X1632" s="81" t="s">
        <v>48</v>
      </c>
      <c r="Y1632" s="81" t="s">
        <v>48</v>
      </c>
    </row>
    <row r="1633" spans="1:25" x14ac:dyDescent="0.3">
      <c r="A1633" s="16">
        <v>7501342804644</v>
      </c>
      <c r="B1633" s="81" t="s">
        <v>43</v>
      </c>
      <c r="C1633" s="81" t="s">
        <v>1549</v>
      </c>
      <c r="D1633" s="81" t="s">
        <v>45</v>
      </c>
      <c r="E1633" s="81" t="s">
        <v>2227</v>
      </c>
      <c r="F1633" s="81" t="s">
        <v>2227</v>
      </c>
      <c r="G1633" s="81" t="s">
        <v>3264</v>
      </c>
      <c r="H1633" s="81" t="s">
        <v>2198</v>
      </c>
      <c r="I1633" s="81" t="s">
        <v>6825</v>
      </c>
      <c r="J1633" s="81" t="s">
        <v>2186</v>
      </c>
      <c r="K1633" s="81" t="s">
        <v>6825</v>
      </c>
      <c r="L1633" s="81" t="s">
        <v>2392</v>
      </c>
      <c r="M1633" s="81" t="s">
        <v>6825</v>
      </c>
      <c r="N1633" s="81" t="s">
        <v>2231</v>
      </c>
      <c r="O1633" s="81" t="s">
        <v>2187</v>
      </c>
      <c r="P1633" s="81" t="s">
        <v>2187</v>
      </c>
      <c r="Q1633" s="81" t="s">
        <v>43</v>
      </c>
      <c r="R1633" s="81" t="s">
        <v>46</v>
      </c>
      <c r="S1633" s="81" t="s">
        <v>46</v>
      </c>
      <c r="T1633" s="81" t="s">
        <v>48</v>
      </c>
      <c r="U1633" s="81" t="s">
        <v>48</v>
      </c>
      <c r="V1633" s="81" t="s">
        <v>48</v>
      </c>
      <c r="W1633" s="81" t="s">
        <v>49</v>
      </c>
      <c r="X1633" s="81" t="s">
        <v>48</v>
      </c>
      <c r="Y1633" s="81" t="s">
        <v>48</v>
      </c>
    </row>
    <row r="1634" spans="1:25" x14ac:dyDescent="0.3">
      <c r="A1634" s="16" t="s">
        <v>1550</v>
      </c>
      <c r="B1634" s="81" t="s">
        <v>43</v>
      </c>
      <c r="C1634" s="81" t="s">
        <v>1551</v>
      </c>
      <c r="D1634" s="81" t="s">
        <v>45</v>
      </c>
      <c r="E1634" s="81" t="s">
        <v>2447</v>
      </c>
      <c r="F1634" s="81" t="s">
        <v>2300</v>
      </c>
      <c r="G1634" s="81" t="s">
        <v>3259</v>
      </c>
      <c r="H1634" s="81" t="s">
        <v>6826</v>
      </c>
      <c r="I1634" s="81" t="s">
        <v>2880</v>
      </c>
      <c r="J1634" s="81" t="s">
        <v>2186</v>
      </c>
      <c r="K1634" s="81" t="s">
        <v>2880</v>
      </c>
      <c r="L1634" s="81" t="s">
        <v>2392</v>
      </c>
      <c r="M1634" s="81" t="s">
        <v>2880</v>
      </c>
      <c r="N1634" s="81" t="s">
        <v>2231</v>
      </c>
      <c r="O1634" s="81" t="s">
        <v>2187</v>
      </c>
      <c r="P1634" s="81" t="s">
        <v>2187</v>
      </c>
      <c r="Q1634" s="81" t="s">
        <v>43</v>
      </c>
      <c r="R1634" s="81" t="s">
        <v>46</v>
      </c>
      <c r="S1634" s="81" t="s">
        <v>164</v>
      </c>
      <c r="T1634" s="81" t="s">
        <v>48</v>
      </c>
      <c r="U1634" s="81" t="s">
        <v>48</v>
      </c>
      <c r="V1634" s="81" t="s">
        <v>48</v>
      </c>
      <c r="W1634" s="81" t="s">
        <v>49</v>
      </c>
      <c r="X1634" s="81" t="s">
        <v>48</v>
      </c>
      <c r="Y1634" s="81" t="s">
        <v>48</v>
      </c>
    </row>
    <row r="1635" spans="1:25" x14ac:dyDescent="0.3">
      <c r="A1635" s="16" t="s">
        <v>1552</v>
      </c>
      <c r="B1635" s="81" t="s">
        <v>43</v>
      </c>
      <c r="C1635" s="81" t="s">
        <v>1553</v>
      </c>
      <c r="D1635" s="81" t="s">
        <v>45</v>
      </c>
      <c r="E1635" s="81" t="s">
        <v>2227</v>
      </c>
      <c r="F1635" s="81" t="s">
        <v>2227</v>
      </c>
      <c r="G1635" s="81" t="s">
        <v>3873</v>
      </c>
      <c r="H1635" s="81" t="s">
        <v>6827</v>
      </c>
      <c r="I1635" s="81" t="s">
        <v>6828</v>
      </c>
      <c r="J1635" s="81" t="s">
        <v>2186</v>
      </c>
      <c r="K1635" s="81" t="s">
        <v>6828</v>
      </c>
      <c r="L1635" s="81" t="s">
        <v>2392</v>
      </c>
      <c r="M1635" s="81" t="s">
        <v>6828</v>
      </c>
      <c r="N1635" s="81" t="s">
        <v>2231</v>
      </c>
      <c r="O1635" s="81" t="s">
        <v>2187</v>
      </c>
      <c r="P1635" s="81" t="s">
        <v>2187</v>
      </c>
      <c r="Q1635" s="81" t="s">
        <v>43</v>
      </c>
      <c r="R1635" s="81" t="s">
        <v>374</v>
      </c>
      <c r="S1635" s="81" t="s">
        <v>374</v>
      </c>
      <c r="T1635" s="81" t="s">
        <v>48</v>
      </c>
      <c r="U1635" s="81" t="s">
        <v>48</v>
      </c>
      <c r="V1635" s="81" t="s">
        <v>48</v>
      </c>
      <c r="W1635" s="81" t="s">
        <v>49</v>
      </c>
      <c r="X1635" s="81" t="s">
        <v>48</v>
      </c>
      <c r="Y1635" s="81" t="s">
        <v>48</v>
      </c>
    </row>
    <row r="1636" spans="1:25" x14ac:dyDescent="0.3">
      <c r="A1636" s="16" t="s">
        <v>1554</v>
      </c>
      <c r="B1636" s="81" t="s">
        <v>43</v>
      </c>
      <c r="C1636" s="81" t="s">
        <v>1555</v>
      </c>
      <c r="D1636" s="81" t="s">
        <v>45</v>
      </c>
      <c r="E1636" s="81" t="s">
        <v>2227</v>
      </c>
      <c r="F1636" s="81" t="s">
        <v>2227</v>
      </c>
      <c r="G1636" s="81" t="s">
        <v>3731</v>
      </c>
      <c r="H1636" s="81" t="s">
        <v>2190</v>
      </c>
      <c r="I1636" s="81" t="s">
        <v>6027</v>
      </c>
      <c r="J1636" s="81" t="s">
        <v>2186</v>
      </c>
      <c r="K1636" s="81" t="s">
        <v>6027</v>
      </c>
      <c r="L1636" s="81" t="s">
        <v>2392</v>
      </c>
      <c r="M1636" s="81" t="s">
        <v>6027</v>
      </c>
      <c r="N1636" s="81" t="s">
        <v>2231</v>
      </c>
      <c r="O1636" s="81" t="s">
        <v>2187</v>
      </c>
      <c r="P1636" s="81" t="s">
        <v>2187</v>
      </c>
      <c r="Q1636" s="81" t="s">
        <v>43</v>
      </c>
      <c r="R1636" s="81" t="s">
        <v>46</v>
      </c>
      <c r="S1636" s="81" t="s">
        <v>46</v>
      </c>
      <c r="T1636" s="81" t="s">
        <v>48</v>
      </c>
      <c r="U1636" s="81" t="s">
        <v>48</v>
      </c>
      <c r="V1636" s="81" t="s">
        <v>48</v>
      </c>
      <c r="W1636" s="81" t="s">
        <v>49</v>
      </c>
      <c r="X1636" s="81" t="s">
        <v>48</v>
      </c>
      <c r="Y1636" s="81" t="s">
        <v>48</v>
      </c>
    </row>
    <row r="1637" spans="1:25" x14ac:dyDescent="0.3">
      <c r="A1637" s="16" t="s">
        <v>1556</v>
      </c>
      <c r="B1637" s="81" t="s">
        <v>43</v>
      </c>
      <c r="C1637" s="81" t="s">
        <v>1557</v>
      </c>
      <c r="D1637" s="81" t="s">
        <v>45</v>
      </c>
      <c r="E1637" s="81" t="s">
        <v>2704</v>
      </c>
      <c r="F1637" s="81" t="s">
        <v>2312</v>
      </c>
      <c r="G1637" s="81" t="s">
        <v>4002</v>
      </c>
      <c r="H1637" s="81" t="s">
        <v>2279</v>
      </c>
      <c r="I1637" s="81" t="s">
        <v>6003</v>
      </c>
      <c r="J1637" s="81" t="s">
        <v>2186</v>
      </c>
      <c r="K1637" s="81" t="s">
        <v>6003</v>
      </c>
      <c r="L1637" s="81" t="s">
        <v>2392</v>
      </c>
      <c r="M1637" s="81" t="s">
        <v>6003</v>
      </c>
      <c r="N1637" s="81" t="s">
        <v>2231</v>
      </c>
      <c r="O1637" s="81" t="s">
        <v>2187</v>
      </c>
      <c r="P1637" s="81" t="s">
        <v>2187</v>
      </c>
      <c r="Q1637" s="81" t="s">
        <v>43</v>
      </c>
      <c r="R1637" s="81" t="s">
        <v>203</v>
      </c>
      <c r="S1637" s="81" t="s">
        <v>203</v>
      </c>
      <c r="T1637" s="81" t="s">
        <v>48</v>
      </c>
      <c r="U1637" s="81" t="s">
        <v>48</v>
      </c>
      <c r="V1637" s="81" t="s">
        <v>48</v>
      </c>
      <c r="W1637" s="81" t="s">
        <v>49</v>
      </c>
      <c r="X1637" s="81" t="s">
        <v>48</v>
      </c>
      <c r="Y1637" s="81" t="s">
        <v>48</v>
      </c>
    </row>
    <row r="1638" spans="1:25" x14ac:dyDescent="0.3">
      <c r="A1638" s="16" t="s">
        <v>1558</v>
      </c>
      <c r="B1638" s="81" t="s">
        <v>43</v>
      </c>
      <c r="C1638" s="81" t="s">
        <v>1559</v>
      </c>
      <c r="D1638" s="81" t="s">
        <v>45</v>
      </c>
      <c r="E1638" s="81" t="s">
        <v>2398</v>
      </c>
      <c r="F1638" s="81" t="s">
        <v>3084</v>
      </c>
      <c r="G1638" s="81" t="s">
        <v>4003</v>
      </c>
      <c r="H1638" s="81" t="s">
        <v>6829</v>
      </c>
      <c r="I1638" s="81" t="s">
        <v>6830</v>
      </c>
      <c r="J1638" s="81" t="s">
        <v>2186</v>
      </c>
      <c r="K1638" s="81" t="s">
        <v>6830</v>
      </c>
      <c r="L1638" s="81" t="s">
        <v>2392</v>
      </c>
      <c r="M1638" s="81" t="s">
        <v>6830</v>
      </c>
      <c r="N1638" s="81" t="s">
        <v>2231</v>
      </c>
      <c r="O1638" s="81" t="s">
        <v>2187</v>
      </c>
      <c r="P1638" s="81" t="s">
        <v>2187</v>
      </c>
      <c r="Q1638" s="81" t="s">
        <v>43</v>
      </c>
      <c r="R1638" s="81" t="s">
        <v>203</v>
      </c>
      <c r="S1638" s="81" t="s">
        <v>203</v>
      </c>
      <c r="T1638" s="81" t="s">
        <v>48</v>
      </c>
      <c r="U1638" s="81" t="s">
        <v>48</v>
      </c>
      <c r="V1638" s="81" t="s">
        <v>48</v>
      </c>
      <c r="W1638" s="81" t="s">
        <v>49</v>
      </c>
      <c r="X1638" s="81" t="s">
        <v>48</v>
      </c>
      <c r="Y1638" s="81" t="s">
        <v>48</v>
      </c>
    </row>
    <row r="1639" spans="1:25" x14ac:dyDescent="0.3">
      <c r="A1639" s="16" t="s">
        <v>1560</v>
      </c>
      <c r="B1639" s="81" t="s">
        <v>43</v>
      </c>
      <c r="C1639" s="81" t="s">
        <v>1561</v>
      </c>
      <c r="D1639" s="81" t="s">
        <v>45</v>
      </c>
      <c r="E1639" s="81" t="s">
        <v>2358</v>
      </c>
      <c r="F1639" s="81" t="s">
        <v>2354</v>
      </c>
      <c r="G1639" s="81" t="s">
        <v>4004</v>
      </c>
      <c r="H1639" s="81" t="s">
        <v>5295</v>
      </c>
      <c r="I1639" s="81" t="s">
        <v>6831</v>
      </c>
      <c r="J1639" s="81" t="s">
        <v>2186</v>
      </c>
      <c r="K1639" s="81" t="s">
        <v>6831</v>
      </c>
      <c r="L1639" s="81" t="s">
        <v>2392</v>
      </c>
      <c r="M1639" s="81" t="s">
        <v>6831</v>
      </c>
      <c r="N1639" s="81" t="s">
        <v>2231</v>
      </c>
      <c r="O1639" s="81" t="s">
        <v>2187</v>
      </c>
      <c r="P1639" s="81" t="s">
        <v>2187</v>
      </c>
      <c r="Q1639" s="81" t="s">
        <v>43</v>
      </c>
      <c r="R1639" s="81" t="s">
        <v>374</v>
      </c>
      <c r="S1639" s="81" t="s">
        <v>73</v>
      </c>
      <c r="T1639" s="81" t="s">
        <v>48</v>
      </c>
      <c r="U1639" s="81" t="s">
        <v>48</v>
      </c>
      <c r="V1639" s="81" t="s">
        <v>48</v>
      </c>
      <c r="W1639" s="81" t="s">
        <v>49</v>
      </c>
      <c r="X1639" s="81" t="s">
        <v>48</v>
      </c>
      <c r="Y1639" s="81" t="s">
        <v>48</v>
      </c>
    </row>
    <row r="1640" spans="1:25" x14ac:dyDescent="0.3">
      <c r="A1640" s="16" t="s">
        <v>1562</v>
      </c>
      <c r="B1640" s="81" t="s">
        <v>43</v>
      </c>
      <c r="C1640" s="81" t="s">
        <v>4005</v>
      </c>
      <c r="D1640" s="81" t="s">
        <v>45</v>
      </c>
      <c r="E1640" s="81" t="s">
        <v>2298</v>
      </c>
      <c r="F1640" s="81" t="s">
        <v>2262</v>
      </c>
      <c r="G1640" s="81" t="s">
        <v>3344</v>
      </c>
      <c r="H1640" s="81" t="s">
        <v>6124</v>
      </c>
      <c r="I1640" s="81" t="s">
        <v>6125</v>
      </c>
      <c r="J1640" s="81" t="s">
        <v>2186</v>
      </c>
      <c r="K1640" s="81" t="s">
        <v>6125</v>
      </c>
      <c r="L1640" s="81" t="s">
        <v>2392</v>
      </c>
      <c r="M1640" s="81" t="s">
        <v>6125</v>
      </c>
      <c r="N1640" s="81" t="s">
        <v>2231</v>
      </c>
      <c r="O1640" s="81" t="s">
        <v>2187</v>
      </c>
      <c r="P1640" s="81" t="s">
        <v>2187</v>
      </c>
      <c r="Q1640" s="81" t="s">
        <v>43</v>
      </c>
      <c r="R1640" s="81" t="s">
        <v>46</v>
      </c>
      <c r="S1640" s="81" t="s">
        <v>47</v>
      </c>
      <c r="T1640" s="81" t="s">
        <v>48</v>
      </c>
      <c r="U1640" s="81" t="s">
        <v>48</v>
      </c>
      <c r="V1640" s="81" t="s">
        <v>48</v>
      </c>
      <c r="W1640" s="81" t="s">
        <v>49</v>
      </c>
      <c r="X1640" s="81" t="s">
        <v>48</v>
      </c>
      <c r="Y1640" s="81" t="s">
        <v>48</v>
      </c>
    </row>
    <row r="1641" spans="1:25" x14ac:dyDescent="0.3">
      <c r="A1641" s="16" t="s">
        <v>1563</v>
      </c>
      <c r="B1641" s="81" t="s">
        <v>43</v>
      </c>
      <c r="C1641" s="81" t="s">
        <v>1564</v>
      </c>
      <c r="D1641" s="81" t="s">
        <v>45</v>
      </c>
      <c r="E1641" s="81" t="s">
        <v>2313</v>
      </c>
      <c r="F1641" s="81" t="s">
        <v>2352</v>
      </c>
      <c r="G1641" s="81" t="s">
        <v>3121</v>
      </c>
      <c r="H1641" s="81" t="s">
        <v>6832</v>
      </c>
      <c r="I1641" s="81" t="s">
        <v>6833</v>
      </c>
      <c r="J1641" s="81" t="s">
        <v>2186</v>
      </c>
      <c r="K1641" s="81" t="s">
        <v>6833</v>
      </c>
      <c r="L1641" s="81" t="s">
        <v>2392</v>
      </c>
      <c r="M1641" s="81" t="s">
        <v>6833</v>
      </c>
      <c r="N1641" s="81" t="s">
        <v>2231</v>
      </c>
      <c r="O1641" s="81" t="s">
        <v>2187</v>
      </c>
      <c r="P1641" s="81" t="s">
        <v>2187</v>
      </c>
      <c r="Q1641" s="81" t="s">
        <v>43</v>
      </c>
      <c r="R1641" s="81" t="s">
        <v>46</v>
      </c>
      <c r="S1641" s="81" t="s">
        <v>164</v>
      </c>
      <c r="T1641" s="81" t="s">
        <v>48</v>
      </c>
      <c r="U1641" s="81" t="s">
        <v>48</v>
      </c>
      <c r="V1641" s="81" t="s">
        <v>48</v>
      </c>
      <c r="W1641" s="81" t="s">
        <v>49</v>
      </c>
      <c r="X1641" s="81" t="s">
        <v>48</v>
      </c>
      <c r="Y1641" s="81" t="s">
        <v>48</v>
      </c>
    </row>
    <row r="1642" spans="1:25" x14ac:dyDescent="0.3">
      <c r="A1642" s="16" t="s">
        <v>1565</v>
      </c>
      <c r="B1642" s="81" t="s">
        <v>43</v>
      </c>
      <c r="C1642" s="81" t="s">
        <v>1566</v>
      </c>
      <c r="D1642" s="81" t="s">
        <v>45</v>
      </c>
      <c r="E1642" s="81" t="s">
        <v>2227</v>
      </c>
      <c r="F1642" s="81" t="s">
        <v>2227</v>
      </c>
      <c r="G1642" s="81" t="s">
        <v>3700</v>
      </c>
      <c r="H1642" s="81" t="s">
        <v>6834</v>
      </c>
      <c r="I1642" s="81" t="s">
        <v>6835</v>
      </c>
      <c r="J1642" s="81" t="s">
        <v>2186</v>
      </c>
      <c r="K1642" s="81" t="s">
        <v>6835</v>
      </c>
      <c r="L1642" s="81" t="s">
        <v>2392</v>
      </c>
      <c r="M1642" s="81" t="s">
        <v>6835</v>
      </c>
      <c r="N1642" s="81" t="s">
        <v>2231</v>
      </c>
      <c r="O1642" s="81" t="s">
        <v>2187</v>
      </c>
      <c r="P1642" s="81" t="s">
        <v>2187</v>
      </c>
      <c r="Q1642" s="81" t="s">
        <v>43</v>
      </c>
      <c r="R1642" s="81" t="s">
        <v>524</v>
      </c>
      <c r="S1642" s="81" t="s">
        <v>525</v>
      </c>
      <c r="T1642" s="81" t="s">
        <v>48</v>
      </c>
      <c r="U1642" s="81" t="s">
        <v>48</v>
      </c>
      <c r="V1642" s="81" t="s">
        <v>49</v>
      </c>
      <c r="W1642" s="81" t="s">
        <v>48</v>
      </c>
      <c r="X1642" s="81" t="s">
        <v>48</v>
      </c>
      <c r="Y1642" s="81" t="s">
        <v>48</v>
      </c>
    </row>
    <row r="1643" spans="1:25" x14ac:dyDescent="0.3">
      <c r="A1643" s="16" t="s">
        <v>1567</v>
      </c>
      <c r="B1643" s="81" t="s">
        <v>43</v>
      </c>
      <c r="C1643" s="81" t="s">
        <v>4007</v>
      </c>
      <c r="D1643" s="81" t="s">
        <v>45</v>
      </c>
      <c r="E1643" s="81" t="s">
        <v>2357</v>
      </c>
      <c r="F1643" s="81" t="s">
        <v>2358</v>
      </c>
      <c r="G1643" s="81" t="s">
        <v>3612</v>
      </c>
      <c r="H1643" s="81" t="s">
        <v>6382</v>
      </c>
      <c r="I1643" s="81" t="s">
        <v>6383</v>
      </c>
      <c r="J1643" s="81" t="s">
        <v>2186</v>
      </c>
      <c r="K1643" s="81" t="s">
        <v>6383</v>
      </c>
      <c r="L1643" s="81" t="s">
        <v>2392</v>
      </c>
      <c r="M1643" s="81" t="s">
        <v>6383</v>
      </c>
      <c r="N1643" s="81" t="s">
        <v>2231</v>
      </c>
      <c r="O1643" s="81" t="s">
        <v>2187</v>
      </c>
      <c r="P1643" s="81" t="s">
        <v>2187</v>
      </c>
      <c r="Q1643" s="81" t="s">
        <v>43</v>
      </c>
      <c r="R1643" s="81" t="s">
        <v>46</v>
      </c>
      <c r="S1643" s="81" t="s">
        <v>46</v>
      </c>
      <c r="T1643" s="81" t="s">
        <v>48</v>
      </c>
      <c r="U1643" s="81" t="s">
        <v>48</v>
      </c>
      <c r="V1643" s="81" t="s">
        <v>48</v>
      </c>
      <c r="W1643" s="81" t="s">
        <v>49</v>
      </c>
      <c r="X1643" s="81" t="s">
        <v>48</v>
      </c>
      <c r="Y1643" s="81" t="s">
        <v>48</v>
      </c>
    </row>
    <row r="1644" spans="1:25" x14ac:dyDescent="0.3">
      <c r="A1644" s="16" t="s">
        <v>1568</v>
      </c>
      <c r="B1644" s="81" t="s">
        <v>43</v>
      </c>
      <c r="C1644" s="81" t="s">
        <v>1678</v>
      </c>
      <c r="D1644" s="81" t="s">
        <v>45</v>
      </c>
      <c r="E1644" s="81" t="s">
        <v>2312</v>
      </c>
      <c r="F1644" s="81" t="s">
        <v>2419</v>
      </c>
      <c r="G1644" s="81" t="s">
        <v>4008</v>
      </c>
      <c r="H1644" s="81" t="s">
        <v>2559</v>
      </c>
      <c r="I1644" s="81" t="s">
        <v>6836</v>
      </c>
      <c r="J1644" s="81" t="s">
        <v>2186</v>
      </c>
      <c r="K1644" s="81" t="s">
        <v>6836</v>
      </c>
      <c r="L1644" s="81" t="s">
        <v>2392</v>
      </c>
      <c r="M1644" s="81" t="s">
        <v>6836</v>
      </c>
      <c r="N1644" s="81" t="s">
        <v>2231</v>
      </c>
      <c r="O1644" s="81" t="s">
        <v>2187</v>
      </c>
      <c r="P1644" s="81" t="s">
        <v>2187</v>
      </c>
      <c r="Q1644" s="81" t="s">
        <v>43</v>
      </c>
      <c r="R1644" s="81" t="s">
        <v>46</v>
      </c>
      <c r="S1644" s="81" t="s">
        <v>46</v>
      </c>
      <c r="T1644" s="81" t="s">
        <v>48</v>
      </c>
      <c r="U1644" s="81" t="s">
        <v>48</v>
      </c>
      <c r="V1644" s="81" t="s">
        <v>48</v>
      </c>
      <c r="W1644" s="81" t="s">
        <v>49</v>
      </c>
      <c r="X1644" s="81" t="s">
        <v>48</v>
      </c>
      <c r="Y1644" s="81" t="s">
        <v>48</v>
      </c>
    </row>
    <row r="1645" spans="1:25" x14ac:dyDescent="0.3">
      <c r="A1645" s="16" t="s">
        <v>1569</v>
      </c>
      <c r="B1645" s="81" t="s">
        <v>43</v>
      </c>
      <c r="C1645" s="81" t="s">
        <v>1570</v>
      </c>
      <c r="D1645" s="81" t="s">
        <v>45</v>
      </c>
      <c r="E1645" s="81" t="s">
        <v>2227</v>
      </c>
      <c r="F1645" s="81" t="s">
        <v>2227</v>
      </c>
      <c r="G1645" s="81" t="s">
        <v>3778</v>
      </c>
      <c r="H1645" s="81" t="s">
        <v>6837</v>
      </c>
      <c r="I1645" s="81" t="s">
        <v>6838</v>
      </c>
      <c r="J1645" s="81" t="s">
        <v>2186</v>
      </c>
      <c r="K1645" s="81" t="s">
        <v>6838</v>
      </c>
      <c r="L1645" s="81" t="s">
        <v>2392</v>
      </c>
      <c r="M1645" s="81" t="s">
        <v>6838</v>
      </c>
      <c r="N1645" s="81" t="s">
        <v>2231</v>
      </c>
      <c r="O1645" s="81" t="s">
        <v>2187</v>
      </c>
      <c r="P1645" s="81" t="s">
        <v>2187</v>
      </c>
      <c r="Q1645" s="81" t="s">
        <v>43</v>
      </c>
      <c r="R1645" s="81" t="s">
        <v>51</v>
      </c>
      <c r="S1645" s="81" t="s">
        <v>81</v>
      </c>
      <c r="T1645" s="81" t="s">
        <v>48</v>
      </c>
      <c r="U1645" s="81" t="s">
        <v>48</v>
      </c>
      <c r="V1645" s="81" t="s">
        <v>48</v>
      </c>
      <c r="W1645" s="81" t="s">
        <v>49</v>
      </c>
      <c r="X1645" s="81" t="s">
        <v>48</v>
      </c>
      <c r="Y1645" s="81" t="s">
        <v>48</v>
      </c>
    </row>
    <row r="1646" spans="1:25" x14ac:dyDescent="0.3">
      <c r="A1646" s="16">
        <v>7896009419324</v>
      </c>
      <c r="B1646" s="81" t="s">
        <v>43</v>
      </c>
      <c r="C1646" s="81" t="s">
        <v>1571</v>
      </c>
      <c r="D1646" s="81" t="s">
        <v>45</v>
      </c>
      <c r="E1646" s="81" t="s">
        <v>2227</v>
      </c>
      <c r="F1646" s="81" t="s">
        <v>2227</v>
      </c>
      <c r="G1646" s="81" t="s">
        <v>4009</v>
      </c>
      <c r="H1646" s="81" t="s">
        <v>2817</v>
      </c>
      <c r="I1646" s="81" t="s">
        <v>6839</v>
      </c>
      <c r="J1646" s="81" t="s">
        <v>2186</v>
      </c>
      <c r="K1646" s="81" t="s">
        <v>6839</v>
      </c>
      <c r="L1646" s="81" t="s">
        <v>2392</v>
      </c>
      <c r="M1646" s="81" t="s">
        <v>6839</v>
      </c>
      <c r="N1646" s="81" t="s">
        <v>2231</v>
      </c>
      <c r="O1646" s="81" t="s">
        <v>2187</v>
      </c>
      <c r="P1646" s="81" t="s">
        <v>2187</v>
      </c>
      <c r="Q1646" s="81" t="s">
        <v>43</v>
      </c>
      <c r="R1646" s="81" t="s">
        <v>524</v>
      </c>
      <c r="S1646" s="81" t="s">
        <v>525</v>
      </c>
      <c r="T1646" s="81" t="s">
        <v>48</v>
      </c>
      <c r="U1646" s="81" t="s">
        <v>48</v>
      </c>
      <c r="V1646" s="81" t="s">
        <v>49</v>
      </c>
      <c r="W1646" s="81" t="s">
        <v>48</v>
      </c>
      <c r="X1646" s="81" t="s">
        <v>48</v>
      </c>
      <c r="Y1646" s="81" t="s">
        <v>48</v>
      </c>
    </row>
    <row r="1647" spans="1:25" x14ac:dyDescent="0.3">
      <c r="A1647" s="16">
        <v>7501128162173</v>
      </c>
      <c r="B1647" s="81" t="s">
        <v>43</v>
      </c>
      <c r="C1647" s="81" t="s">
        <v>1737</v>
      </c>
      <c r="D1647" s="81" t="s">
        <v>45</v>
      </c>
      <c r="E1647" s="81" t="s">
        <v>2227</v>
      </c>
      <c r="F1647" s="81" t="s">
        <v>2227</v>
      </c>
      <c r="G1647" s="81" t="s">
        <v>4010</v>
      </c>
      <c r="H1647" s="81" t="s">
        <v>2315</v>
      </c>
      <c r="I1647" s="81" t="s">
        <v>3186</v>
      </c>
      <c r="J1647" s="81" t="s">
        <v>2186</v>
      </c>
      <c r="K1647" s="81" t="s">
        <v>4011</v>
      </c>
      <c r="L1647" s="81" t="s">
        <v>2392</v>
      </c>
      <c r="M1647" s="81" t="s">
        <v>4012</v>
      </c>
      <c r="N1647" s="81" t="s">
        <v>2231</v>
      </c>
      <c r="O1647" s="81" t="s">
        <v>2187</v>
      </c>
      <c r="P1647" s="81" t="s">
        <v>2187</v>
      </c>
      <c r="Q1647" s="81" t="s">
        <v>43</v>
      </c>
      <c r="R1647" s="81" t="s">
        <v>122</v>
      </c>
      <c r="S1647" s="81" t="s">
        <v>123</v>
      </c>
      <c r="T1647" s="81" t="s">
        <v>48</v>
      </c>
      <c r="U1647" s="81" t="s">
        <v>48</v>
      </c>
      <c r="V1647" s="81" t="s">
        <v>49</v>
      </c>
      <c r="W1647" s="81" t="s">
        <v>48</v>
      </c>
      <c r="X1647" s="81" t="s">
        <v>48</v>
      </c>
      <c r="Y1647" s="81" t="s">
        <v>48</v>
      </c>
    </row>
    <row r="1648" spans="1:25" x14ac:dyDescent="0.3">
      <c r="A1648" s="16">
        <v>7501318645080</v>
      </c>
      <c r="B1648" s="81" t="s">
        <v>43</v>
      </c>
      <c r="C1648" s="81" t="s">
        <v>1572</v>
      </c>
      <c r="D1648" s="81" t="s">
        <v>45</v>
      </c>
      <c r="E1648" s="81" t="s">
        <v>2227</v>
      </c>
      <c r="F1648" s="81" t="s">
        <v>2227</v>
      </c>
      <c r="G1648" s="81" t="s">
        <v>4405</v>
      </c>
      <c r="H1648" s="81" t="s">
        <v>2676</v>
      </c>
      <c r="I1648" s="81" t="s">
        <v>6796</v>
      </c>
      <c r="J1648" s="81" t="s">
        <v>2186</v>
      </c>
      <c r="K1648" s="81" t="s">
        <v>6796</v>
      </c>
      <c r="L1648" s="81" t="s">
        <v>2392</v>
      </c>
      <c r="M1648" s="81" t="s">
        <v>6796</v>
      </c>
      <c r="N1648" s="81" t="s">
        <v>2231</v>
      </c>
      <c r="O1648" s="81" t="s">
        <v>2187</v>
      </c>
      <c r="P1648" s="81" t="s">
        <v>2187</v>
      </c>
      <c r="Q1648" s="81" t="s">
        <v>43</v>
      </c>
      <c r="R1648" s="81" t="s">
        <v>203</v>
      </c>
      <c r="S1648" s="81" t="s">
        <v>203</v>
      </c>
      <c r="T1648" s="81" t="s">
        <v>48</v>
      </c>
      <c r="U1648" s="81" t="s">
        <v>48</v>
      </c>
      <c r="V1648" s="81" t="s">
        <v>48</v>
      </c>
      <c r="W1648" s="81" t="s">
        <v>49</v>
      </c>
      <c r="X1648" s="81" t="s">
        <v>48</v>
      </c>
      <c r="Y1648" s="81" t="s">
        <v>48</v>
      </c>
    </row>
    <row r="1649" spans="1:25" x14ac:dyDescent="0.3">
      <c r="A1649" s="16">
        <v>7501349021051</v>
      </c>
      <c r="B1649" s="81" t="s">
        <v>43</v>
      </c>
      <c r="C1649" s="81" t="s">
        <v>1573</v>
      </c>
      <c r="D1649" s="81" t="s">
        <v>45</v>
      </c>
      <c r="E1649" s="81" t="s">
        <v>2227</v>
      </c>
      <c r="F1649" s="81" t="s">
        <v>2227</v>
      </c>
      <c r="G1649" s="81" t="s">
        <v>4013</v>
      </c>
      <c r="H1649" s="81" t="s">
        <v>2291</v>
      </c>
      <c r="I1649" s="81" t="s">
        <v>2252</v>
      </c>
      <c r="J1649" s="81" t="s">
        <v>2186</v>
      </c>
      <c r="K1649" s="81" t="s">
        <v>2286</v>
      </c>
      <c r="L1649" s="81" t="s">
        <v>2392</v>
      </c>
      <c r="M1649" s="81" t="s">
        <v>3814</v>
      </c>
      <c r="N1649" s="81" t="s">
        <v>2231</v>
      </c>
      <c r="O1649" s="81" t="s">
        <v>2187</v>
      </c>
      <c r="P1649" s="81" t="s">
        <v>2187</v>
      </c>
      <c r="Q1649" s="81" t="s">
        <v>43</v>
      </c>
      <c r="R1649" s="81" t="s">
        <v>51</v>
      </c>
      <c r="S1649" s="81" t="s">
        <v>81</v>
      </c>
      <c r="T1649" s="81" t="s">
        <v>48</v>
      </c>
      <c r="U1649" s="81" t="s">
        <v>48</v>
      </c>
      <c r="V1649" s="81" t="s">
        <v>48</v>
      </c>
      <c r="W1649" s="81" t="s">
        <v>49</v>
      </c>
      <c r="X1649" s="81" t="s">
        <v>48</v>
      </c>
      <c r="Y1649" s="81" t="s">
        <v>48</v>
      </c>
    </row>
    <row r="1650" spans="1:25" x14ac:dyDescent="0.3">
      <c r="A1650" s="16">
        <v>7501258215954</v>
      </c>
      <c r="B1650" s="81" t="s">
        <v>43</v>
      </c>
      <c r="C1650" s="81" t="s">
        <v>4014</v>
      </c>
      <c r="D1650" s="81" t="s">
        <v>45</v>
      </c>
      <c r="E1650" s="81" t="s">
        <v>2227</v>
      </c>
      <c r="F1650" s="81" t="s">
        <v>2227</v>
      </c>
      <c r="G1650" s="81" t="s">
        <v>5042</v>
      </c>
      <c r="H1650" s="81" t="s">
        <v>3004</v>
      </c>
      <c r="I1650" s="81" t="s">
        <v>6840</v>
      </c>
      <c r="J1650" s="81" t="s">
        <v>2186</v>
      </c>
      <c r="K1650" s="81" t="s">
        <v>6840</v>
      </c>
      <c r="L1650" s="81" t="s">
        <v>2392</v>
      </c>
      <c r="M1650" s="81" t="s">
        <v>6840</v>
      </c>
      <c r="N1650" s="81" t="s">
        <v>2231</v>
      </c>
      <c r="O1650" s="81" t="s">
        <v>2187</v>
      </c>
      <c r="P1650" s="81" t="s">
        <v>2187</v>
      </c>
      <c r="Q1650" s="81" t="s">
        <v>43</v>
      </c>
      <c r="R1650" s="81" t="s">
        <v>203</v>
      </c>
      <c r="S1650" s="81" t="s">
        <v>203</v>
      </c>
      <c r="T1650" s="81" t="s">
        <v>48</v>
      </c>
      <c r="U1650" s="81" t="s">
        <v>48</v>
      </c>
      <c r="V1650" s="81" t="s">
        <v>48</v>
      </c>
      <c r="W1650" s="81" t="s">
        <v>49</v>
      </c>
      <c r="X1650" s="81" t="s">
        <v>48</v>
      </c>
      <c r="Y1650" s="81" t="s">
        <v>48</v>
      </c>
    </row>
    <row r="1651" spans="1:25" x14ac:dyDescent="0.3">
      <c r="A1651" s="16">
        <v>7501075727548</v>
      </c>
      <c r="B1651" s="81" t="s">
        <v>43</v>
      </c>
      <c r="C1651" s="81" t="s">
        <v>2057</v>
      </c>
      <c r="D1651" s="81" t="s">
        <v>45</v>
      </c>
      <c r="E1651" s="81" t="s">
        <v>2227</v>
      </c>
      <c r="F1651" s="81" t="s">
        <v>2227</v>
      </c>
      <c r="G1651" s="81" t="s">
        <v>4513</v>
      </c>
      <c r="H1651" s="81" t="s">
        <v>2396</v>
      </c>
      <c r="I1651" s="81" t="s">
        <v>6841</v>
      </c>
      <c r="J1651" s="81" t="s">
        <v>2186</v>
      </c>
      <c r="K1651" s="81" t="s">
        <v>6841</v>
      </c>
      <c r="L1651" s="81" t="s">
        <v>2392</v>
      </c>
      <c r="M1651" s="81" t="s">
        <v>6841</v>
      </c>
      <c r="N1651" s="81" t="s">
        <v>2231</v>
      </c>
      <c r="O1651" s="81" t="s">
        <v>2187</v>
      </c>
      <c r="P1651" s="81" t="s">
        <v>2187</v>
      </c>
      <c r="Q1651" s="81" t="s">
        <v>43</v>
      </c>
      <c r="R1651" s="81" t="s">
        <v>46</v>
      </c>
      <c r="S1651" s="81" t="s">
        <v>46</v>
      </c>
      <c r="T1651" s="81" t="s">
        <v>48</v>
      </c>
      <c r="U1651" s="81" t="s">
        <v>48</v>
      </c>
      <c r="V1651" s="81" t="s">
        <v>48</v>
      </c>
      <c r="W1651" s="81" t="s">
        <v>49</v>
      </c>
      <c r="X1651" s="81" t="s">
        <v>48</v>
      </c>
      <c r="Y1651" s="81" t="s">
        <v>48</v>
      </c>
    </row>
    <row r="1652" spans="1:25" x14ac:dyDescent="0.3">
      <c r="A1652" s="16">
        <v>7501122963103</v>
      </c>
      <c r="B1652" s="81" t="s">
        <v>43</v>
      </c>
      <c r="C1652" s="81" t="s">
        <v>1574</v>
      </c>
      <c r="D1652" s="81" t="s">
        <v>45</v>
      </c>
      <c r="E1652" s="81" t="s">
        <v>2227</v>
      </c>
      <c r="F1652" s="81" t="s">
        <v>2227</v>
      </c>
      <c r="G1652" s="81" t="s">
        <v>4015</v>
      </c>
      <c r="H1652" s="81" t="s">
        <v>2860</v>
      </c>
      <c r="I1652" s="81" t="s">
        <v>6842</v>
      </c>
      <c r="J1652" s="81" t="s">
        <v>2186</v>
      </c>
      <c r="K1652" s="81" t="s">
        <v>6842</v>
      </c>
      <c r="L1652" s="81" t="s">
        <v>2392</v>
      </c>
      <c r="M1652" s="81" t="s">
        <v>6842</v>
      </c>
      <c r="N1652" s="81" t="s">
        <v>2231</v>
      </c>
      <c r="O1652" s="81" t="s">
        <v>2187</v>
      </c>
      <c r="P1652" s="81" t="s">
        <v>2187</v>
      </c>
      <c r="Q1652" s="81" t="s">
        <v>43</v>
      </c>
      <c r="R1652" s="81" t="s">
        <v>374</v>
      </c>
      <c r="S1652" s="81" t="s">
        <v>374</v>
      </c>
      <c r="T1652" s="81" t="s">
        <v>48</v>
      </c>
      <c r="U1652" s="81" t="s">
        <v>48</v>
      </c>
      <c r="V1652" s="81" t="s">
        <v>48</v>
      </c>
      <c r="W1652" s="81" t="s">
        <v>49</v>
      </c>
      <c r="X1652" s="81" t="s">
        <v>48</v>
      </c>
      <c r="Y1652" s="81" t="s">
        <v>48</v>
      </c>
    </row>
    <row r="1653" spans="1:25" x14ac:dyDescent="0.3">
      <c r="A1653" s="16">
        <v>7506442705273</v>
      </c>
      <c r="B1653" s="81" t="s">
        <v>43</v>
      </c>
      <c r="C1653" s="81" t="s">
        <v>2058</v>
      </c>
      <c r="D1653" s="81" t="s">
        <v>45</v>
      </c>
      <c r="E1653" s="81" t="s">
        <v>2227</v>
      </c>
      <c r="F1653" s="81" t="s">
        <v>2227</v>
      </c>
      <c r="G1653" s="81" t="s">
        <v>4535</v>
      </c>
      <c r="H1653" s="81" t="s">
        <v>4016</v>
      </c>
      <c r="I1653" s="81" t="s">
        <v>6843</v>
      </c>
      <c r="J1653" s="81" t="s">
        <v>2186</v>
      </c>
      <c r="K1653" s="81" t="s">
        <v>6843</v>
      </c>
      <c r="L1653" s="81" t="s">
        <v>2392</v>
      </c>
      <c r="M1653" s="81" t="s">
        <v>6843</v>
      </c>
      <c r="N1653" s="81" t="s">
        <v>2231</v>
      </c>
      <c r="O1653" s="81" t="s">
        <v>2187</v>
      </c>
      <c r="P1653" s="81" t="s">
        <v>2187</v>
      </c>
      <c r="Q1653" s="81" t="s">
        <v>43</v>
      </c>
      <c r="R1653" s="81" t="s">
        <v>46</v>
      </c>
      <c r="S1653" s="81" t="s">
        <v>46</v>
      </c>
      <c r="T1653" s="81" t="s">
        <v>48</v>
      </c>
      <c r="U1653" s="81" t="s">
        <v>48</v>
      </c>
      <c r="V1653" s="81" t="s">
        <v>48</v>
      </c>
      <c r="W1653" s="81" t="s">
        <v>49</v>
      </c>
      <c r="X1653" s="81" t="s">
        <v>48</v>
      </c>
      <c r="Y1653" s="81" t="s">
        <v>48</v>
      </c>
    </row>
    <row r="1654" spans="1:25" x14ac:dyDescent="0.3">
      <c r="A1654" s="16">
        <v>7501033951374</v>
      </c>
      <c r="B1654" s="81" t="s">
        <v>43</v>
      </c>
      <c r="C1654" s="81" t="s">
        <v>1575</v>
      </c>
      <c r="D1654" s="81" t="s">
        <v>45</v>
      </c>
      <c r="E1654" s="81" t="s">
        <v>2227</v>
      </c>
      <c r="F1654" s="81" t="s">
        <v>2227</v>
      </c>
      <c r="G1654" s="81" t="s">
        <v>4017</v>
      </c>
      <c r="H1654" s="81" t="s">
        <v>6844</v>
      </c>
      <c r="I1654" s="81" t="s">
        <v>6845</v>
      </c>
      <c r="J1654" s="81" t="s">
        <v>2186</v>
      </c>
      <c r="K1654" s="81" t="s">
        <v>6845</v>
      </c>
      <c r="L1654" s="81" t="s">
        <v>2392</v>
      </c>
      <c r="M1654" s="81" t="s">
        <v>6845</v>
      </c>
      <c r="N1654" s="81" t="s">
        <v>2231</v>
      </c>
      <c r="O1654" s="81" t="s">
        <v>2187</v>
      </c>
      <c r="P1654" s="81" t="s">
        <v>2187</v>
      </c>
      <c r="Q1654" s="81" t="s">
        <v>43</v>
      </c>
      <c r="R1654" s="81" t="s">
        <v>374</v>
      </c>
      <c r="S1654" s="81" t="s">
        <v>374</v>
      </c>
      <c r="T1654" s="81" t="s">
        <v>48</v>
      </c>
      <c r="U1654" s="81" t="s">
        <v>48</v>
      </c>
      <c r="V1654" s="81" t="s">
        <v>48</v>
      </c>
      <c r="W1654" s="81" t="s">
        <v>49</v>
      </c>
      <c r="X1654" s="81" t="s">
        <v>48</v>
      </c>
      <c r="Y1654" s="81" t="s">
        <v>48</v>
      </c>
    </row>
    <row r="1655" spans="1:25" x14ac:dyDescent="0.3">
      <c r="A1655" s="16">
        <v>7501008485378</v>
      </c>
      <c r="B1655" s="81" t="s">
        <v>43</v>
      </c>
      <c r="C1655" s="81" t="s">
        <v>4018</v>
      </c>
      <c r="D1655" s="81" t="s">
        <v>45</v>
      </c>
      <c r="E1655" s="81" t="s">
        <v>2227</v>
      </c>
      <c r="F1655" s="81" t="s">
        <v>2227</v>
      </c>
      <c r="G1655" s="81" t="s">
        <v>4019</v>
      </c>
      <c r="H1655" s="81" t="s">
        <v>4940</v>
      </c>
      <c r="I1655" s="81" t="s">
        <v>3113</v>
      </c>
      <c r="J1655" s="81" t="s">
        <v>2186</v>
      </c>
      <c r="K1655" s="81" t="s">
        <v>3113</v>
      </c>
      <c r="L1655" s="81" t="s">
        <v>2392</v>
      </c>
      <c r="M1655" s="81" t="s">
        <v>3113</v>
      </c>
      <c r="N1655" s="81" t="s">
        <v>2231</v>
      </c>
      <c r="O1655" s="81" t="s">
        <v>2187</v>
      </c>
      <c r="P1655" s="81" t="s">
        <v>2187</v>
      </c>
      <c r="Q1655" s="81" t="s">
        <v>43</v>
      </c>
      <c r="R1655" s="81" t="s">
        <v>203</v>
      </c>
      <c r="S1655" s="81" t="s">
        <v>203</v>
      </c>
      <c r="T1655" s="81" t="s">
        <v>48</v>
      </c>
      <c r="U1655" s="81" t="s">
        <v>48</v>
      </c>
      <c r="V1655" s="81" t="s">
        <v>48</v>
      </c>
      <c r="W1655" s="81" t="s">
        <v>49</v>
      </c>
      <c r="X1655" s="81" t="s">
        <v>48</v>
      </c>
      <c r="Y1655" s="81" t="s">
        <v>48</v>
      </c>
    </row>
    <row r="1656" spans="1:25" x14ac:dyDescent="0.3">
      <c r="A1656" s="16">
        <v>7506331300053</v>
      </c>
      <c r="B1656" s="81" t="s">
        <v>43</v>
      </c>
      <c r="C1656" s="81" t="s">
        <v>1576</v>
      </c>
      <c r="D1656" s="81" t="s">
        <v>45</v>
      </c>
      <c r="E1656" s="81" t="s">
        <v>2227</v>
      </c>
      <c r="F1656" s="81" t="s">
        <v>2227</v>
      </c>
      <c r="G1656" s="81" t="s">
        <v>4021</v>
      </c>
      <c r="H1656" s="81" t="s">
        <v>6846</v>
      </c>
      <c r="I1656" s="81" t="s">
        <v>6847</v>
      </c>
      <c r="J1656" s="81" t="s">
        <v>2186</v>
      </c>
      <c r="K1656" s="81" t="s">
        <v>6847</v>
      </c>
      <c r="L1656" s="81" t="s">
        <v>2392</v>
      </c>
      <c r="M1656" s="81" t="s">
        <v>6847</v>
      </c>
      <c r="N1656" s="81" t="s">
        <v>2231</v>
      </c>
      <c r="O1656" s="81" t="s">
        <v>2187</v>
      </c>
      <c r="P1656" s="81" t="s">
        <v>2187</v>
      </c>
      <c r="Q1656" s="81" t="s">
        <v>43</v>
      </c>
      <c r="R1656" s="81" t="s">
        <v>46</v>
      </c>
      <c r="S1656" s="81" t="s">
        <v>46</v>
      </c>
      <c r="T1656" s="81" t="s">
        <v>48</v>
      </c>
      <c r="U1656" s="81" t="s">
        <v>48</v>
      </c>
      <c r="V1656" s="81" t="s">
        <v>48</v>
      </c>
      <c r="W1656" s="81" t="s">
        <v>49</v>
      </c>
      <c r="X1656" s="81" t="s">
        <v>48</v>
      </c>
      <c r="Y1656" s="81" t="s">
        <v>48</v>
      </c>
    </row>
    <row r="1657" spans="1:25" x14ac:dyDescent="0.3">
      <c r="A1657" s="16">
        <v>7501868950702</v>
      </c>
      <c r="B1657" s="81" t="s">
        <v>43</v>
      </c>
      <c r="C1657" s="81" t="s">
        <v>1839</v>
      </c>
      <c r="D1657" s="81" t="s">
        <v>45</v>
      </c>
      <c r="E1657" s="81" t="s">
        <v>2227</v>
      </c>
      <c r="F1657" s="81" t="s">
        <v>2227</v>
      </c>
      <c r="G1657" s="81" t="s">
        <v>4022</v>
      </c>
      <c r="H1657" s="81" t="s">
        <v>3346</v>
      </c>
      <c r="I1657" s="81" t="s">
        <v>6848</v>
      </c>
      <c r="J1657" s="81" t="s">
        <v>2186</v>
      </c>
      <c r="K1657" s="81" t="s">
        <v>6848</v>
      </c>
      <c r="L1657" s="81" t="s">
        <v>2392</v>
      </c>
      <c r="M1657" s="81" t="s">
        <v>6848</v>
      </c>
      <c r="N1657" s="81" t="s">
        <v>2231</v>
      </c>
      <c r="O1657" s="81" t="s">
        <v>2187</v>
      </c>
      <c r="P1657" s="81" t="s">
        <v>2187</v>
      </c>
      <c r="Q1657" s="81" t="s">
        <v>43</v>
      </c>
      <c r="R1657" s="81" t="s">
        <v>1191</v>
      </c>
      <c r="S1657" s="81" t="s">
        <v>1192</v>
      </c>
      <c r="T1657" s="81" t="s">
        <v>48</v>
      </c>
      <c r="U1657" s="81" t="s">
        <v>48</v>
      </c>
      <c r="V1657" s="81" t="s">
        <v>49</v>
      </c>
      <c r="W1657" s="81" t="s">
        <v>48</v>
      </c>
      <c r="X1657" s="81" t="s">
        <v>48</v>
      </c>
      <c r="Y1657" s="81" t="s">
        <v>48</v>
      </c>
    </row>
    <row r="1658" spans="1:25" x14ac:dyDescent="0.3">
      <c r="A1658" s="16">
        <v>7502009748875</v>
      </c>
      <c r="B1658" s="81" t="s">
        <v>43</v>
      </c>
      <c r="C1658" s="81" t="s">
        <v>1577</v>
      </c>
      <c r="D1658" s="81" t="s">
        <v>45</v>
      </c>
      <c r="E1658" s="81" t="s">
        <v>2227</v>
      </c>
      <c r="F1658" s="81" t="s">
        <v>2227</v>
      </c>
      <c r="G1658" s="81" t="s">
        <v>4024</v>
      </c>
      <c r="H1658" s="81" t="s">
        <v>2343</v>
      </c>
      <c r="I1658" s="81" t="s">
        <v>6849</v>
      </c>
      <c r="J1658" s="81" t="s">
        <v>2186</v>
      </c>
      <c r="K1658" s="81" t="s">
        <v>6849</v>
      </c>
      <c r="L1658" s="81" t="s">
        <v>2392</v>
      </c>
      <c r="M1658" s="81" t="s">
        <v>6849</v>
      </c>
      <c r="N1658" s="81" t="s">
        <v>2231</v>
      </c>
      <c r="O1658" s="81" t="s">
        <v>2187</v>
      </c>
      <c r="P1658" s="81" t="s">
        <v>2187</v>
      </c>
      <c r="Q1658" s="81" t="s">
        <v>43</v>
      </c>
      <c r="R1658" s="81" t="s">
        <v>46</v>
      </c>
      <c r="S1658" s="81" t="s">
        <v>46</v>
      </c>
      <c r="T1658" s="81" t="s">
        <v>48</v>
      </c>
      <c r="U1658" s="81" t="s">
        <v>48</v>
      </c>
      <c r="V1658" s="81" t="s">
        <v>48</v>
      </c>
      <c r="W1658" s="81" t="s">
        <v>49</v>
      </c>
      <c r="X1658" s="81" t="s">
        <v>48</v>
      </c>
      <c r="Y1658" s="81" t="s">
        <v>48</v>
      </c>
    </row>
    <row r="1659" spans="1:25" x14ac:dyDescent="0.3">
      <c r="A1659" s="16">
        <v>7501048695607</v>
      </c>
      <c r="B1659" s="81" t="s">
        <v>43</v>
      </c>
      <c r="C1659" s="81" t="s">
        <v>2059</v>
      </c>
      <c r="D1659" s="81" t="s">
        <v>45</v>
      </c>
      <c r="E1659" s="81" t="s">
        <v>2227</v>
      </c>
      <c r="F1659" s="81" t="s">
        <v>2227</v>
      </c>
      <c r="G1659" s="81" t="s">
        <v>5418</v>
      </c>
      <c r="H1659" s="81" t="s">
        <v>3247</v>
      </c>
      <c r="I1659" s="81" t="s">
        <v>3825</v>
      </c>
      <c r="J1659" s="81" t="s">
        <v>2186</v>
      </c>
      <c r="K1659" s="81" t="s">
        <v>3346</v>
      </c>
      <c r="L1659" s="81" t="s">
        <v>2392</v>
      </c>
      <c r="M1659" s="81" t="s">
        <v>3697</v>
      </c>
      <c r="N1659" s="81" t="s">
        <v>2231</v>
      </c>
      <c r="O1659" s="81" t="s">
        <v>2187</v>
      </c>
      <c r="P1659" s="81" t="s">
        <v>2187</v>
      </c>
      <c r="Q1659" s="81" t="s">
        <v>43</v>
      </c>
      <c r="R1659" s="81" t="s">
        <v>122</v>
      </c>
      <c r="S1659" s="81" t="s">
        <v>123</v>
      </c>
      <c r="T1659" s="81" t="s">
        <v>48</v>
      </c>
      <c r="U1659" s="81" t="s">
        <v>48</v>
      </c>
      <c r="V1659" s="81" t="s">
        <v>49</v>
      </c>
      <c r="W1659" s="81" t="s">
        <v>48</v>
      </c>
      <c r="X1659" s="81" t="s">
        <v>48</v>
      </c>
      <c r="Y1659" s="81" t="s">
        <v>48</v>
      </c>
    </row>
    <row r="1660" spans="1:25" x14ac:dyDescent="0.3">
      <c r="A1660" s="16">
        <v>7501048695904</v>
      </c>
      <c r="B1660" s="81" t="s">
        <v>43</v>
      </c>
      <c r="C1660" s="81" t="s">
        <v>4025</v>
      </c>
      <c r="D1660" s="81" t="s">
        <v>45</v>
      </c>
      <c r="E1660" s="81" t="s">
        <v>2227</v>
      </c>
      <c r="F1660" s="81" t="s">
        <v>2227</v>
      </c>
      <c r="G1660" s="81" t="s">
        <v>5443</v>
      </c>
      <c r="H1660" s="81" t="s">
        <v>3231</v>
      </c>
      <c r="I1660" s="81" t="s">
        <v>6616</v>
      </c>
      <c r="J1660" s="81" t="s">
        <v>2186</v>
      </c>
      <c r="K1660" s="81" t="s">
        <v>6616</v>
      </c>
      <c r="L1660" s="81" t="s">
        <v>2392</v>
      </c>
      <c r="M1660" s="81" t="s">
        <v>6616</v>
      </c>
      <c r="N1660" s="81" t="s">
        <v>2231</v>
      </c>
      <c r="O1660" s="81" t="s">
        <v>2187</v>
      </c>
      <c r="P1660" s="81" t="s">
        <v>2187</v>
      </c>
      <c r="Q1660" s="81" t="s">
        <v>43</v>
      </c>
      <c r="R1660" s="81" t="s">
        <v>122</v>
      </c>
      <c r="S1660" s="81" t="s">
        <v>123</v>
      </c>
      <c r="T1660" s="81" t="s">
        <v>48</v>
      </c>
      <c r="U1660" s="81" t="s">
        <v>48</v>
      </c>
      <c r="V1660" s="81" t="s">
        <v>49</v>
      </c>
      <c r="W1660" s="81" t="s">
        <v>48</v>
      </c>
      <c r="X1660" s="81" t="s">
        <v>48</v>
      </c>
      <c r="Y1660" s="81" t="s">
        <v>48</v>
      </c>
    </row>
    <row r="1661" spans="1:25" x14ac:dyDescent="0.3">
      <c r="A1661" s="16">
        <v>7501048696802</v>
      </c>
      <c r="B1661" s="81" t="s">
        <v>43</v>
      </c>
      <c r="C1661" s="81" t="s">
        <v>2169</v>
      </c>
      <c r="D1661" s="81" t="s">
        <v>45</v>
      </c>
      <c r="E1661" s="81" t="s">
        <v>2227</v>
      </c>
      <c r="F1661" s="81" t="s">
        <v>2227</v>
      </c>
      <c r="G1661" s="81" t="s">
        <v>5043</v>
      </c>
      <c r="H1661" s="81" t="s">
        <v>3257</v>
      </c>
      <c r="I1661" s="81" t="s">
        <v>6850</v>
      </c>
      <c r="J1661" s="81" t="s">
        <v>2186</v>
      </c>
      <c r="K1661" s="81" t="s">
        <v>6850</v>
      </c>
      <c r="L1661" s="81" t="s">
        <v>2392</v>
      </c>
      <c r="M1661" s="81" t="s">
        <v>6850</v>
      </c>
      <c r="N1661" s="81" t="s">
        <v>2231</v>
      </c>
      <c r="O1661" s="81" t="s">
        <v>2187</v>
      </c>
      <c r="P1661" s="81" t="s">
        <v>2187</v>
      </c>
      <c r="Q1661" s="81" t="s">
        <v>43</v>
      </c>
      <c r="R1661" s="81" t="s">
        <v>122</v>
      </c>
      <c r="S1661" s="81" t="s">
        <v>123</v>
      </c>
      <c r="T1661" s="81" t="s">
        <v>48</v>
      </c>
      <c r="U1661" s="81" t="s">
        <v>48</v>
      </c>
      <c r="V1661" s="81" t="s">
        <v>49</v>
      </c>
      <c r="W1661" s="81" t="s">
        <v>48</v>
      </c>
      <c r="X1661" s="81" t="s">
        <v>48</v>
      </c>
      <c r="Y1661" s="81" t="s">
        <v>48</v>
      </c>
    </row>
    <row r="1662" spans="1:25" x14ac:dyDescent="0.3">
      <c r="A1662" s="16">
        <v>7501048695003</v>
      </c>
      <c r="B1662" s="81" t="s">
        <v>43</v>
      </c>
      <c r="C1662" s="81" t="s">
        <v>2060</v>
      </c>
      <c r="D1662" s="81" t="s">
        <v>45</v>
      </c>
      <c r="E1662" s="81" t="s">
        <v>2227</v>
      </c>
      <c r="F1662" s="81" t="s">
        <v>2227</v>
      </c>
      <c r="G1662" s="81" t="s">
        <v>5520</v>
      </c>
      <c r="H1662" s="81" t="s">
        <v>3623</v>
      </c>
      <c r="I1662" s="81" t="s">
        <v>6851</v>
      </c>
      <c r="J1662" s="81" t="s">
        <v>2186</v>
      </c>
      <c r="K1662" s="81" t="s">
        <v>6851</v>
      </c>
      <c r="L1662" s="81" t="s">
        <v>2392</v>
      </c>
      <c r="M1662" s="81" t="s">
        <v>6851</v>
      </c>
      <c r="N1662" s="81" t="s">
        <v>2231</v>
      </c>
      <c r="O1662" s="81" t="s">
        <v>2187</v>
      </c>
      <c r="P1662" s="81" t="s">
        <v>2187</v>
      </c>
      <c r="Q1662" s="81" t="s">
        <v>43</v>
      </c>
      <c r="R1662" s="81" t="s">
        <v>122</v>
      </c>
      <c r="S1662" s="81" t="s">
        <v>123</v>
      </c>
      <c r="T1662" s="81" t="s">
        <v>48</v>
      </c>
      <c r="U1662" s="81" t="s">
        <v>48</v>
      </c>
      <c r="V1662" s="81" t="s">
        <v>49</v>
      </c>
      <c r="W1662" s="81" t="s">
        <v>48</v>
      </c>
      <c r="X1662" s="81" t="s">
        <v>48</v>
      </c>
      <c r="Y1662" s="81" t="s">
        <v>48</v>
      </c>
    </row>
    <row r="1663" spans="1:25" x14ac:dyDescent="0.3">
      <c r="A1663" s="16">
        <v>7501048695300</v>
      </c>
      <c r="B1663" s="81" t="s">
        <v>43</v>
      </c>
      <c r="C1663" s="81" t="s">
        <v>2170</v>
      </c>
      <c r="D1663" s="81" t="s">
        <v>45</v>
      </c>
      <c r="E1663" s="81" t="s">
        <v>2227</v>
      </c>
      <c r="F1663" s="81" t="s">
        <v>2227</v>
      </c>
      <c r="G1663" s="81" t="s">
        <v>5419</v>
      </c>
      <c r="H1663" s="81" t="s">
        <v>3514</v>
      </c>
      <c r="I1663" s="81" t="s">
        <v>6852</v>
      </c>
      <c r="J1663" s="81" t="s">
        <v>2186</v>
      </c>
      <c r="K1663" s="81" t="s">
        <v>6852</v>
      </c>
      <c r="L1663" s="81" t="s">
        <v>2392</v>
      </c>
      <c r="M1663" s="81" t="s">
        <v>6852</v>
      </c>
      <c r="N1663" s="81" t="s">
        <v>2231</v>
      </c>
      <c r="O1663" s="81" t="s">
        <v>2187</v>
      </c>
      <c r="P1663" s="81" t="s">
        <v>2187</v>
      </c>
      <c r="Q1663" s="81" t="s">
        <v>43</v>
      </c>
      <c r="R1663" s="81" t="s">
        <v>122</v>
      </c>
      <c r="S1663" s="81" t="s">
        <v>123</v>
      </c>
      <c r="T1663" s="81" t="s">
        <v>48</v>
      </c>
      <c r="U1663" s="81" t="s">
        <v>48</v>
      </c>
      <c r="V1663" s="81" t="s">
        <v>49</v>
      </c>
      <c r="W1663" s="81" t="s">
        <v>48</v>
      </c>
      <c r="X1663" s="81" t="s">
        <v>48</v>
      </c>
      <c r="Y1663" s="81" t="s">
        <v>48</v>
      </c>
    </row>
    <row r="1664" spans="1:25" x14ac:dyDescent="0.3">
      <c r="A1664" s="16">
        <v>7502216804333</v>
      </c>
      <c r="B1664" s="81" t="s">
        <v>43</v>
      </c>
      <c r="C1664" s="81" t="s">
        <v>1679</v>
      </c>
      <c r="D1664" s="81" t="s">
        <v>45</v>
      </c>
      <c r="E1664" s="81" t="s">
        <v>2227</v>
      </c>
      <c r="F1664" s="81" t="s">
        <v>2227</v>
      </c>
      <c r="G1664" s="81" t="s">
        <v>3650</v>
      </c>
      <c r="H1664" s="81" t="s">
        <v>2251</v>
      </c>
      <c r="I1664" s="81" t="s">
        <v>6853</v>
      </c>
      <c r="J1664" s="81" t="s">
        <v>2186</v>
      </c>
      <c r="K1664" s="81" t="s">
        <v>6853</v>
      </c>
      <c r="L1664" s="81" t="s">
        <v>2392</v>
      </c>
      <c r="M1664" s="81" t="s">
        <v>6853</v>
      </c>
      <c r="N1664" s="81" t="s">
        <v>2231</v>
      </c>
      <c r="O1664" s="81" t="s">
        <v>2187</v>
      </c>
      <c r="P1664" s="81" t="s">
        <v>2187</v>
      </c>
      <c r="Q1664" s="81" t="s">
        <v>43</v>
      </c>
      <c r="R1664" s="81" t="s">
        <v>203</v>
      </c>
      <c r="S1664" s="81" t="s">
        <v>203</v>
      </c>
      <c r="T1664" s="81" t="s">
        <v>48</v>
      </c>
      <c r="U1664" s="81" t="s">
        <v>48</v>
      </c>
      <c r="V1664" s="81" t="s">
        <v>48</v>
      </c>
      <c r="W1664" s="81" t="s">
        <v>49</v>
      </c>
      <c r="X1664" s="81" t="s">
        <v>48</v>
      </c>
      <c r="Y1664" s="81" t="s">
        <v>48</v>
      </c>
    </row>
    <row r="1665" spans="1:25" x14ac:dyDescent="0.3">
      <c r="A1665" s="16">
        <v>7506442703880</v>
      </c>
      <c r="B1665" s="81" t="s">
        <v>43</v>
      </c>
      <c r="C1665" s="81" t="s">
        <v>1680</v>
      </c>
      <c r="D1665" s="81" t="s">
        <v>45</v>
      </c>
      <c r="E1665" s="81" t="s">
        <v>2227</v>
      </c>
      <c r="F1665" s="81" t="s">
        <v>2227</v>
      </c>
      <c r="G1665" s="81" t="s">
        <v>4026</v>
      </c>
      <c r="H1665" s="81" t="s">
        <v>3989</v>
      </c>
      <c r="I1665" s="81" t="s">
        <v>6854</v>
      </c>
      <c r="J1665" s="81" t="s">
        <v>2186</v>
      </c>
      <c r="K1665" s="81" t="s">
        <v>6854</v>
      </c>
      <c r="L1665" s="81" t="s">
        <v>2392</v>
      </c>
      <c r="M1665" s="81" t="s">
        <v>6854</v>
      </c>
      <c r="N1665" s="81" t="s">
        <v>2231</v>
      </c>
      <c r="O1665" s="81" t="s">
        <v>2187</v>
      </c>
      <c r="P1665" s="81" t="s">
        <v>2187</v>
      </c>
      <c r="Q1665" s="81" t="s">
        <v>43</v>
      </c>
      <c r="R1665" s="81" t="s">
        <v>46</v>
      </c>
      <c r="S1665" s="81" t="s">
        <v>46</v>
      </c>
      <c r="T1665" s="81" t="s">
        <v>48</v>
      </c>
      <c r="U1665" s="81" t="s">
        <v>48</v>
      </c>
      <c r="V1665" s="81" t="s">
        <v>48</v>
      </c>
      <c r="W1665" s="81" t="s">
        <v>49</v>
      </c>
      <c r="X1665" s="81" t="s">
        <v>48</v>
      </c>
      <c r="Y1665" s="81" t="s">
        <v>48</v>
      </c>
    </row>
    <row r="1666" spans="1:25" x14ac:dyDescent="0.3">
      <c r="A1666" s="16">
        <v>7503027446392</v>
      </c>
      <c r="B1666" s="81" t="s">
        <v>43</v>
      </c>
      <c r="C1666" s="81" t="s">
        <v>2061</v>
      </c>
      <c r="D1666" s="81" t="s">
        <v>45</v>
      </c>
      <c r="E1666" s="81" t="s">
        <v>2227</v>
      </c>
      <c r="F1666" s="81" t="s">
        <v>2227</v>
      </c>
      <c r="G1666" s="81" t="s">
        <v>6855</v>
      </c>
      <c r="H1666" s="81" t="s">
        <v>2463</v>
      </c>
      <c r="I1666" s="81" t="s">
        <v>4586</v>
      </c>
      <c r="J1666" s="81" t="s">
        <v>2186</v>
      </c>
      <c r="K1666" s="81" t="s">
        <v>4587</v>
      </c>
      <c r="L1666" s="81" t="s">
        <v>2392</v>
      </c>
      <c r="M1666" s="81" t="s">
        <v>2434</v>
      </c>
      <c r="N1666" s="81" t="s">
        <v>2231</v>
      </c>
      <c r="O1666" s="81" t="s">
        <v>2187</v>
      </c>
      <c r="P1666" s="81" t="s">
        <v>2187</v>
      </c>
      <c r="Q1666" s="81" t="s">
        <v>43</v>
      </c>
      <c r="R1666" s="81" t="s">
        <v>203</v>
      </c>
      <c r="S1666" s="81" t="s">
        <v>203</v>
      </c>
      <c r="T1666" s="81" t="s">
        <v>48</v>
      </c>
      <c r="U1666" s="81" t="s">
        <v>48</v>
      </c>
      <c r="V1666" s="81" t="s">
        <v>48</v>
      </c>
      <c r="W1666" s="81" t="s">
        <v>49</v>
      </c>
      <c r="X1666" s="81" t="s">
        <v>48</v>
      </c>
      <c r="Y1666" s="81" t="s">
        <v>48</v>
      </c>
    </row>
    <row r="1667" spans="1:25" x14ac:dyDescent="0.3">
      <c r="A1667" s="16">
        <v>7502216809895</v>
      </c>
      <c r="B1667" s="81" t="s">
        <v>43</v>
      </c>
      <c r="C1667" s="81" t="s">
        <v>1681</v>
      </c>
      <c r="D1667" s="81" t="s">
        <v>45</v>
      </c>
      <c r="E1667" s="81" t="s">
        <v>2227</v>
      </c>
      <c r="F1667" s="81" t="s">
        <v>2227</v>
      </c>
      <c r="G1667" s="81" t="s">
        <v>4027</v>
      </c>
      <c r="H1667" s="81" t="s">
        <v>2385</v>
      </c>
      <c r="I1667" s="81" t="s">
        <v>6856</v>
      </c>
      <c r="J1667" s="81" t="s">
        <v>2186</v>
      </c>
      <c r="K1667" s="81" t="s">
        <v>6856</v>
      </c>
      <c r="L1667" s="81" t="s">
        <v>2392</v>
      </c>
      <c r="M1667" s="81" t="s">
        <v>6856</v>
      </c>
      <c r="N1667" s="81" t="s">
        <v>2231</v>
      </c>
      <c r="O1667" s="81" t="s">
        <v>2187</v>
      </c>
      <c r="P1667" s="81" t="s">
        <v>2187</v>
      </c>
      <c r="Q1667" s="81" t="s">
        <v>43</v>
      </c>
      <c r="R1667" s="81" t="s">
        <v>203</v>
      </c>
      <c r="S1667" s="81" t="s">
        <v>203</v>
      </c>
      <c r="T1667" s="81" t="s">
        <v>48</v>
      </c>
      <c r="U1667" s="81" t="s">
        <v>48</v>
      </c>
      <c r="V1667" s="81" t="s">
        <v>48</v>
      </c>
      <c r="W1667" s="81" t="s">
        <v>49</v>
      </c>
      <c r="X1667" s="81" t="s">
        <v>48</v>
      </c>
      <c r="Y1667" s="81" t="s">
        <v>48</v>
      </c>
    </row>
    <row r="1668" spans="1:25" x14ac:dyDescent="0.3">
      <c r="A1668" s="16" t="s">
        <v>1682</v>
      </c>
      <c r="B1668" s="81" t="s">
        <v>43</v>
      </c>
      <c r="C1668" s="81" t="s">
        <v>1746</v>
      </c>
      <c r="D1668" s="81" t="s">
        <v>45</v>
      </c>
      <c r="E1668" s="81" t="s">
        <v>2878</v>
      </c>
      <c r="F1668" s="81" t="s">
        <v>2929</v>
      </c>
      <c r="G1668" s="81" t="s">
        <v>4028</v>
      </c>
      <c r="H1668" s="81" t="s">
        <v>2385</v>
      </c>
      <c r="I1668" s="81" t="s">
        <v>6857</v>
      </c>
      <c r="J1668" s="81" t="s">
        <v>2186</v>
      </c>
      <c r="K1668" s="81" t="s">
        <v>6857</v>
      </c>
      <c r="L1668" s="81" t="s">
        <v>2392</v>
      </c>
      <c r="M1668" s="81" t="s">
        <v>6857</v>
      </c>
      <c r="N1668" s="81" t="s">
        <v>2231</v>
      </c>
      <c r="O1668" s="81" t="s">
        <v>2187</v>
      </c>
      <c r="P1668" s="81" t="s">
        <v>2187</v>
      </c>
      <c r="Q1668" s="81" t="s">
        <v>43</v>
      </c>
      <c r="R1668" s="81" t="s">
        <v>203</v>
      </c>
      <c r="S1668" s="81" t="s">
        <v>203</v>
      </c>
      <c r="T1668" s="81" t="s">
        <v>48</v>
      </c>
      <c r="U1668" s="81" t="s">
        <v>48</v>
      </c>
      <c r="V1668" s="81" t="s">
        <v>48</v>
      </c>
      <c r="W1668" s="81" t="s">
        <v>49</v>
      </c>
      <c r="X1668" s="81" t="s">
        <v>48</v>
      </c>
      <c r="Y1668" s="81" t="s">
        <v>48</v>
      </c>
    </row>
    <row r="1669" spans="1:25" x14ac:dyDescent="0.3">
      <c r="A1669" s="16" t="s">
        <v>1683</v>
      </c>
      <c r="B1669" s="81" t="s">
        <v>43</v>
      </c>
      <c r="C1669" s="81" t="s">
        <v>1747</v>
      </c>
      <c r="D1669" s="81" t="s">
        <v>45</v>
      </c>
      <c r="E1669" s="81" t="s">
        <v>2358</v>
      </c>
      <c r="F1669" s="81" t="s">
        <v>2557</v>
      </c>
      <c r="G1669" s="81" t="s">
        <v>4029</v>
      </c>
      <c r="H1669" s="81" t="s">
        <v>2208</v>
      </c>
      <c r="I1669" s="81" t="s">
        <v>5597</v>
      </c>
      <c r="J1669" s="81" t="s">
        <v>2186</v>
      </c>
      <c r="K1669" s="81" t="s">
        <v>5597</v>
      </c>
      <c r="L1669" s="81" t="s">
        <v>2392</v>
      </c>
      <c r="M1669" s="81" t="s">
        <v>5597</v>
      </c>
      <c r="N1669" s="81" t="s">
        <v>2231</v>
      </c>
      <c r="O1669" s="81" t="s">
        <v>2187</v>
      </c>
      <c r="P1669" s="81" t="s">
        <v>2187</v>
      </c>
      <c r="Q1669" s="81" t="s">
        <v>341</v>
      </c>
      <c r="R1669" s="81" t="s">
        <v>46</v>
      </c>
      <c r="S1669" s="81" t="s">
        <v>46</v>
      </c>
      <c r="T1669" s="81" t="s">
        <v>48</v>
      </c>
      <c r="U1669" s="81" t="s">
        <v>48</v>
      </c>
      <c r="V1669" s="81" t="s">
        <v>48</v>
      </c>
      <c r="W1669" s="81" t="s">
        <v>49</v>
      </c>
      <c r="X1669" s="81" t="s">
        <v>48</v>
      </c>
      <c r="Y1669" s="81" t="s">
        <v>48</v>
      </c>
    </row>
    <row r="1670" spans="1:25" x14ac:dyDescent="0.3">
      <c r="A1670" s="16" t="s">
        <v>1684</v>
      </c>
      <c r="B1670" s="81" t="s">
        <v>43</v>
      </c>
      <c r="C1670" s="81" t="s">
        <v>1685</v>
      </c>
      <c r="D1670" s="81" t="s">
        <v>45</v>
      </c>
      <c r="E1670" s="81" t="s">
        <v>2283</v>
      </c>
      <c r="F1670" s="81" t="s">
        <v>2510</v>
      </c>
      <c r="G1670" s="81" t="s">
        <v>2723</v>
      </c>
      <c r="H1670" s="81" t="s">
        <v>2905</v>
      </c>
      <c r="I1670" s="81" t="s">
        <v>6858</v>
      </c>
      <c r="J1670" s="81" t="s">
        <v>2186</v>
      </c>
      <c r="K1670" s="81" t="s">
        <v>6858</v>
      </c>
      <c r="L1670" s="81" t="s">
        <v>2392</v>
      </c>
      <c r="M1670" s="81" t="s">
        <v>6858</v>
      </c>
      <c r="N1670" s="81" t="s">
        <v>2231</v>
      </c>
      <c r="O1670" s="81" t="s">
        <v>2187</v>
      </c>
      <c r="P1670" s="81" t="s">
        <v>2187</v>
      </c>
      <c r="Q1670" s="81" t="s">
        <v>43</v>
      </c>
      <c r="R1670" s="81" t="s">
        <v>203</v>
      </c>
      <c r="S1670" s="81" t="s">
        <v>164</v>
      </c>
      <c r="T1670" s="81" t="s">
        <v>48</v>
      </c>
      <c r="U1670" s="81" t="s">
        <v>48</v>
      </c>
      <c r="V1670" s="81" t="s">
        <v>48</v>
      </c>
      <c r="W1670" s="81" t="s">
        <v>49</v>
      </c>
      <c r="X1670" s="81" t="s">
        <v>48</v>
      </c>
      <c r="Y1670" s="81" t="s">
        <v>48</v>
      </c>
    </row>
    <row r="1671" spans="1:25" x14ac:dyDescent="0.3">
      <c r="A1671" s="16" t="s">
        <v>1686</v>
      </c>
      <c r="B1671" s="81" t="s">
        <v>43</v>
      </c>
      <c r="C1671" s="81" t="s">
        <v>1687</v>
      </c>
      <c r="D1671" s="81" t="s">
        <v>45</v>
      </c>
      <c r="E1671" s="81" t="s">
        <v>2512</v>
      </c>
      <c r="F1671" s="81" t="s">
        <v>2494</v>
      </c>
      <c r="G1671" s="81" t="s">
        <v>4030</v>
      </c>
      <c r="H1671" s="81" t="s">
        <v>2441</v>
      </c>
      <c r="I1671" s="81" t="s">
        <v>6859</v>
      </c>
      <c r="J1671" s="81" t="s">
        <v>2186</v>
      </c>
      <c r="K1671" s="81" t="s">
        <v>6859</v>
      </c>
      <c r="L1671" s="81" t="s">
        <v>2392</v>
      </c>
      <c r="M1671" s="81" t="s">
        <v>6859</v>
      </c>
      <c r="N1671" s="81" t="s">
        <v>2231</v>
      </c>
      <c r="O1671" s="81" t="s">
        <v>2187</v>
      </c>
      <c r="P1671" s="81" t="s">
        <v>2187</v>
      </c>
      <c r="Q1671" s="81" t="s">
        <v>43</v>
      </c>
      <c r="R1671" s="81" t="s">
        <v>46</v>
      </c>
      <c r="S1671" s="81" t="s">
        <v>73</v>
      </c>
      <c r="T1671" s="81" t="s">
        <v>48</v>
      </c>
      <c r="U1671" s="81" t="s">
        <v>48</v>
      </c>
      <c r="V1671" s="81" t="s">
        <v>48</v>
      </c>
      <c r="W1671" s="81" t="s">
        <v>49</v>
      </c>
      <c r="X1671" s="81" t="s">
        <v>48</v>
      </c>
      <c r="Y1671" s="81" t="s">
        <v>48</v>
      </c>
    </row>
    <row r="1672" spans="1:25" x14ac:dyDescent="0.3">
      <c r="A1672" s="16" t="s">
        <v>1688</v>
      </c>
      <c r="B1672" s="81" t="s">
        <v>43</v>
      </c>
      <c r="C1672" s="81" t="s">
        <v>1689</v>
      </c>
      <c r="D1672" s="81" t="s">
        <v>45</v>
      </c>
      <c r="E1672" s="81" t="s">
        <v>2358</v>
      </c>
      <c r="F1672" s="81" t="s">
        <v>2557</v>
      </c>
      <c r="G1672" s="81" t="s">
        <v>2752</v>
      </c>
      <c r="H1672" s="81" t="s">
        <v>2224</v>
      </c>
      <c r="I1672" s="81" t="s">
        <v>6860</v>
      </c>
      <c r="J1672" s="81" t="s">
        <v>2186</v>
      </c>
      <c r="K1672" s="81" t="s">
        <v>6860</v>
      </c>
      <c r="L1672" s="81" t="s">
        <v>2392</v>
      </c>
      <c r="M1672" s="81" t="s">
        <v>6860</v>
      </c>
      <c r="N1672" s="81" t="s">
        <v>2231</v>
      </c>
      <c r="O1672" s="81" t="s">
        <v>2187</v>
      </c>
      <c r="P1672" s="81" t="s">
        <v>2187</v>
      </c>
      <c r="Q1672" s="81" t="s">
        <v>43</v>
      </c>
      <c r="R1672" s="81" t="s">
        <v>46</v>
      </c>
      <c r="S1672" s="81" t="s">
        <v>73</v>
      </c>
      <c r="T1672" s="81" t="s">
        <v>48</v>
      </c>
      <c r="U1672" s="81" t="s">
        <v>48</v>
      </c>
      <c r="V1672" s="81" t="s">
        <v>48</v>
      </c>
      <c r="W1672" s="81" t="s">
        <v>49</v>
      </c>
      <c r="X1672" s="81" t="s">
        <v>48</v>
      </c>
      <c r="Y1672" s="81" t="s">
        <v>48</v>
      </c>
    </row>
    <row r="1673" spans="1:25" x14ac:dyDescent="0.3">
      <c r="A1673" s="16" t="s">
        <v>1690</v>
      </c>
      <c r="B1673" s="81" t="s">
        <v>43</v>
      </c>
      <c r="C1673" s="81" t="s">
        <v>1748</v>
      </c>
      <c r="D1673" s="81" t="s">
        <v>45</v>
      </c>
      <c r="E1673" s="81" t="s">
        <v>2369</v>
      </c>
      <c r="F1673" s="81" t="s">
        <v>2180</v>
      </c>
      <c r="G1673" s="81" t="s">
        <v>4031</v>
      </c>
      <c r="H1673" s="81" t="s">
        <v>2407</v>
      </c>
      <c r="I1673" s="81" t="s">
        <v>2232</v>
      </c>
      <c r="J1673" s="81" t="s">
        <v>2186</v>
      </c>
      <c r="K1673" s="81" t="s">
        <v>2232</v>
      </c>
      <c r="L1673" s="81" t="s">
        <v>2392</v>
      </c>
      <c r="M1673" s="81" t="s">
        <v>2232</v>
      </c>
      <c r="N1673" s="81" t="s">
        <v>2231</v>
      </c>
      <c r="O1673" s="81" t="s">
        <v>2187</v>
      </c>
      <c r="P1673" s="81" t="s">
        <v>2187</v>
      </c>
      <c r="Q1673" s="81" t="s">
        <v>43</v>
      </c>
      <c r="R1673" s="81" t="s">
        <v>46</v>
      </c>
      <c r="S1673" s="81" t="s">
        <v>47</v>
      </c>
      <c r="T1673" s="81" t="s">
        <v>48</v>
      </c>
      <c r="U1673" s="81" t="s">
        <v>48</v>
      </c>
      <c r="V1673" s="81" t="s">
        <v>48</v>
      </c>
      <c r="W1673" s="81" t="s">
        <v>49</v>
      </c>
      <c r="X1673" s="81" t="s">
        <v>48</v>
      </c>
      <c r="Y1673" s="81" t="s">
        <v>48</v>
      </c>
    </row>
    <row r="1674" spans="1:25" x14ac:dyDescent="0.3">
      <c r="A1674" s="16" t="s">
        <v>1691</v>
      </c>
      <c r="B1674" s="81" t="s">
        <v>43</v>
      </c>
      <c r="C1674" s="81" t="s">
        <v>1692</v>
      </c>
      <c r="D1674" s="81" t="s">
        <v>45</v>
      </c>
      <c r="E1674" s="81" t="s">
        <v>2308</v>
      </c>
      <c r="F1674" s="81" t="s">
        <v>2179</v>
      </c>
      <c r="G1674" s="81" t="s">
        <v>3137</v>
      </c>
      <c r="H1674" s="81" t="s">
        <v>2932</v>
      </c>
      <c r="I1674" s="81" t="s">
        <v>3138</v>
      </c>
      <c r="J1674" s="81" t="s">
        <v>2186</v>
      </c>
      <c r="K1674" s="81" t="s">
        <v>3139</v>
      </c>
      <c r="L1674" s="81" t="s">
        <v>2392</v>
      </c>
      <c r="M1674" s="81" t="s">
        <v>3140</v>
      </c>
      <c r="N1674" s="81" t="s">
        <v>2231</v>
      </c>
      <c r="O1674" s="81" t="s">
        <v>2187</v>
      </c>
      <c r="P1674" s="81" t="s">
        <v>2187</v>
      </c>
      <c r="Q1674" s="81" t="s">
        <v>43</v>
      </c>
      <c r="R1674" s="81" t="s">
        <v>374</v>
      </c>
      <c r="S1674" s="81" t="s">
        <v>374</v>
      </c>
      <c r="T1674" s="81" t="s">
        <v>48</v>
      </c>
      <c r="U1674" s="81" t="s">
        <v>48</v>
      </c>
      <c r="V1674" s="81" t="s">
        <v>48</v>
      </c>
      <c r="W1674" s="81" t="s">
        <v>49</v>
      </c>
      <c r="X1674" s="81" t="s">
        <v>48</v>
      </c>
      <c r="Y1674" s="81" t="s">
        <v>48</v>
      </c>
    </row>
    <row r="1675" spans="1:25" x14ac:dyDescent="0.3">
      <c r="A1675" s="16" t="s">
        <v>1693</v>
      </c>
      <c r="B1675" s="81" t="s">
        <v>43</v>
      </c>
      <c r="C1675" s="81" t="s">
        <v>4032</v>
      </c>
      <c r="D1675" s="81" t="s">
        <v>45</v>
      </c>
      <c r="E1675" s="81" t="s">
        <v>2369</v>
      </c>
      <c r="F1675" s="81" t="s">
        <v>2357</v>
      </c>
      <c r="G1675" s="81" t="s">
        <v>4033</v>
      </c>
      <c r="H1675" s="81" t="s">
        <v>5296</v>
      </c>
      <c r="I1675" s="81" t="s">
        <v>6861</v>
      </c>
      <c r="J1675" s="81" t="s">
        <v>2186</v>
      </c>
      <c r="K1675" s="81" t="s">
        <v>6861</v>
      </c>
      <c r="L1675" s="81" t="s">
        <v>2392</v>
      </c>
      <c r="M1675" s="81" t="s">
        <v>6861</v>
      </c>
      <c r="N1675" s="81" t="s">
        <v>2231</v>
      </c>
      <c r="O1675" s="81" t="s">
        <v>2187</v>
      </c>
      <c r="P1675" s="81" t="s">
        <v>2187</v>
      </c>
      <c r="Q1675" s="81" t="s">
        <v>43</v>
      </c>
      <c r="R1675" s="81" t="s">
        <v>374</v>
      </c>
      <c r="S1675" s="81" t="s">
        <v>374</v>
      </c>
      <c r="T1675" s="81" t="s">
        <v>48</v>
      </c>
      <c r="U1675" s="81" t="s">
        <v>48</v>
      </c>
      <c r="V1675" s="81" t="s">
        <v>48</v>
      </c>
      <c r="W1675" s="81" t="s">
        <v>49</v>
      </c>
      <c r="X1675" s="81" t="s">
        <v>48</v>
      </c>
      <c r="Y1675" s="81" t="s">
        <v>48</v>
      </c>
    </row>
    <row r="1676" spans="1:25" x14ac:dyDescent="0.3">
      <c r="A1676" s="16" t="s">
        <v>1694</v>
      </c>
      <c r="B1676" s="81" t="s">
        <v>43</v>
      </c>
      <c r="C1676" s="81" t="s">
        <v>1695</v>
      </c>
      <c r="D1676" s="81" t="s">
        <v>45</v>
      </c>
      <c r="E1676" s="81" t="s">
        <v>2227</v>
      </c>
      <c r="F1676" s="81" t="s">
        <v>2227</v>
      </c>
      <c r="G1676" s="81" t="s">
        <v>3884</v>
      </c>
      <c r="H1676" s="81" t="s">
        <v>6668</v>
      </c>
      <c r="I1676" s="81" t="s">
        <v>6669</v>
      </c>
      <c r="J1676" s="81" t="s">
        <v>2186</v>
      </c>
      <c r="K1676" s="81" t="s">
        <v>6669</v>
      </c>
      <c r="L1676" s="81" t="s">
        <v>2392</v>
      </c>
      <c r="M1676" s="81" t="s">
        <v>6669</v>
      </c>
      <c r="N1676" s="81" t="s">
        <v>2231</v>
      </c>
      <c r="O1676" s="81" t="s">
        <v>2187</v>
      </c>
      <c r="P1676" s="81" t="s">
        <v>2187</v>
      </c>
      <c r="Q1676" s="81" t="s">
        <v>43</v>
      </c>
      <c r="R1676" s="81" t="s">
        <v>46</v>
      </c>
      <c r="S1676" s="81" t="s">
        <v>46</v>
      </c>
      <c r="T1676" s="81" t="s">
        <v>48</v>
      </c>
      <c r="U1676" s="81" t="s">
        <v>48</v>
      </c>
      <c r="V1676" s="81" t="s">
        <v>48</v>
      </c>
      <c r="W1676" s="81" t="s">
        <v>49</v>
      </c>
      <c r="X1676" s="81" t="s">
        <v>48</v>
      </c>
      <c r="Y1676" s="81" t="s">
        <v>48</v>
      </c>
    </row>
    <row r="1677" spans="1:25" x14ac:dyDescent="0.3">
      <c r="A1677" s="16" t="s">
        <v>1696</v>
      </c>
      <c r="B1677" s="81" t="s">
        <v>43</v>
      </c>
      <c r="C1677" s="81" t="s">
        <v>4034</v>
      </c>
      <c r="D1677" s="81" t="s">
        <v>45</v>
      </c>
      <c r="E1677" s="81" t="s">
        <v>2564</v>
      </c>
      <c r="F1677" s="81" t="s">
        <v>2565</v>
      </c>
      <c r="G1677" s="81" t="s">
        <v>2566</v>
      </c>
      <c r="H1677" s="81" t="s">
        <v>2315</v>
      </c>
      <c r="I1677" s="81" t="s">
        <v>6862</v>
      </c>
      <c r="J1677" s="81" t="s">
        <v>2186</v>
      </c>
      <c r="K1677" s="81" t="s">
        <v>6862</v>
      </c>
      <c r="L1677" s="81" t="s">
        <v>2392</v>
      </c>
      <c r="M1677" s="81" t="s">
        <v>6862</v>
      </c>
      <c r="N1677" s="81" t="s">
        <v>2231</v>
      </c>
      <c r="O1677" s="81" t="s">
        <v>2187</v>
      </c>
      <c r="P1677" s="81" t="s">
        <v>2187</v>
      </c>
      <c r="Q1677" s="81" t="s">
        <v>272</v>
      </c>
      <c r="R1677" s="81" t="s">
        <v>203</v>
      </c>
      <c r="S1677" s="81" t="s">
        <v>47</v>
      </c>
      <c r="T1677" s="81" t="s">
        <v>48</v>
      </c>
      <c r="U1677" s="81" t="s">
        <v>48</v>
      </c>
      <c r="V1677" s="81" t="s">
        <v>48</v>
      </c>
      <c r="W1677" s="81" t="s">
        <v>49</v>
      </c>
      <c r="X1677" s="81" t="s">
        <v>48</v>
      </c>
      <c r="Y1677" s="81" t="s">
        <v>48</v>
      </c>
    </row>
    <row r="1678" spans="1:25" x14ac:dyDescent="0.3">
      <c r="A1678" s="16" t="s">
        <v>1697</v>
      </c>
      <c r="B1678" s="81" t="s">
        <v>43</v>
      </c>
      <c r="C1678" s="81" t="s">
        <v>1698</v>
      </c>
      <c r="D1678" s="81" t="s">
        <v>45</v>
      </c>
      <c r="E1678" s="81" t="s">
        <v>2192</v>
      </c>
      <c r="F1678" s="81" t="s">
        <v>2294</v>
      </c>
      <c r="G1678" s="81" t="s">
        <v>4035</v>
      </c>
      <c r="H1678" s="81" t="s">
        <v>2960</v>
      </c>
      <c r="I1678" s="81" t="s">
        <v>6863</v>
      </c>
      <c r="J1678" s="81" t="s">
        <v>2186</v>
      </c>
      <c r="K1678" s="81" t="s">
        <v>6863</v>
      </c>
      <c r="L1678" s="81" t="s">
        <v>2392</v>
      </c>
      <c r="M1678" s="81" t="s">
        <v>6863</v>
      </c>
      <c r="N1678" s="81" t="s">
        <v>2231</v>
      </c>
      <c r="O1678" s="81" t="s">
        <v>2187</v>
      </c>
      <c r="P1678" s="81" t="s">
        <v>2187</v>
      </c>
      <c r="Q1678" s="81" t="s">
        <v>43</v>
      </c>
      <c r="R1678" s="81" t="s">
        <v>203</v>
      </c>
      <c r="S1678" s="81" t="s">
        <v>203</v>
      </c>
      <c r="T1678" s="81" t="s">
        <v>48</v>
      </c>
      <c r="U1678" s="81" t="s">
        <v>48</v>
      </c>
      <c r="V1678" s="81" t="s">
        <v>48</v>
      </c>
      <c r="W1678" s="81" t="s">
        <v>49</v>
      </c>
      <c r="X1678" s="81" t="s">
        <v>48</v>
      </c>
      <c r="Y1678" s="81" t="s">
        <v>48</v>
      </c>
    </row>
    <row r="1679" spans="1:25" x14ac:dyDescent="0.3">
      <c r="A1679" s="16" t="s">
        <v>1699</v>
      </c>
      <c r="B1679" s="81" t="s">
        <v>43</v>
      </c>
      <c r="C1679" s="81" t="s">
        <v>4036</v>
      </c>
      <c r="D1679" s="81" t="s">
        <v>45</v>
      </c>
      <c r="E1679" s="81" t="s">
        <v>2465</v>
      </c>
      <c r="F1679" s="81" t="s">
        <v>2257</v>
      </c>
      <c r="G1679" s="81" t="s">
        <v>4037</v>
      </c>
      <c r="H1679" s="81" t="s">
        <v>4038</v>
      </c>
      <c r="I1679" s="81" t="s">
        <v>6864</v>
      </c>
      <c r="J1679" s="81" t="s">
        <v>2186</v>
      </c>
      <c r="K1679" s="81" t="s">
        <v>6864</v>
      </c>
      <c r="L1679" s="81" t="s">
        <v>2392</v>
      </c>
      <c r="M1679" s="81" t="s">
        <v>6864</v>
      </c>
      <c r="N1679" s="81" t="s">
        <v>2231</v>
      </c>
      <c r="O1679" s="81" t="s">
        <v>2187</v>
      </c>
      <c r="P1679" s="81" t="s">
        <v>2187</v>
      </c>
      <c r="Q1679" s="81" t="s">
        <v>43</v>
      </c>
      <c r="R1679" s="81" t="s">
        <v>203</v>
      </c>
      <c r="S1679" s="81" t="s">
        <v>203</v>
      </c>
      <c r="T1679" s="81" t="s">
        <v>48</v>
      </c>
      <c r="U1679" s="81" t="s">
        <v>48</v>
      </c>
      <c r="V1679" s="81" t="s">
        <v>48</v>
      </c>
      <c r="W1679" s="81" t="s">
        <v>49</v>
      </c>
      <c r="X1679" s="81" t="s">
        <v>48</v>
      </c>
      <c r="Y1679" s="81" t="s">
        <v>48</v>
      </c>
    </row>
    <row r="1680" spans="1:25" x14ac:dyDescent="0.3">
      <c r="A1680" s="16" t="s">
        <v>1700</v>
      </c>
      <c r="B1680" s="81" t="s">
        <v>43</v>
      </c>
      <c r="C1680" s="81" t="s">
        <v>4039</v>
      </c>
      <c r="D1680" s="81" t="s">
        <v>45</v>
      </c>
      <c r="E1680" s="81" t="s">
        <v>2410</v>
      </c>
      <c r="F1680" s="81" t="s">
        <v>2861</v>
      </c>
      <c r="G1680" s="81" t="s">
        <v>2862</v>
      </c>
      <c r="H1680" s="81" t="s">
        <v>2415</v>
      </c>
      <c r="I1680" s="81" t="s">
        <v>2693</v>
      </c>
      <c r="J1680" s="81" t="s">
        <v>2186</v>
      </c>
      <c r="K1680" s="81" t="s">
        <v>2693</v>
      </c>
      <c r="L1680" s="81" t="s">
        <v>2392</v>
      </c>
      <c r="M1680" s="81" t="s">
        <v>2693</v>
      </c>
      <c r="N1680" s="81" t="s">
        <v>2231</v>
      </c>
      <c r="O1680" s="81" t="s">
        <v>2187</v>
      </c>
      <c r="P1680" s="81" t="s">
        <v>2187</v>
      </c>
      <c r="Q1680" s="81" t="s">
        <v>43</v>
      </c>
      <c r="R1680" s="81" t="s">
        <v>203</v>
      </c>
      <c r="S1680" s="81" t="s">
        <v>164</v>
      </c>
      <c r="T1680" s="81" t="s">
        <v>48</v>
      </c>
      <c r="U1680" s="81" t="s">
        <v>48</v>
      </c>
      <c r="V1680" s="81" t="s">
        <v>48</v>
      </c>
      <c r="W1680" s="81" t="s">
        <v>49</v>
      </c>
      <c r="X1680" s="81" t="s">
        <v>48</v>
      </c>
      <c r="Y1680" s="81" t="s">
        <v>48</v>
      </c>
    </row>
    <row r="1681" spans="1:25" x14ac:dyDescent="0.3">
      <c r="A1681" s="16" t="s">
        <v>1701</v>
      </c>
      <c r="B1681" s="81" t="s">
        <v>43</v>
      </c>
      <c r="C1681" s="81" t="s">
        <v>1702</v>
      </c>
      <c r="D1681" s="81" t="s">
        <v>45</v>
      </c>
      <c r="E1681" s="81" t="s">
        <v>2234</v>
      </c>
      <c r="F1681" s="81" t="s">
        <v>2583</v>
      </c>
      <c r="G1681" s="81" t="s">
        <v>4040</v>
      </c>
      <c r="H1681" s="81" t="s">
        <v>3004</v>
      </c>
      <c r="I1681" s="81" t="s">
        <v>6865</v>
      </c>
      <c r="J1681" s="81" t="s">
        <v>2186</v>
      </c>
      <c r="K1681" s="81" t="s">
        <v>6865</v>
      </c>
      <c r="L1681" s="81" t="s">
        <v>2392</v>
      </c>
      <c r="M1681" s="81" t="s">
        <v>6865</v>
      </c>
      <c r="N1681" s="81" t="s">
        <v>2231</v>
      </c>
      <c r="O1681" s="81" t="s">
        <v>2187</v>
      </c>
      <c r="P1681" s="81" t="s">
        <v>2187</v>
      </c>
      <c r="Q1681" s="81" t="s">
        <v>288</v>
      </c>
      <c r="R1681" s="81" t="s">
        <v>203</v>
      </c>
      <c r="S1681" s="81" t="s">
        <v>47</v>
      </c>
      <c r="T1681" s="81" t="s">
        <v>48</v>
      </c>
      <c r="U1681" s="81" t="s">
        <v>48</v>
      </c>
      <c r="V1681" s="81" t="s">
        <v>48</v>
      </c>
      <c r="W1681" s="81" t="s">
        <v>49</v>
      </c>
      <c r="X1681" s="81" t="s">
        <v>48</v>
      </c>
      <c r="Y1681" s="81" t="s">
        <v>48</v>
      </c>
    </row>
    <row r="1682" spans="1:25" x14ac:dyDescent="0.3">
      <c r="A1682" s="16" t="s">
        <v>1703</v>
      </c>
      <c r="B1682" s="81" t="s">
        <v>43</v>
      </c>
      <c r="C1682" s="81" t="s">
        <v>1749</v>
      </c>
      <c r="D1682" s="81" t="s">
        <v>45</v>
      </c>
      <c r="E1682" s="81" t="s">
        <v>2227</v>
      </c>
      <c r="F1682" s="81" t="s">
        <v>2227</v>
      </c>
      <c r="G1682" s="81" t="s">
        <v>2542</v>
      </c>
      <c r="H1682" s="81" t="s">
        <v>3041</v>
      </c>
      <c r="I1682" s="81" t="s">
        <v>6866</v>
      </c>
      <c r="J1682" s="81" t="s">
        <v>2186</v>
      </c>
      <c r="K1682" s="81" t="s">
        <v>6866</v>
      </c>
      <c r="L1682" s="81" t="s">
        <v>2392</v>
      </c>
      <c r="M1682" s="81" t="s">
        <v>6866</v>
      </c>
      <c r="N1682" s="81" t="s">
        <v>2231</v>
      </c>
      <c r="O1682" s="81" t="s">
        <v>2187</v>
      </c>
      <c r="P1682" s="81" t="s">
        <v>2187</v>
      </c>
      <c r="Q1682" s="81" t="s">
        <v>43</v>
      </c>
      <c r="R1682" s="81" t="s">
        <v>203</v>
      </c>
      <c r="S1682" s="81" t="s">
        <v>203</v>
      </c>
      <c r="T1682" s="81" t="s">
        <v>48</v>
      </c>
      <c r="U1682" s="81" t="s">
        <v>48</v>
      </c>
      <c r="V1682" s="81" t="s">
        <v>49</v>
      </c>
      <c r="W1682" s="81" t="s">
        <v>48</v>
      </c>
      <c r="X1682" s="81" t="s">
        <v>48</v>
      </c>
      <c r="Y1682" s="81" t="s">
        <v>48</v>
      </c>
    </row>
    <row r="1683" spans="1:25" x14ac:dyDescent="0.3">
      <c r="A1683" s="16">
        <v>7501125100116</v>
      </c>
      <c r="B1683" s="81" t="s">
        <v>43</v>
      </c>
      <c r="C1683" s="81" t="s">
        <v>1704</v>
      </c>
      <c r="D1683" s="81" t="s">
        <v>45</v>
      </c>
      <c r="E1683" s="81" t="s">
        <v>2227</v>
      </c>
      <c r="F1683" s="81" t="s">
        <v>2227</v>
      </c>
      <c r="G1683" s="81" t="s">
        <v>4041</v>
      </c>
      <c r="H1683" s="81" t="s">
        <v>2243</v>
      </c>
      <c r="I1683" s="81" t="s">
        <v>2325</v>
      </c>
      <c r="J1683" s="81" t="s">
        <v>2186</v>
      </c>
      <c r="K1683" s="81" t="s">
        <v>2474</v>
      </c>
      <c r="L1683" s="81" t="s">
        <v>2392</v>
      </c>
      <c r="M1683" s="81" t="s">
        <v>4042</v>
      </c>
      <c r="N1683" s="81" t="s">
        <v>2231</v>
      </c>
      <c r="O1683" s="81" t="s">
        <v>2187</v>
      </c>
      <c r="P1683" s="81" t="s">
        <v>2187</v>
      </c>
      <c r="Q1683" s="81" t="s">
        <v>43</v>
      </c>
      <c r="R1683" s="81" t="s">
        <v>122</v>
      </c>
      <c r="S1683" s="81" t="s">
        <v>123</v>
      </c>
      <c r="T1683" s="81" t="s">
        <v>48</v>
      </c>
      <c r="U1683" s="81" t="s">
        <v>48</v>
      </c>
      <c r="V1683" s="81" t="s">
        <v>48</v>
      </c>
      <c r="W1683" s="81" t="s">
        <v>49</v>
      </c>
      <c r="X1683" s="81" t="s">
        <v>48</v>
      </c>
      <c r="Y1683" s="81" t="s">
        <v>48</v>
      </c>
    </row>
    <row r="1684" spans="1:25" x14ac:dyDescent="0.3">
      <c r="A1684" s="16">
        <v>7501052712178</v>
      </c>
      <c r="B1684" s="81" t="s">
        <v>43</v>
      </c>
      <c r="C1684" s="81" t="s">
        <v>1705</v>
      </c>
      <c r="D1684" s="81" t="s">
        <v>45</v>
      </c>
      <c r="E1684" s="81" t="s">
        <v>2227</v>
      </c>
      <c r="F1684" s="81" t="s">
        <v>2227</v>
      </c>
      <c r="G1684" s="81" t="s">
        <v>4043</v>
      </c>
      <c r="H1684" s="81" t="s">
        <v>2343</v>
      </c>
      <c r="I1684" s="81" t="s">
        <v>6867</v>
      </c>
      <c r="J1684" s="81" t="s">
        <v>2186</v>
      </c>
      <c r="K1684" s="81" t="s">
        <v>6867</v>
      </c>
      <c r="L1684" s="81" t="s">
        <v>2392</v>
      </c>
      <c r="M1684" s="81" t="s">
        <v>6867</v>
      </c>
      <c r="N1684" s="81" t="s">
        <v>2231</v>
      </c>
      <c r="O1684" s="81" t="s">
        <v>2187</v>
      </c>
      <c r="P1684" s="81" t="s">
        <v>2187</v>
      </c>
      <c r="Q1684" s="81" t="s">
        <v>43</v>
      </c>
      <c r="R1684" s="81" t="s">
        <v>122</v>
      </c>
      <c r="S1684" s="81" t="s">
        <v>123</v>
      </c>
      <c r="T1684" s="81" t="s">
        <v>48</v>
      </c>
      <c r="U1684" s="81" t="s">
        <v>48</v>
      </c>
      <c r="V1684" s="81" t="s">
        <v>48</v>
      </c>
      <c r="W1684" s="81" t="s">
        <v>49</v>
      </c>
      <c r="X1684" s="81" t="s">
        <v>48</v>
      </c>
      <c r="Y1684" s="81" t="s">
        <v>48</v>
      </c>
    </row>
    <row r="1685" spans="1:25" x14ac:dyDescent="0.3">
      <c r="A1685" s="16">
        <v>7501384547929</v>
      </c>
      <c r="B1685" s="81" t="s">
        <v>43</v>
      </c>
      <c r="C1685" s="81" t="s">
        <v>1706</v>
      </c>
      <c r="D1685" s="81" t="s">
        <v>45</v>
      </c>
      <c r="E1685" s="81" t="s">
        <v>2227</v>
      </c>
      <c r="F1685" s="81" t="s">
        <v>2227</v>
      </c>
      <c r="G1685" s="81" t="s">
        <v>4044</v>
      </c>
      <c r="H1685" s="81" t="s">
        <v>2251</v>
      </c>
      <c r="I1685" s="81" t="s">
        <v>5266</v>
      </c>
      <c r="J1685" s="81" t="s">
        <v>2186</v>
      </c>
      <c r="K1685" s="81" t="s">
        <v>5266</v>
      </c>
      <c r="L1685" s="81" t="s">
        <v>2392</v>
      </c>
      <c r="M1685" s="81" t="s">
        <v>5266</v>
      </c>
      <c r="N1685" s="81" t="s">
        <v>2231</v>
      </c>
      <c r="O1685" s="81" t="s">
        <v>2187</v>
      </c>
      <c r="P1685" s="81" t="s">
        <v>2187</v>
      </c>
      <c r="Q1685" s="81" t="s">
        <v>43</v>
      </c>
      <c r="R1685" s="81" t="s">
        <v>203</v>
      </c>
      <c r="S1685" s="81" t="s">
        <v>203</v>
      </c>
      <c r="T1685" s="81" t="s">
        <v>48</v>
      </c>
      <c r="U1685" s="81" t="s">
        <v>48</v>
      </c>
      <c r="V1685" s="81" t="s">
        <v>48</v>
      </c>
      <c r="W1685" s="81" t="s">
        <v>49</v>
      </c>
      <c r="X1685" s="81" t="s">
        <v>48</v>
      </c>
      <c r="Y1685" s="81" t="s">
        <v>48</v>
      </c>
    </row>
    <row r="1686" spans="1:25" x14ac:dyDescent="0.3">
      <c r="A1686" s="16">
        <v>7501384547233</v>
      </c>
      <c r="B1686" s="81" t="s">
        <v>43</v>
      </c>
      <c r="C1686" s="81" t="s">
        <v>1707</v>
      </c>
      <c r="D1686" s="81" t="s">
        <v>45</v>
      </c>
      <c r="E1686" s="81" t="s">
        <v>2227</v>
      </c>
      <c r="F1686" s="81" t="s">
        <v>2227</v>
      </c>
      <c r="G1686" s="81" t="s">
        <v>3025</v>
      </c>
      <c r="H1686" s="81" t="s">
        <v>2343</v>
      </c>
      <c r="I1686" s="81" t="s">
        <v>6868</v>
      </c>
      <c r="J1686" s="81" t="s">
        <v>2186</v>
      </c>
      <c r="K1686" s="81" t="s">
        <v>6868</v>
      </c>
      <c r="L1686" s="81" t="s">
        <v>2392</v>
      </c>
      <c r="M1686" s="81" t="s">
        <v>6868</v>
      </c>
      <c r="N1686" s="81" t="s">
        <v>2231</v>
      </c>
      <c r="O1686" s="81" t="s">
        <v>2187</v>
      </c>
      <c r="P1686" s="81" t="s">
        <v>2187</v>
      </c>
      <c r="Q1686" s="81" t="s">
        <v>43</v>
      </c>
      <c r="R1686" s="81" t="s">
        <v>46</v>
      </c>
      <c r="S1686" s="81" t="s">
        <v>46</v>
      </c>
      <c r="T1686" s="81" t="s">
        <v>48</v>
      </c>
      <c r="U1686" s="81" t="s">
        <v>48</v>
      </c>
      <c r="V1686" s="81" t="s">
        <v>48</v>
      </c>
      <c r="W1686" s="81" t="s">
        <v>49</v>
      </c>
      <c r="X1686" s="81" t="s">
        <v>48</v>
      </c>
      <c r="Y1686" s="81" t="s">
        <v>48</v>
      </c>
    </row>
    <row r="1687" spans="1:25" x14ac:dyDescent="0.3">
      <c r="A1687" s="16">
        <v>7501070635671</v>
      </c>
      <c r="B1687" s="81" t="s">
        <v>43</v>
      </c>
      <c r="C1687" s="81" t="s">
        <v>1708</v>
      </c>
      <c r="D1687" s="81" t="s">
        <v>45</v>
      </c>
      <c r="E1687" s="81" t="s">
        <v>2227</v>
      </c>
      <c r="F1687" s="81" t="s">
        <v>2227</v>
      </c>
      <c r="G1687" s="81" t="s">
        <v>4045</v>
      </c>
      <c r="H1687" s="81" t="s">
        <v>3579</v>
      </c>
      <c r="I1687" s="81" t="s">
        <v>6869</v>
      </c>
      <c r="J1687" s="81" t="s">
        <v>2186</v>
      </c>
      <c r="K1687" s="81" t="s">
        <v>6869</v>
      </c>
      <c r="L1687" s="81" t="s">
        <v>2392</v>
      </c>
      <c r="M1687" s="81" t="s">
        <v>6869</v>
      </c>
      <c r="N1687" s="81" t="s">
        <v>2231</v>
      </c>
      <c r="O1687" s="81" t="s">
        <v>2187</v>
      </c>
      <c r="P1687" s="81" t="s">
        <v>2187</v>
      </c>
      <c r="Q1687" s="81" t="s">
        <v>43</v>
      </c>
      <c r="R1687" s="81" t="s">
        <v>374</v>
      </c>
      <c r="S1687" s="81" t="s">
        <v>374</v>
      </c>
      <c r="T1687" s="81" t="s">
        <v>48</v>
      </c>
      <c r="U1687" s="81" t="s">
        <v>48</v>
      </c>
      <c r="V1687" s="81" t="s">
        <v>48</v>
      </c>
      <c r="W1687" s="81" t="s">
        <v>49</v>
      </c>
      <c r="X1687" s="81" t="s">
        <v>48</v>
      </c>
      <c r="Y1687" s="81" t="s">
        <v>48</v>
      </c>
    </row>
    <row r="1688" spans="1:25" x14ac:dyDescent="0.3">
      <c r="A1688" s="16">
        <v>7501125115448</v>
      </c>
      <c r="B1688" s="81" t="s">
        <v>43</v>
      </c>
      <c r="C1688" s="81" t="s">
        <v>1709</v>
      </c>
      <c r="D1688" s="81" t="s">
        <v>45</v>
      </c>
      <c r="E1688" s="81" t="s">
        <v>2227</v>
      </c>
      <c r="F1688" s="81" t="s">
        <v>2227</v>
      </c>
      <c r="G1688" s="81" t="s">
        <v>3256</v>
      </c>
      <c r="H1688" s="81" t="s">
        <v>2220</v>
      </c>
      <c r="I1688" s="81" t="s">
        <v>6768</v>
      </c>
      <c r="J1688" s="81" t="s">
        <v>2186</v>
      </c>
      <c r="K1688" s="81" t="s">
        <v>6768</v>
      </c>
      <c r="L1688" s="81" t="s">
        <v>2392</v>
      </c>
      <c r="M1688" s="81" t="s">
        <v>6768</v>
      </c>
      <c r="N1688" s="81" t="s">
        <v>2231</v>
      </c>
      <c r="O1688" s="81" t="s">
        <v>2187</v>
      </c>
      <c r="P1688" s="81" t="s">
        <v>2187</v>
      </c>
      <c r="Q1688" s="81" t="s">
        <v>43</v>
      </c>
      <c r="R1688" s="81" t="s">
        <v>122</v>
      </c>
      <c r="S1688" s="81" t="s">
        <v>123</v>
      </c>
      <c r="T1688" s="81" t="s">
        <v>48</v>
      </c>
      <c r="U1688" s="81" t="s">
        <v>48</v>
      </c>
      <c r="V1688" s="81" t="s">
        <v>48</v>
      </c>
      <c r="W1688" s="81" t="s">
        <v>49</v>
      </c>
      <c r="X1688" s="81" t="s">
        <v>48</v>
      </c>
      <c r="Y1688" s="81" t="s">
        <v>48</v>
      </c>
    </row>
    <row r="1689" spans="1:25" x14ac:dyDescent="0.3">
      <c r="A1689" s="16">
        <v>7501287678034</v>
      </c>
      <c r="B1689" s="81" t="s">
        <v>43</v>
      </c>
      <c r="C1689" s="81" t="s">
        <v>1710</v>
      </c>
      <c r="D1689" s="81" t="s">
        <v>45</v>
      </c>
      <c r="E1689" s="81" t="s">
        <v>2227</v>
      </c>
      <c r="F1689" s="81" t="s">
        <v>2227</v>
      </c>
      <c r="G1689" s="81" t="s">
        <v>4046</v>
      </c>
      <c r="H1689" s="81" t="s">
        <v>4047</v>
      </c>
      <c r="I1689" s="81" t="s">
        <v>6870</v>
      </c>
      <c r="J1689" s="81" t="s">
        <v>2186</v>
      </c>
      <c r="K1689" s="81" t="s">
        <v>6870</v>
      </c>
      <c r="L1689" s="81" t="s">
        <v>2392</v>
      </c>
      <c r="M1689" s="81" t="s">
        <v>6870</v>
      </c>
      <c r="N1689" s="81" t="s">
        <v>2231</v>
      </c>
      <c r="O1689" s="81" t="s">
        <v>2187</v>
      </c>
      <c r="P1689" s="81" t="s">
        <v>2187</v>
      </c>
      <c r="Q1689" s="81" t="s">
        <v>43</v>
      </c>
      <c r="R1689" s="81" t="s">
        <v>374</v>
      </c>
      <c r="S1689" s="81" t="s">
        <v>374</v>
      </c>
      <c r="T1689" s="81" t="s">
        <v>48</v>
      </c>
      <c r="U1689" s="81" t="s">
        <v>48</v>
      </c>
      <c r="V1689" s="81" t="s">
        <v>48</v>
      </c>
      <c r="W1689" s="81" t="s">
        <v>49</v>
      </c>
      <c r="X1689" s="81" t="s">
        <v>48</v>
      </c>
      <c r="Y1689" s="81" t="s">
        <v>48</v>
      </c>
    </row>
    <row r="1690" spans="1:25" x14ac:dyDescent="0.3">
      <c r="A1690" s="16">
        <v>7502321440006</v>
      </c>
      <c r="B1690" s="81" t="s">
        <v>43</v>
      </c>
      <c r="C1690" s="81" t="s">
        <v>1711</v>
      </c>
      <c r="D1690" s="81" t="s">
        <v>45</v>
      </c>
      <c r="E1690" s="81" t="s">
        <v>2227</v>
      </c>
      <c r="F1690" s="81" t="s">
        <v>2227</v>
      </c>
      <c r="G1690" s="81" t="s">
        <v>4048</v>
      </c>
      <c r="H1690" s="81" t="s">
        <v>4049</v>
      </c>
      <c r="I1690" s="81" t="s">
        <v>6871</v>
      </c>
      <c r="J1690" s="81" t="s">
        <v>2186</v>
      </c>
      <c r="K1690" s="81" t="s">
        <v>6871</v>
      </c>
      <c r="L1690" s="81" t="s">
        <v>2392</v>
      </c>
      <c r="M1690" s="81" t="s">
        <v>6871</v>
      </c>
      <c r="N1690" s="81" t="s">
        <v>2231</v>
      </c>
      <c r="O1690" s="81" t="s">
        <v>2187</v>
      </c>
      <c r="P1690" s="81" t="s">
        <v>2187</v>
      </c>
      <c r="Q1690" s="81" t="s">
        <v>43</v>
      </c>
      <c r="R1690" s="81" t="s">
        <v>374</v>
      </c>
      <c r="S1690" s="81" t="s">
        <v>374</v>
      </c>
      <c r="T1690" s="81" t="s">
        <v>48</v>
      </c>
      <c r="U1690" s="81" t="s">
        <v>48</v>
      </c>
      <c r="V1690" s="81" t="s">
        <v>48</v>
      </c>
      <c r="W1690" s="81" t="s">
        <v>49</v>
      </c>
      <c r="X1690" s="81" t="s">
        <v>48</v>
      </c>
      <c r="Y1690" s="81" t="s">
        <v>48</v>
      </c>
    </row>
    <row r="1691" spans="1:25" x14ac:dyDescent="0.3">
      <c r="A1691" s="16" t="s">
        <v>1712</v>
      </c>
      <c r="B1691" s="81" t="s">
        <v>43</v>
      </c>
      <c r="C1691" s="81" t="s">
        <v>1713</v>
      </c>
      <c r="D1691" s="81" t="s">
        <v>45</v>
      </c>
      <c r="E1691" s="81" t="s">
        <v>2793</v>
      </c>
      <c r="F1691" s="81" t="s">
        <v>2794</v>
      </c>
      <c r="G1691" s="81" t="s">
        <v>2660</v>
      </c>
      <c r="H1691" s="81" t="s">
        <v>6872</v>
      </c>
      <c r="I1691" s="81" t="s">
        <v>6873</v>
      </c>
      <c r="J1691" s="81" t="s">
        <v>2186</v>
      </c>
      <c r="K1691" s="81" t="s">
        <v>6873</v>
      </c>
      <c r="L1691" s="81" t="s">
        <v>2392</v>
      </c>
      <c r="M1691" s="81" t="s">
        <v>6873</v>
      </c>
      <c r="N1691" s="81" t="s">
        <v>2231</v>
      </c>
      <c r="O1691" s="81" t="s">
        <v>2187</v>
      </c>
      <c r="P1691" s="81" t="s">
        <v>2187</v>
      </c>
      <c r="Q1691" s="81" t="s">
        <v>43</v>
      </c>
      <c r="R1691" s="81" t="s">
        <v>51</v>
      </c>
      <c r="S1691" s="81" t="s">
        <v>73</v>
      </c>
      <c r="T1691" s="81" t="s">
        <v>49</v>
      </c>
      <c r="U1691" s="81" t="s">
        <v>48</v>
      </c>
      <c r="V1691" s="81" t="s">
        <v>48</v>
      </c>
      <c r="W1691" s="81" t="s">
        <v>49</v>
      </c>
      <c r="X1691" s="81" t="s">
        <v>48</v>
      </c>
      <c r="Y1691" s="81" t="s">
        <v>48</v>
      </c>
    </row>
    <row r="1692" spans="1:25" x14ac:dyDescent="0.3">
      <c r="A1692" s="16" t="s">
        <v>1714</v>
      </c>
      <c r="B1692" s="81" t="s">
        <v>43</v>
      </c>
      <c r="C1692" s="81" t="s">
        <v>1715</v>
      </c>
      <c r="D1692" s="81" t="s">
        <v>45</v>
      </c>
      <c r="E1692" s="81" t="s">
        <v>2216</v>
      </c>
      <c r="F1692" s="81" t="s">
        <v>2684</v>
      </c>
      <c r="G1692" s="81" t="s">
        <v>4050</v>
      </c>
      <c r="H1692" s="81" t="s">
        <v>6874</v>
      </c>
      <c r="I1692" s="81" t="s">
        <v>4567</v>
      </c>
      <c r="J1692" s="81" t="s">
        <v>2186</v>
      </c>
      <c r="K1692" s="81" t="s">
        <v>4567</v>
      </c>
      <c r="L1692" s="81" t="s">
        <v>2392</v>
      </c>
      <c r="M1692" s="81" t="s">
        <v>4567</v>
      </c>
      <c r="N1692" s="81" t="s">
        <v>2231</v>
      </c>
      <c r="O1692" s="81" t="s">
        <v>2187</v>
      </c>
      <c r="P1692" s="81" t="s">
        <v>2187</v>
      </c>
      <c r="Q1692" s="81" t="s">
        <v>43</v>
      </c>
      <c r="R1692" s="81" t="s">
        <v>46</v>
      </c>
      <c r="S1692" s="81" t="s">
        <v>73</v>
      </c>
      <c r="T1692" s="81" t="s">
        <v>48</v>
      </c>
      <c r="U1692" s="81" t="s">
        <v>48</v>
      </c>
      <c r="V1692" s="81" t="s">
        <v>48</v>
      </c>
      <c r="W1692" s="81" t="s">
        <v>49</v>
      </c>
      <c r="X1692" s="81" t="s">
        <v>48</v>
      </c>
      <c r="Y1692" s="81" t="s">
        <v>48</v>
      </c>
    </row>
    <row r="1693" spans="1:25" x14ac:dyDescent="0.3">
      <c r="A1693" s="16" t="s">
        <v>1716</v>
      </c>
      <c r="B1693" s="81" t="s">
        <v>43</v>
      </c>
      <c r="C1693" s="81" t="s">
        <v>1717</v>
      </c>
      <c r="D1693" s="81" t="s">
        <v>45</v>
      </c>
      <c r="E1693" s="81" t="s">
        <v>2210</v>
      </c>
      <c r="F1693" s="81" t="s">
        <v>2606</v>
      </c>
      <c r="G1693" s="81" t="s">
        <v>3007</v>
      </c>
      <c r="H1693" s="81" t="s">
        <v>6875</v>
      </c>
      <c r="I1693" s="81" t="s">
        <v>6876</v>
      </c>
      <c r="J1693" s="81" t="s">
        <v>2186</v>
      </c>
      <c r="K1693" s="81" t="s">
        <v>6876</v>
      </c>
      <c r="L1693" s="81" t="s">
        <v>2392</v>
      </c>
      <c r="M1693" s="81" t="s">
        <v>6876</v>
      </c>
      <c r="N1693" s="81" t="s">
        <v>2231</v>
      </c>
      <c r="O1693" s="81" t="s">
        <v>2187</v>
      </c>
      <c r="P1693" s="81" t="s">
        <v>2187</v>
      </c>
      <c r="Q1693" s="81" t="s">
        <v>43</v>
      </c>
      <c r="R1693" s="81" t="s">
        <v>51</v>
      </c>
      <c r="S1693" s="81" t="s">
        <v>81</v>
      </c>
      <c r="T1693" s="81" t="s">
        <v>49</v>
      </c>
      <c r="U1693" s="81" t="s">
        <v>48</v>
      </c>
      <c r="V1693" s="81" t="s">
        <v>48</v>
      </c>
      <c r="W1693" s="81" t="s">
        <v>49</v>
      </c>
      <c r="X1693" s="81" t="s">
        <v>48</v>
      </c>
      <c r="Y1693" s="81" t="s">
        <v>48</v>
      </c>
    </row>
    <row r="1694" spans="1:25" x14ac:dyDescent="0.3">
      <c r="A1694" s="16" t="s">
        <v>1718</v>
      </c>
      <c r="B1694" s="81" t="s">
        <v>43</v>
      </c>
      <c r="C1694" s="81" t="s">
        <v>1719</v>
      </c>
      <c r="D1694" s="81" t="s">
        <v>45</v>
      </c>
      <c r="E1694" s="81" t="s">
        <v>2545</v>
      </c>
      <c r="F1694" s="81" t="s">
        <v>2248</v>
      </c>
      <c r="G1694" s="81" t="s">
        <v>4051</v>
      </c>
      <c r="H1694" s="81" t="s">
        <v>6877</v>
      </c>
      <c r="I1694" s="81" t="s">
        <v>6878</v>
      </c>
      <c r="J1694" s="81" t="s">
        <v>2186</v>
      </c>
      <c r="K1694" s="81" t="s">
        <v>6878</v>
      </c>
      <c r="L1694" s="81" t="s">
        <v>2392</v>
      </c>
      <c r="M1694" s="81" t="s">
        <v>6878</v>
      </c>
      <c r="N1694" s="81" t="s">
        <v>2231</v>
      </c>
      <c r="O1694" s="81" t="s">
        <v>2187</v>
      </c>
      <c r="P1694" s="81" t="s">
        <v>2187</v>
      </c>
      <c r="Q1694" s="81" t="s">
        <v>354</v>
      </c>
      <c r="R1694" s="81" t="s">
        <v>203</v>
      </c>
      <c r="S1694" s="81" t="s">
        <v>73</v>
      </c>
      <c r="T1694" s="81" t="s">
        <v>48</v>
      </c>
      <c r="U1694" s="81" t="s">
        <v>48</v>
      </c>
      <c r="V1694" s="81" t="s">
        <v>48</v>
      </c>
      <c r="W1694" s="81" t="s">
        <v>49</v>
      </c>
      <c r="X1694" s="81" t="s">
        <v>48</v>
      </c>
      <c r="Y1694" s="81" t="s">
        <v>48</v>
      </c>
    </row>
    <row r="1695" spans="1:25" x14ac:dyDescent="0.3">
      <c r="A1695" s="16" t="s">
        <v>1720</v>
      </c>
      <c r="B1695" s="81" t="s">
        <v>43</v>
      </c>
      <c r="C1695" s="81" t="s">
        <v>1721</v>
      </c>
      <c r="D1695" s="81" t="s">
        <v>45</v>
      </c>
      <c r="E1695" s="81" t="s">
        <v>2298</v>
      </c>
      <c r="F1695" s="81" t="s">
        <v>2262</v>
      </c>
      <c r="G1695" s="81" t="s">
        <v>4053</v>
      </c>
      <c r="H1695" s="81" t="s">
        <v>6879</v>
      </c>
      <c r="I1695" s="81" t="s">
        <v>6880</v>
      </c>
      <c r="J1695" s="81" t="s">
        <v>2186</v>
      </c>
      <c r="K1695" s="81" t="s">
        <v>6880</v>
      </c>
      <c r="L1695" s="81" t="s">
        <v>2392</v>
      </c>
      <c r="M1695" s="81" t="s">
        <v>6880</v>
      </c>
      <c r="N1695" s="81" t="s">
        <v>2231</v>
      </c>
      <c r="O1695" s="81" t="s">
        <v>2187</v>
      </c>
      <c r="P1695" s="81" t="s">
        <v>2187</v>
      </c>
      <c r="Q1695" s="81" t="s">
        <v>43</v>
      </c>
      <c r="R1695" s="81" t="s">
        <v>51</v>
      </c>
      <c r="S1695" s="81" t="s">
        <v>81</v>
      </c>
      <c r="T1695" s="81" t="s">
        <v>49</v>
      </c>
      <c r="U1695" s="81" t="s">
        <v>48</v>
      </c>
      <c r="V1695" s="81" t="s">
        <v>48</v>
      </c>
      <c r="W1695" s="81" t="s">
        <v>49</v>
      </c>
      <c r="X1695" s="81" t="s">
        <v>48</v>
      </c>
      <c r="Y1695" s="81" t="s">
        <v>48</v>
      </c>
    </row>
    <row r="1696" spans="1:25" x14ac:dyDescent="0.3">
      <c r="A1696" s="16" t="s">
        <v>1722</v>
      </c>
      <c r="B1696" s="81" t="s">
        <v>43</v>
      </c>
      <c r="C1696" s="81" t="s">
        <v>4461</v>
      </c>
      <c r="D1696" s="81" t="s">
        <v>45</v>
      </c>
      <c r="E1696" s="81" t="s">
        <v>2298</v>
      </c>
      <c r="F1696" s="81" t="s">
        <v>2262</v>
      </c>
      <c r="G1696" s="81" t="s">
        <v>4053</v>
      </c>
      <c r="H1696" s="81" t="s">
        <v>2218</v>
      </c>
      <c r="I1696" s="81" t="s">
        <v>2880</v>
      </c>
      <c r="J1696" s="81" t="s">
        <v>2186</v>
      </c>
      <c r="K1696" s="81" t="s">
        <v>2880</v>
      </c>
      <c r="L1696" s="81" t="s">
        <v>2392</v>
      </c>
      <c r="M1696" s="81" t="s">
        <v>2880</v>
      </c>
      <c r="N1696" s="81" t="s">
        <v>2231</v>
      </c>
      <c r="O1696" s="81" t="s">
        <v>2187</v>
      </c>
      <c r="P1696" s="81" t="s">
        <v>2187</v>
      </c>
      <c r="Q1696" s="81" t="s">
        <v>43</v>
      </c>
      <c r="R1696" s="81" t="s">
        <v>101</v>
      </c>
      <c r="S1696" s="81" t="s">
        <v>101</v>
      </c>
      <c r="T1696" s="81" t="s">
        <v>49</v>
      </c>
      <c r="U1696" s="81" t="s">
        <v>48</v>
      </c>
      <c r="V1696" s="81" t="s">
        <v>48</v>
      </c>
      <c r="W1696" s="81" t="s">
        <v>49</v>
      </c>
      <c r="X1696" s="81" t="s">
        <v>48</v>
      </c>
      <c r="Y1696" s="81" t="s">
        <v>48</v>
      </c>
    </row>
    <row r="1697" spans="1:25" x14ac:dyDescent="0.3">
      <c r="A1697" s="16">
        <v>7506022331441</v>
      </c>
      <c r="B1697" s="81" t="s">
        <v>43</v>
      </c>
      <c r="C1697" s="81" t="s">
        <v>1724</v>
      </c>
      <c r="D1697" s="81" t="s">
        <v>45</v>
      </c>
      <c r="E1697" s="81" t="s">
        <v>2227</v>
      </c>
      <c r="F1697" s="81" t="s">
        <v>2227</v>
      </c>
      <c r="G1697" s="81" t="s">
        <v>2712</v>
      </c>
      <c r="H1697" s="81" t="s">
        <v>3307</v>
      </c>
      <c r="I1697" s="81" t="s">
        <v>6407</v>
      </c>
      <c r="J1697" s="81" t="s">
        <v>2186</v>
      </c>
      <c r="K1697" s="81" t="s">
        <v>6407</v>
      </c>
      <c r="L1697" s="81" t="s">
        <v>2392</v>
      </c>
      <c r="M1697" s="81" t="s">
        <v>6407</v>
      </c>
      <c r="N1697" s="81" t="s">
        <v>2231</v>
      </c>
      <c r="O1697" s="81" t="s">
        <v>2187</v>
      </c>
      <c r="P1697" s="81" t="s">
        <v>2187</v>
      </c>
      <c r="Q1697" s="81" t="s">
        <v>43</v>
      </c>
      <c r="R1697" s="81" t="s">
        <v>203</v>
      </c>
      <c r="S1697" s="81" t="s">
        <v>203</v>
      </c>
      <c r="T1697" s="81" t="s">
        <v>48</v>
      </c>
      <c r="U1697" s="81" t="s">
        <v>48</v>
      </c>
      <c r="V1697" s="81" t="s">
        <v>49</v>
      </c>
      <c r="W1697" s="81" t="s">
        <v>48</v>
      </c>
      <c r="X1697" s="81" t="s">
        <v>48</v>
      </c>
      <c r="Y1697" s="81" t="s">
        <v>48</v>
      </c>
    </row>
    <row r="1698" spans="1:25" x14ac:dyDescent="0.3">
      <c r="A1698" s="16">
        <v>7501563300048</v>
      </c>
      <c r="B1698" s="81" t="s">
        <v>43</v>
      </c>
      <c r="C1698" s="81" t="s">
        <v>1840</v>
      </c>
      <c r="D1698" s="81" t="s">
        <v>45</v>
      </c>
      <c r="E1698" s="81" t="s">
        <v>2227</v>
      </c>
      <c r="F1698" s="81" t="s">
        <v>2227</v>
      </c>
      <c r="G1698" s="81" t="s">
        <v>4054</v>
      </c>
      <c r="H1698" s="81" t="s">
        <v>3587</v>
      </c>
      <c r="I1698" s="81" t="s">
        <v>6881</v>
      </c>
      <c r="J1698" s="81" t="s">
        <v>2186</v>
      </c>
      <c r="K1698" s="81" t="s">
        <v>6881</v>
      </c>
      <c r="L1698" s="81" t="s">
        <v>2392</v>
      </c>
      <c r="M1698" s="81" t="s">
        <v>6881</v>
      </c>
      <c r="N1698" s="81" t="s">
        <v>2231</v>
      </c>
      <c r="O1698" s="81" t="s">
        <v>2187</v>
      </c>
      <c r="P1698" s="81" t="s">
        <v>2187</v>
      </c>
      <c r="Q1698" s="81" t="s">
        <v>43</v>
      </c>
      <c r="R1698" s="81" t="s">
        <v>122</v>
      </c>
      <c r="S1698" s="81" t="s">
        <v>123</v>
      </c>
      <c r="T1698" s="81" t="s">
        <v>48</v>
      </c>
      <c r="U1698" s="81" t="s">
        <v>48</v>
      </c>
      <c r="V1698" s="81" t="s">
        <v>49</v>
      </c>
      <c r="W1698" s="81" t="s">
        <v>48</v>
      </c>
      <c r="X1698" s="81" t="s">
        <v>48</v>
      </c>
      <c r="Y1698" s="81" t="s">
        <v>48</v>
      </c>
    </row>
    <row r="1699" spans="1:25" x14ac:dyDescent="0.3">
      <c r="A1699" s="16">
        <v>7501349022935</v>
      </c>
      <c r="B1699" s="81" t="s">
        <v>43</v>
      </c>
      <c r="C1699" s="81" t="s">
        <v>1725</v>
      </c>
      <c r="D1699" s="81" t="s">
        <v>45</v>
      </c>
      <c r="E1699" s="81" t="s">
        <v>2227</v>
      </c>
      <c r="F1699" s="81" t="s">
        <v>2227</v>
      </c>
      <c r="G1699" s="81" t="s">
        <v>4055</v>
      </c>
      <c r="H1699" s="81" t="s">
        <v>2400</v>
      </c>
      <c r="I1699" s="81" t="s">
        <v>2406</v>
      </c>
      <c r="J1699" s="81" t="s">
        <v>2186</v>
      </c>
      <c r="K1699" s="81" t="s">
        <v>2407</v>
      </c>
      <c r="L1699" s="81" t="s">
        <v>2392</v>
      </c>
      <c r="M1699" s="81" t="s">
        <v>4056</v>
      </c>
      <c r="N1699" s="81" t="s">
        <v>2231</v>
      </c>
      <c r="O1699" s="81" t="s">
        <v>2187</v>
      </c>
      <c r="P1699" s="81" t="s">
        <v>2187</v>
      </c>
      <c r="Q1699" s="81" t="s">
        <v>43</v>
      </c>
      <c r="R1699" s="81" t="s">
        <v>46</v>
      </c>
      <c r="S1699" s="81" t="s">
        <v>46</v>
      </c>
      <c r="T1699" s="81" t="s">
        <v>48</v>
      </c>
      <c r="U1699" s="81" t="s">
        <v>48</v>
      </c>
      <c r="V1699" s="81" t="s">
        <v>48</v>
      </c>
      <c r="W1699" s="81" t="s">
        <v>49</v>
      </c>
      <c r="X1699" s="81" t="s">
        <v>48</v>
      </c>
      <c r="Y1699" s="81" t="s">
        <v>48</v>
      </c>
    </row>
    <row r="1700" spans="1:25" x14ac:dyDescent="0.3">
      <c r="A1700" s="16">
        <v>7501300408174</v>
      </c>
      <c r="B1700" s="81" t="s">
        <v>43</v>
      </c>
      <c r="C1700" s="81" t="s">
        <v>4057</v>
      </c>
      <c r="D1700" s="81" t="s">
        <v>45</v>
      </c>
      <c r="E1700" s="81" t="s">
        <v>2227</v>
      </c>
      <c r="F1700" s="81" t="s">
        <v>2227</v>
      </c>
      <c r="G1700" s="81" t="s">
        <v>4058</v>
      </c>
      <c r="H1700" s="81" t="s">
        <v>2853</v>
      </c>
      <c r="I1700" s="81" t="s">
        <v>6882</v>
      </c>
      <c r="J1700" s="81" t="s">
        <v>2186</v>
      </c>
      <c r="K1700" s="81" t="s">
        <v>6882</v>
      </c>
      <c r="L1700" s="81" t="s">
        <v>2392</v>
      </c>
      <c r="M1700" s="81" t="s">
        <v>6882</v>
      </c>
      <c r="N1700" s="81" t="s">
        <v>2231</v>
      </c>
      <c r="O1700" s="81" t="s">
        <v>2187</v>
      </c>
      <c r="P1700" s="81" t="s">
        <v>2187</v>
      </c>
      <c r="Q1700" s="81" t="s">
        <v>43</v>
      </c>
      <c r="R1700" s="81" t="s">
        <v>46</v>
      </c>
      <c r="S1700" s="81" t="s">
        <v>46</v>
      </c>
      <c r="T1700" s="81" t="s">
        <v>48</v>
      </c>
      <c r="U1700" s="81" t="s">
        <v>48</v>
      </c>
      <c r="V1700" s="81" t="s">
        <v>48</v>
      </c>
      <c r="W1700" s="81" t="s">
        <v>49</v>
      </c>
      <c r="X1700" s="81" t="s">
        <v>48</v>
      </c>
      <c r="Y1700" s="81" t="s">
        <v>48</v>
      </c>
    </row>
    <row r="1701" spans="1:25" x14ac:dyDescent="0.3">
      <c r="A1701" s="16">
        <v>7502208894496</v>
      </c>
      <c r="B1701" s="81" t="s">
        <v>43</v>
      </c>
      <c r="C1701" s="81" t="s">
        <v>4059</v>
      </c>
      <c r="D1701" s="81" t="s">
        <v>45</v>
      </c>
      <c r="E1701" s="81" t="s">
        <v>2227</v>
      </c>
      <c r="F1701" s="81" t="s">
        <v>2227</v>
      </c>
      <c r="G1701" s="81" t="s">
        <v>4871</v>
      </c>
      <c r="H1701" s="81" t="s">
        <v>2291</v>
      </c>
      <c r="I1701" s="81" t="s">
        <v>6883</v>
      </c>
      <c r="J1701" s="81" t="s">
        <v>2186</v>
      </c>
      <c r="K1701" s="81" t="s">
        <v>6883</v>
      </c>
      <c r="L1701" s="81" t="s">
        <v>2392</v>
      </c>
      <c r="M1701" s="81" t="s">
        <v>6883</v>
      </c>
      <c r="N1701" s="81" t="s">
        <v>2231</v>
      </c>
      <c r="O1701" s="81" t="s">
        <v>2187</v>
      </c>
      <c r="P1701" s="81" t="s">
        <v>2187</v>
      </c>
      <c r="Q1701" s="81" t="s">
        <v>43</v>
      </c>
      <c r="R1701" s="81" t="s">
        <v>46</v>
      </c>
      <c r="S1701" s="81" t="s">
        <v>46</v>
      </c>
      <c r="T1701" s="81" t="s">
        <v>48</v>
      </c>
      <c r="U1701" s="81" t="s">
        <v>48</v>
      </c>
      <c r="V1701" s="81" t="s">
        <v>48</v>
      </c>
      <c r="W1701" s="81" t="s">
        <v>49</v>
      </c>
      <c r="X1701" s="81" t="s">
        <v>48</v>
      </c>
      <c r="Y1701" s="81" t="s">
        <v>48</v>
      </c>
    </row>
    <row r="1702" spans="1:25" x14ac:dyDescent="0.3">
      <c r="A1702" s="16">
        <v>7502208892195</v>
      </c>
      <c r="B1702" s="81" t="s">
        <v>43</v>
      </c>
      <c r="C1702" s="81" t="s">
        <v>4060</v>
      </c>
      <c r="D1702" s="81" t="s">
        <v>45</v>
      </c>
      <c r="E1702" s="81" t="s">
        <v>2227</v>
      </c>
      <c r="F1702" s="81" t="s">
        <v>2227</v>
      </c>
      <c r="G1702" s="81" t="s">
        <v>4061</v>
      </c>
      <c r="H1702" s="81" t="s">
        <v>6884</v>
      </c>
      <c r="I1702" s="81" t="s">
        <v>6885</v>
      </c>
      <c r="J1702" s="81" t="s">
        <v>2186</v>
      </c>
      <c r="K1702" s="81" t="s">
        <v>6885</v>
      </c>
      <c r="L1702" s="81" t="s">
        <v>2392</v>
      </c>
      <c r="M1702" s="81" t="s">
        <v>6885</v>
      </c>
      <c r="N1702" s="81" t="s">
        <v>2231</v>
      </c>
      <c r="O1702" s="81" t="s">
        <v>2187</v>
      </c>
      <c r="P1702" s="81" t="s">
        <v>2187</v>
      </c>
      <c r="Q1702" s="81" t="s">
        <v>43</v>
      </c>
      <c r="R1702" s="81" t="s">
        <v>51</v>
      </c>
      <c r="S1702" s="81" t="s">
        <v>81</v>
      </c>
      <c r="T1702" s="81" t="s">
        <v>49</v>
      </c>
      <c r="U1702" s="81" t="s">
        <v>48</v>
      </c>
      <c r="V1702" s="81" t="s">
        <v>48</v>
      </c>
      <c r="W1702" s="81" t="s">
        <v>49</v>
      </c>
      <c r="X1702" s="81" t="s">
        <v>48</v>
      </c>
      <c r="Y1702" s="81" t="s">
        <v>48</v>
      </c>
    </row>
    <row r="1703" spans="1:25" x14ac:dyDescent="0.3">
      <c r="A1703" s="16">
        <v>7502208892553</v>
      </c>
      <c r="B1703" s="81" t="s">
        <v>43</v>
      </c>
      <c r="C1703" s="81" t="s">
        <v>1841</v>
      </c>
      <c r="D1703" s="81" t="s">
        <v>45</v>
      </c>
      <c r="E1703" s="81" t="s">
        <v>2227</v>
      </c>
      <c r="F1703" s="81" t="s">
        <v>2227</v>
      </c>
      <c r="G1703" s="81" t="s">
        <v>5298</v>
      </c>
      <c r="H1703" s="81" t="s">
        <v>4062</v>
      </c>
      <c r="I1703" s="81" t="s">
        <v>6886</v>
      </c>
      <c r="J1703" s="81" t="s">
        <v>2186</v>
      </c>
      <c r="K1703" s="81" t="s">
        <v>6886</v>
      </c>
      <c r="L1703" s="81" t="s">
        <v>2392</v>
      </c>
      <c r="M1703" s="81" t="s">
        <v>6886</v>
      </c>
      <c r="N1703" s="81" t="s">
        <v>2231</v>
      </c>
      <c r="O1703" s="81" t="s">
        <v>2187</v>
      </c>
      <c r="P1703" s="81" t="s">
        <v>2187</v>
      </c>
      <c r="Q1703" s="81" t="s">
        <v>43</v>
      </c>
      <c r="R1703" s="81" t="s">
        <v>51</v>
      </c>
      <c r="S1703" s="81" t="s">
        <v>81</v>
      </c>
      <c r="T1703" s="81" t="s">
        <v>49</v>
      </c>
      <c r="U1703" s="81" t="s">
        <v>48</v>
      </c>
      <c r="V1703" s="81" t="s">
        <v>48</v>
      </c>
      <c r="W1703" s="81" t="s">
        <v>49</v>
      </c>
      <c r="X1703" s="81" t="s">
        <v>48</v>
      </c>
      <c r="Y1703" s="81" t="s">
        <v>48</v>
      </c>
    </row>
    <row r="1704" spans="1:25" x14ac:dyDescent="0.3">
      <c r="A1704" s="16">
        <v>7501537161088</v>
      </c>
      <c r="B1704" s="81" t="s">
        <v>43</v>
      </c>
      <c r="C1704" s="81" t="s">
        <v>1733</v>
      </c>
      <c r="D1704" s="81" t="s">
        <v>45</v>
      </c>
      <c r="E1704" s="81" t="s">
        <v>2227</v>
      </c>
      <c r="F1704" s="81" t="s">
        <v>2227</v>
      </c>
      <c r="G1704" s="81" t="s">
        <v>4422</v>
      </c>
      <c r="H1704" s="81" t="s">
        <v>2197</v>
      </c>
      <c r="I1704" s="81" t="s">
        <v>6887</v>
      </c>
      <c r="J1704" s="81" t="s">
        <v>2186</v>
      </c>
      <c r="K1704" s="81" t="s">
        <v>6887</v>
      </c>
      <c r="L1704" s="81" t="s">
        <v>2392</v>
      </c>
      <c r="M1704" s="81" t="s">
        <v>6887</v>
      </c>
      <c r="N1704" s="81" t="s">
        <v>2231</v>
      </c>
      <c r="O1704" s="81" t="s">
        <v>2187</v>
      </c>
      <c r="P1704" s="81" t="s">
        <v>2187</v>
      </c>
      <c r="Q1704" s="81" t="s">
        <v>43</v>
      </c>
      <c r="R1704" s="81" t="s">
        <v>46</v>
      </c>
      <c r="S1704" s="81" t="s">
        <v>46</v>
      </c>
      <c r="T1704" s="81" t="s">
        <v>48</v>
      </c>
      <c r="U1704" s="81" t="s">
        <v>48</v>
      </c>
      <c r="V1704" s="81" t="s">
        <v>48</v>
      </c>
      <c r="W1704" s="81" t="s">
        <v>49</v>
      </c>
      <c r="X1704" s="81" t="s">
        <v>48</v>
      </c>
      <c r="Y1704" s="81" t="s">
        <v>48</v>
      </c>
    </row>
    <row r="1705" spans="1:25" x14ac:dyDescent="0.3">
      <c r="A1705" s="16">
        <v>7502208891198</v>
      </c>
      <c r="B1705" s="81" t="s">
        <v>43</v>
      </c>
      <c r="C1705" s="81" t="s">
        <v>2062</v>
      </c>
      <c r="D1705" s="81" t="s">
        <v>45</v>
      </c>
      <c r="E1705" s="81" t="s">
        <v>2227</v>
      </c>
      <c r="F1705" s="81" t="s">
        <v>2227</v>
      </c>
      <c r="G1705" s="81" t="s">
        <v>2835</v>
      </c>
      <c r="H1705" s="81" t="s">
        <v>2243</v>
      </c>
      <c r="I1705" s="81" t="s">
        <v>6888</v>
      </c>
      <c r="J1705" s="81" t="s">
        <v>2186</v>
      </c>
      <c r="K1705" s="81" t="s">
        <v>6888</v>
      </c>
      <c r="L1705" s="81" t="s">
        <v>2392</v>
      </c>
      <c r="M1705" s="81" t="s">
        <v>6888</v>
      </c>
      <c r="N1705" s="81" t="s">
        <v>2231</v>
      </c>
      <c r="O1705" s="81" t="s">
        <v>2187</v>
      </c>
      <c r="P1705" s="81" t="s">
        <v>2187</v>
      </c>
      <c r="Q1705" s="81" t="s">
        <v>43</v>
      </c>
      <c r="R1705" s="81" t="s">
        <v>51</v>
      </c>
      <c r="S1705" s="81" t="s">
        <v>81</v>
      </c>
      <c r="T1705" s="81" t="s">
        <v>49</v>
      </c>
      <c r="U1705" s="81" t="s">
        <v>48</v>
      </c>
      <c r="V1705" s="81" t="s">
        <v>48</v>
      </c>
      <c r="W1705" s="81" t="s">
        <v>49</v>
      </c>
      <c r="X1705" s="81" t="s">
        <v>48</v>
      </c>
      <c r="Y1705" s="81" t="s">
        <v>48</v>
      </c>
    </row>
    <row r="1706" spans="1:25" x14ac:dyDescent="0.3">
      <c r="A1706" s="16">
        <v>7503027446408</v>
      </c>
      <c r="B1706" s="81" t="s">
        <v>43</v>
      </c>
      <c r="C1706" s="81" t="s">
        <v>2171</v>
      </c>
      <c r="D1706" s="81" t="s">
        <v>45</v>
      </c>
      <c r="E1706" s="81" t="s">
        <v>2227</v>
      </c>
      <c r="F1706" s="81" t="s">
        <v>2227</v>
      </c>
      <c r="G1706" s="81" t="s">
        <v>7117</v>
      </c>
      <c r="H1706" s="81" t="s">
        <v>2401</v>
      </c>
      <c r="I1706" s="81" t="s">
        <v>6524</v>
      </c>
      <c r="J1706" s="81" t="s">
        <v>2186</v>
      </c>
      <c r="K1706" s="81" t="s">
        <v>6524</v>
      </c>
      <c r="L1706" s="81" t="s">
        <v>2392</v>
      </c>
      <c r="M1706" s="81" t="s">
        <v>6524</v>
      </c>
      <c r="N1706" s="81" t="s">
        <v>2231</v>
      </c>
      <c r="O1706" s="81" t="s">
        <v>2187</v>
      </c>
      <c r="P1706" s="81" t="s">
        <v>2187</v>
      </c>
      <c r="Q1706" s="81" t="s">
        <v>43</v>
      </c>
      <c r="R1706" s="81" t="s">
        <v>46</v>
      </c>
      <c r="S1706" s="81" t="s">
        <v>46</v>
      </c>
      <c r="T1706" s="81" t="s">
        <v>48</v>
      </c>
      <c r="U1706" s="81" t="s">
        <v>48</v>
      </c>
      <c r="V1706" s="81" t="s">
        <v>48</v>
      </c>
      <c r="W1706" s="81" t="s">
        <v>49</v>
      </c>
      <c r="X1706" s="81" t="s">
        <v>48</v>
      </c>
      <c r="Y1706" s="81" t="s">
        <v>48</v>
      </c>
    </row>
    <row r="1707" spans="1:25" x14ac:dyDescent="0.3">
      <c r="A1707" s="16">
        <v>7501052712369</v>
      </c>
      <c r="B1707" s="81" t="s">
        <v>43</v>
      </c>
      <c r="C1707" s="81" t="s">
        <v>1842</v>
      </c>
      <c r="D1707" s="81" t="s">
        <v>45</v>
      </c>
      <c r="E1707" s="81" t="s">
        <v>2227</v>
      </c>
      <c r="F1707" s="81" t="s">
        <v>2227</v>
      </c>
      <c r="G1707" s="81" t="s">
        <v>2818</v>
      </c>
      <c r="H1707" s="81" t="s">
        <v>2325</v>
      </c>
      <c r="I1707" s="81" t="s">
        <v>6889</v>
      </c>
      <c r="J1707" s="81" t="s">
        <v>2186</v>
      </c>
      <c r="K1707" s="81" t="s">
        <v>6889</v>
      </c>
      <c r="L1707" s="81" t="s">
        <v>2392</v>
      </c>
      <c r="M1707" s="81" t="s">
        <v>6889</v>
      </c>
      <c r="N1707" s="81" t="s">
        <v>2231</v>
      </c>
      <c r="O1707" s="81" t="s">
        <v>2187</v>
      </c>
      <c r="P1707" s="81" t="s">
        <v>2187</v>
      </c>
      <c r="Q1707" s="81" t="s">
        <v>43</v>
      </c>
      <c r="R1707" s="81" t="s">
        <v>51</v>
      </c>
      <c r="S1707" s="81" t="s">
        <v>81</v>
      </c>
      <c r="T1707" s="81" t="s">
        <v>49</v>
      </c>
      <c r="U1707" s="81" t="s">
        <v>48</v>
      </c>
      <c r="V1707" s="81" t="s">
        <v>48</v>
      </c>
      <c r="W1707" s="81" t="s">
        <v>49</v>
      </c>
      <c r="X1707" s="81" t="s">
        <v>48</v>
      </c>
      <c r="Y1707" s="81" t="s">
        <v>48</v>
      </c>
    </row>
    <row r="1708" spans="1:25" x14ac:dyDescent="0.3">
      <c r="A1708" s="16">
        <v>7501537103026</v>
      </c>
      <c r="B1708" s="81" t="s">
        <v>43</v>
      </c>
      <c r="C1708" s="81" t="s">
        <v>2063</v>
      </c>
      <c r="D1708" s="81" t="s">
        <v>45</v>
      </c>
      <c r="E1708" s="81" t="s">
        <v>2227</v>
      </c>
      <c r="F1708" s="81" t="s">
        <v>2227</v>
      </c>
      <c r="G1708" s="81" t="s">
        <v>4063</v>
      </c>
      <c r="H1708" s="81" t="s">
        <v>2264</v>
      </c>
      <c r="I1708" s="81" t="s">
        <v>6890</v>
      </c>
      <c r="J1708" s="81" t="s">
        <v>2186</v>
      </c>
      <c r="K1708" s="81" t="s">
        <v>6890</v>
      </c>
      <c r="L1708" s="81" t="s">
        <v>2392</v>
      </c>
      <c r="M1708" s="81" t="s">
        <v>6890</v>
      </c>
      <c r="N1708" s="81" t="s">
        <v>2231</v>
      </c>
      <c r="O1708" s="81" t="s">
        <v>2187</v>
      </c>
      <c r="P1708" s="81" t="s">
        <v>2187</v>
      </c>
      <c r="Q1708" s="81" t="s">
        <v>43</v>
      </c>
      <c r="R1708" s="81" t="s">
        <v>46</v>
      </c>
      <c r="S1708" s="81" t="s">
        <v>46</v>
      </c>
      <c r="T1708" s="81" t="s">
        <v>48</v>
      </c>
      <c r="U1708" s="81" t="s">
        <v>48</v>
      </c>
      <c r="V1708" s="81" t="s">
        <v>48</v>
      </c>
      <c r="W1708" s="81" t="s">
        <v>49</v>
      </c>
      <c r="X1708" s="81" t="s">
        <v>48</v>
      </c>
      <c r="Y1708" s="81" t="s">
        <v>48</v>
      </c>
    </row>
    <row r="1709" spans="1:25" x14ac:dyDescent="0.3">
      <c r="A1709" s="16">
        <v>7501008499818</v>
      </c>
      <c r="B1709" s="81" t="s">
        <v>43</v>
      </c>
      <c r="C1709" s="81" t="s">
        <v>2064</v>
      </c>
      <c r="D1709" s="81" t="s">
        <v>45</v>
      </c>
      <c r="E1709" s="81" t="s">
        <v>2227</v>
      </c>
      <c r="F1709" s="81" t="s">
        <v>2227</v>
      </c>
      <c r="G1709" s="81" t="s">
        <v>5128</v>
      </c>
      <c r="H1709" s="81" t="s">
        <v>4064</v>
      </c>
      <c r="I1709" s="81" t="s">
        <v>6891</v>
      </c>
      <c r="J1709" s="81" t="s">
        <v>2186</v>
      </c>
      <c r="K1709" s="81" t="s">
        <v>6891</v>
      </c>
      <c r="L1709" s="81" t="s">
        <v>2392</v>
      </c>
      <c r="M1709" s="81" t="s">
        <v>6891</v>
      </c>
      <c r="N1709" s="81" t="s">
        <v>2231</v>
      </c>
      <c r="O1709" s="81" t="s">
        <v>2187</v>
      </c>
      <c r="P1709" s="81" t="s">
        <v>2187</v>
      </c>
      <c r="Q1709" s="81" t="s">
        <v>43</v>
      </c>
      <c r="R1709" s="81" t="s">
        <v>203</v>
      </c>
      <c r="S1709" s="81" t="s">
        <v>203</v>
      </c>
      <c r="T1709" s="81" t="s">
        <v>48</v>
      </c>
      <c r="U1709" s="81" t="s">
        <v>48</v>
      </c>
      <c r="V1709" s="81" t="s">
        <v>48</v>
      </c>
      <c r="W1709" s="81" t="s">
        <v>49</v>
      </c>
      <c r="X1709" s="81" t="s">
        <v>48</v>
      </c>
      <c r="Y1709" s="81" t="s">
        <v>48</v>
      </c>
    </row>
    <row r="1710" spans="1:25" x14ac:dyDescent="0.3">
      <c r="A1710" s="16">
        <v>8903726307748</v>
      </c>
      <c r="B1710" s="81" t="s">
        <v>43</v>
      </c>
      <c r="C1710" s="81" t="s">
        <v>2065</v>
      </c>
      <c r="D1710" s="81" t="s">
        <v>45</v>
      </c>
      <c r="E1710" s="81" t="s">
        <v>2227</v>
      </c>
      <c r="F1710" s="81" t="s">
        <v>2227</v>
      </c>
      <c r="G1710" s="81" t="s">
        <v>5129</v>
      </c>
      <c r="H1710" s="81" t="s">
        <v>4065</v>
      </c>
      <c r="I1710" s="81" t="s">
        <v>6892</v>
      </c>
      <c r="J1710" s="81" t="s">
        <v>2186</v>
      </c>
      <c r="K1710" s="81" t="s">
        <v>6892</v>
      </c>
      <c r="L1710" s="81" t="s">
        <v>2392</v>
      </c>
      <c r="M1710" s="81" t="s">
        <v>6892</v>
      </c>
      <c r="N1710" s="81" t="s">
        <v>2231</v>
      </c>
      <c r="O1710" s="81" t="s">
        <v>2187</v>
      </c>
      <c r="P1710" s="81" t="s">
        <v>2187</v>
      </c>
      <c r="Q1710" s="81" t="s">
        <v>2066</v>
      </c>
      <c r="R1710" s="81" t="s">
        <v>46</v>
      </c>
      <c r="S1710" s="81" t="s">
        <v>46</v>
      </c>
      <c r="T1710" s="81" t="s">
        <v>48</v>
      </c>
      <c r="U1710" s="81" t="s">
        <v>48</v>
      </c>
      <c r="V1710" s="81" t="s">
        <v>48</v>
      </c>
      <c r="W1710" s="81" t="s">
        <v>49</v>
      </c>
      <c r="X1710" s="81" t="s">
        <v>48</v>
      </c>
      <c r="Y1710" s="81" t="s">
        <v>48</v>
      </c>
    </row>
    <row r="1711" spans="1:25" x14ac:dyDescent="0.3">
      <c r="A1711" s="16">
        <v>7501493975002</v>
      </c>
      <c r="B1711" s="81" t="s">
        <v>43</v>
      </c>
      <c r="C1711" s="81" t="s">
        <v>2172</v>
      </c>
      <c r="D1711" s="81" t="s">
        <v>45</v>
      </c>
      <c r="E1711" s="81" t="s">
        <v>2227</v>
      </c>
      <c r="F1711" s="81" t="s">
        <v>2227</v>
      </c>
      <c r="G1711" s="81" t="s">
        <v>3240</v>
      </c>
      <c r="H1711" s="81" t="s">
        <v>2259</v>
      </c>
      <c r="I1711" s="81" t="s">
        <v>5773</v>
      </c>
      <c r="J1711" s="81" t="s">
        <v>2186</v>
      </c>
      <c r="K1711" s="81" t="s">
        <v>5773</v>
      </c>
      <c r="L1711" s="81" t="s">
        <v>2392</v>
      </c>
      <c r="M1711" s="81" t="s">
        <v>5773</v>
      </c>
      <c r="N1711" s="81" t="s">
        <v>2231</v>
      </c>
      <c r="O1711" s="81" t="s">
        <v>2187</v>
      </c>
      <c r="P1711" s="81" t="s">
        <v>2187</v>
      </c>
      <c r="Q1711" s="81" t="s">
        <v>1750</v>
      </c>
      <c r="R1711" s="81" t="s">
        <v>46</v>
      </c>
      <c r="S1711" s="81" t="s">
        <v>46</v>
      </c>
      <c r="T1711" s="81" t="s">
        <v>48</v>
      </c>
      <c r="U1711" s="81" t="s">
        <v>48</v>
      </c>
      <c r="V1711" s="81" t="s">
        <v>48</v>
      </c>
      <c r="W1711" s="81" t="s">
        <v>49</v>
      </c>
      <c r="X1711" s="81" t="s">
        <v>48</v>
      </c>
      <c r="Y1711" s="81" t="s">
        <v>48</v>
      </c>
    </row>
    <row r="1712" spans="1:25" x14ac:dyDescent="0.3">
      <c r="A1712" s="16" t="s">
        <v>1751</v>
      </c>
      <c r="B1712" s="81" t="s">
        <v>43</v>
      </c>
      <c r="C1712" s="81" t="s">
        <v>1752</v>
      </c>
      <c r="D1712" s="81" t="s">
        <v>45</v>
      </c>
      <c r="E1712" s="81" t="s">
        <v>2227</v>
      </c>
      <c r="F1712" s="81" t="s">
        <v>2227</v>
      </c>
      <c r="G1712" s="81" t="s">
        <v>3817</v>
      </c>
      <c r="H1712" s="81" t="s">
        <v>6600</v>
      </c>
      <c r="I1712" s="81" t="s">
        <v>6601</v>
      </c>
      <c r="J1712" s="81" t="s">
        <v>2186</v>
      </c>
      <c r="K1712" s="81" t="s">
        <v>6601</v>
      </c>
      <c r="L1712" s="81" t="s">
        <v>2392</v>
      </c>
      <c r="M1712" s="81" t="s">
        <v>6601</v>
      </c>
      <c r="N1712" s="81" t="s">
        <v>2231</v>
      </c>
      <c r="O1712" s="81" t="s">
        <v>2187</v>
      </c>
      <c r="P1712" s="81" t="s">
        <v>2187</v>
      </c>
      <c r="Q1712" s="81" t="s">
        <v>43</v>
      </c>
      <c r="R1712" s="81" t="s">
        <v>462</v>
      </c>
      <c r="S1712" s="81" t="s">
        <v>462</v>
      </c>
      <c r="T1712" s="81" t="s">
        <v>48</v>
      </c>
      <c r="U1712" s="81" t="s">
        <v>48</v>
      </c>
      <c r="V1712" s="81" t="s">
        <v>48</v>
      </c>
      <c r="W1712" s="81" t="s">
        <v>49</v>
      </c>
      <c r="X1712" s="81" t="s">
        <v>48</v>
      </c>
      <c r="Y1712" s="81" t="s">
        <v>48</v>
      </c>
    </row>
    <row r="1713" spans="1:25" x14ac:dyDescent="0.3">
      <c r="A1713" s="16" t="s">
        <v>1753</v>
      </c>
      <c r="B1713" s="81" t="s">
        <v>43</v>
      </c>
      <c r="C1713" s="81" t="s">
        <v>1754</v>
      </c>
      <c r="D1713" s="81" t="s">
        <v>45</v>
      </c>
      <c r="E1713" s="81" t="s">
        <v>2368</v>
      </c>
      <c r="F1713" s="81" t="s">
        <v>2308</v>
      </c>
      <c r="G1713" s="81" t="s">
        <v>3477</v>
      </c>
      <c r="H1713" s="81" t="s">
        <v>6243</v>
      </c>
      <c r="I1713" s="81" t="s">
        <v>6244</v>
      </c>
      <c r="J1713" s="81" t="s">
        <v>2186</v>
      </c>
      <c r="K1713" s="81" t="s">
        <v>6244</v>
      </c>
      <c r="L1713" s="81" t="s">
        <v>2392</v>
      </c>
      <c r="M1713" s="81" t="s">
        <v>6244</v>
      </c>
      <c r="N1713" s="81" t="s">
        <v>2231</v>
      </c>
      <c r="O1713" s="81" t="s">
        <v>2187</v>
      </c>
      <c r="P1713" s="81" t="s">
        <v>2187</v>
      </c>
      <c r="Q1713" s="81" t="s">
        <v>43</v>
      </c>
      <c r="R1713" s="81" t="s">
        <v>524</v>
      </c>
      <c r="S1713" s="81" t="s">
        <v>525</v>
      </c>
      <c r="T1713" s="81" t="s">
        <v>48</v>
      </c>
      <c r="U1713" s="81" t="s">
        <v>48</v>
      </c>
      <c r="V1713" s="81" t="s">
        <v>49</v>
      </c>
      <c r="W1713" s="81" t="s">
        <v>48</v>
      </c>
      <c r="X1713" s="81" t="s">
        <v>48</v>
      </c>
      <c r="Y1713" s="81" t="s">
        <v>48</v>
      </c>
    </row>
    <row r="1714" spans="1:25" x14ac:dyDescent="0.3">
      <c r="A1714" s="16" t="s">
        <v>1755</v>
      </c>
      <c r="B1714" s="81" t="s">
        <v>43</v>
      </c>
      <c r="C1714" s="81" t="s">
        <v>1756</v>
      </c>
      <c r="D1714" s="81" t="s">
        <v>45</v>
      </c>
      <c r="E1714" s="81" t="s">
        <v>2227</v>
      </c>
      <c r="F1714" s="81" t="s">
        <v>2227</v>
      </c>
      <c r="G1714" s="81" t="s">
        <v>3477</v>
      </c>
      <c r="H1714" s="81" t="s">
        <v>3052</v>
      </c>
      <c r="I1714" s="81" t="s">
        <v>6472</v>
      </c>
      <c r="J1714" s="81" t="s">
        <v>2186</v>
      </c>
      <c r="K1714" s="81" t="s">
        <v>6472</v>
      </c>
      <c r="L1714" s="81" t="s">
        <v>2392</v>
      </c>
      <c r="M1714" s="81" t="s">
        <v>6472</v>
      </c>
      <c r="N1714" s="81" t="s">
        <v>2231</v>
      </c>
      <c r="O1714" s="81" t="s">
        <v>2187</v>
      </c>
      <c r="P1714" s="81" t="s">
        <v>2187</v>
      </c>
      <c r="Q1714" s="81" t="s">
        <v>43</v>
      </c>
      <c r="R1714" s="81" t="s">
        <v>524</v>
      </c>
      <c r="S1714" s="81" t="s">
        <v>525</v>
      </c>
      <c r="T1714" s="81" t="s">
        <v>48</v>
      </c>
      <c r="U1714" s="81" t="s">
        <v>48</v>
      </c>
      <c r="V1714" s="81" t="s">
        <v>49</v>
      </c>
      <c r="W1714" s="81" t="s">
        <v>48</v>
      </c>
      <c r="X1714" s="81" t="s">
        <v>48</v>
      </c>
      <c r="Y1714" s="81" t="s">
        <v>48</v>
      </c>
    </row>
    <row r="1715" spans="1:25" x14ac:dyDescent="0.3">
      <c r="A1715" s="16" t="s">
        <v>1757</v>
      </c>
      <c r="B1715" s="81" t="s">
        <v>43</v>
      </c>
      <c r="C1715" s="81" t="s">
        <v>1758</v>
      </c>
      <c r="D1715" s="81" t="s">
        <v>45</v>
      </c>
      <c r="E1715" s="81" t="s">
        <v>2227</v>
      </c>
      <c r="F1715" s="81" t="s">
        <v>2227</v>
      </c>
      <c r="G1715" s="81" t="s">
        <v>3681</v>
      </c>
      <c r="H1715" s="81" t="s">
        <v>6452</v>
      </c>
      <c r="I1715" s="81" t="s">
        <v>6453</v>
      </c>
      <c r="J1715" s="81" t="s">
        <v>2186</v>
      </c>
      <c r="K1715" s="81" t="s">
        <v>6453</v>
      </c>
      <c r="L1715" s="81" t="s">
        <v>2392</v>
      </c>
      <c r="M1715" s="81" t="s">
        <v>6453</v>
      </c>
      <c r="N1715" s="81" t="s">
        <v>2231</v>
      </c>
      <c r="O1715" s="81" t="s">
        <v>2187</v>
      </c>
      <c r="P1715" s="81" t="s">
        <v>2187</v>
      </c>
      <c r="Q1715" s="81" t="s">
        <v>43</v>
      </c>
      <c r="R1715" s="81" t="s">
        <v>524</v>
      </c>
      <c r="S1715" s="81" t="s">
        <v>525</v>
      </c>
      <c r="T1715" s="81" t="s">
        <v>48</v>
      </c>
      <c r="U1715" s="81" t="s">
        <v>48</v>
      </c>
      <c r="V1715" s="81" t="s">
        <v>49</v>
      </c>
      <c r="W1715" s="81" t="s">
        <v>48</v>
      </c>
      <c r="X1715" s="81" t="s">
        <v>48</v>
      </c>
      <c r="Y1715" s="81" t="s">
        <v>48</v>
      </c>
    </row>
    <row r="1716" spans="1:25" x14ac:dyDescent="0.3">
      <c r="A1716" s="16" t="s">
        <v>1759</v>
      </c>
      <c r="B1716" s="81" t="s">
        <v>43</v>
      </c>
      <c r="C1716" s="81" t="s">
        <v>4066</v>
      </c>
      <c r="D1716" s="81" t="s">
        <v>45</v>
      </c>
      <c r="E1716" s="81" t="s">
        <v>2227</v>
      </c>
      <c r="F1716" s="81" t="s">
        <v>2227</v>
      </c>
      <c r="G1716" s="81" t="s">
        <v>3768</v>
      </c>
      <c r="H1716" s="81" t="s">
        <v>2535</v>
      </c>
      <c r="I1716" s="81" t="s">
        <v>6542</v>
      </c>
      <c r="J1716" s="81" t="s">
        <v>2186</v>
      </c>
      <c r="K1716" s="81" t="s">
        <v>6542</v>
      </c>
      <c r="L1716" s="81" t="s">
        <v>2392</v>
      </c>
      <c r="M1716" s="81" t="s">
        <v>6542</v>
      </c>
      <c r="N1716" s="81" t="s">
        <v>2231</v>
      </c>
      <c r="O1716" s="81" t="s">
        <v>2187</v>
      </c>
      <c r="P1716" s="81" t="s">
        <v>2187</v>
      </c>
      <c r="Q1716" s="81" t="s">
        <v>43</v>
      </c>
      <c r="R1716" s="81" t="s">
        <v>46</v>
      </c>
      <c r="S1716" s="81" t="s">
        <v>46</v>
      </c>
      <c r="T1716" s="81" t="s">
        <v>48</v>
      </c>
      <c r="U1716" s="81" t="s">
        <v>48</v>
      </c>
      <c r="V1716" s="81" t="s">
        <v>48</v>
      </c>
      <c r="W1716" s="81" t="s">
        <v>49</v>
      </c>
      <c r="X1716" s="81" t="s">
        <v>48</v>
      </c>
      <c r="Y1716" s="81" t="s">
        <v>48</v>
      </c>
    </row>
    <row r="1717" spans="1:25" x14ac:dyDescent="0.3">
      <c r="A1717" s="16" t="s">
        <v>1760</v>
      </c>
      <c r="B1717" s="81" t="s">
        <v>43</v>
      </c>
      <c r="C1717" s="81" t="s">
        <v>1761</v>
      </c>
      <c r="D1717" s="81" t="s">
        <v>45</v>
      </c>
      <c r="E1717" s="81" t="s">
        <v>2227</v>
      </c>
      <c r="F1717" s="81" t="s">
        <v>2227</v>
      </c>
      <c r="G1717" s="81" t="s">
        <v>3752</v>
      </c>
      <c r="H1717" s="81" t="s">
        <v>3249</v>
      </c>
      <c r="I1717" s="81" t="s">
        <v>6521</v>
      </c>
      <c r="J1717" s="81" t="s">
        <v>2186</v>
      </c>
      <c r="K1717" s="81" t="s">
        <v>6521</v>
      </c>
      <c r="L1717" s="81" t="s">
        <v>2392</v>
      </c>
      <c r="M1717" s="81" t="s">
        <v>6521</v>
      </c>
      <c r="N1717" s="81" t="s">
        <v>2231</v>
      </c>
      <c r="O1717" s="81" t="s">
        <v>2187</v>
      </c>
      <c r="P1717" s="81" t="s">
        <v>2187</v>
      </c>
      <c r="Q1717" s="81" t="s">
        <v>43</v>
      </c>
      <c r="R1717" s="81" t="s">
        <v>524</v>
      </c>
      <c r="S1717" s="81" t="s">
        <v>525</v>
      </c>
      <c r="T1717" s="81" t="s">
        <v>48</v>
      </c>
      <c r="U1717" s="81" t="s">
        <v>48</v>
      </c>
      <c r="V1717" s="81" t="s">
        <v>49</v>
      </c>
      <c r="W1717" s="81" t="s">
        <v>48</v>
      </c>
      <c r="X1717" s="81" t="s">
        <v>48</v>
      </c>
      <c r="Y1717" s="81" t="s">
        <v>48</v>
      </c>
    </row>
    <row r="1718" spans="1:25" x14ac:dyDescent="0.3">
      <c r="A1718" s="16" t="s">
        <v>1762</v>
      </c>
      <c r="B1718" s="81" t="s">
        <v>43</v>
      </c>
      <c r="C1718" s="81" t="s">
        <v>1763</v>
      </c>
      <c r="D1718" s="81" t="s">
        <v>45</v>
      </c>
      <c r="E1718" s="81" t="s">
        <v>2358</v>
      </c>
      <c r="F1718" s="81" t="s">
        <v>2557</v>
      </c>
      <c r="G1718" s="81" t="s">
        <v>4067</v>
      </c>
      <c r="H1718" s="81" t="s">
        <v>2359</v>
      </c>
      <c r="I1718" s="81" t="s">
        <v>5773</v>
      </c>
      <c r="J1718" s="81" t="s">
        <v>2186</v>
      </c>
      <c r="K1718" s="81" t="s">
        <v>5773</v>
      </c>
      <c r="L1718" s="81" t="s">
        <v>2392</v>
      </c>
      <c r="M1718" s="81" t="s">
        <v>5773</v>
      </c>
      <c r="N1718" s="81" t="s">
        <v>2231</v>
      </c>
      <c r="O1718" s="81" t="s">
        <v>2187</v>
      </c>
      <c r="P1718" s="81" t="s">
        <v>2187</v>
      </c>
      <c r="Q1718" s="81" t="s">
        <v>43</v>
      </c>
      <c r="R1718" s="81" t="s">
        <v>46</v>
      </c>
      <c r="S1718" s="81" t="s">
        <v>47</v>
      </c>
      <c r="T1718" s="81" t="s">
        <v>48</v>
      </c>
      <c r="U1718" s="81" t="s">
        <v>48</v>
      </c>
      <c r="V1718" s="81" t="s">
        <v>48</v>
      </c>
      <c r="W1718" s="81" t="s">
        <v>49</v>
      </c>
      <c r="X1718" s="81" t="s">
        <v>48</v>
      </c>
      <c r="Y1718" s="81" t="s">
        <v>48</v>
      </c>
    </row>
    <row r="1719" spans="1:25" x14ac:dyDescent="0.3">
      <c r="A1719" s="16" t="s">
        <v>1764</v>
      </c>
      <c r="B1719" s="81" t="s">
        <v>43</v>
      </c>
      <c r="C1719" s="81" t="s">
        <v>1765</v>
      </c>
      <c r="D1719" s="81" t="s">
        <v>45</v>
      </c>
      <c r="E1719" s="81" t="s">
        <v>2324</v>
      </c>
      <c r="F1719" s="81" t="s">
        <v>3214</v>
      </c>
      <c r="G1719" s="81" t="s">
        <v>4068</v>
      </c>
      <c r="H1719" s="81" t="s">
        <v>6893</v>
      </c>
      <c r="I1719" s="81" t="s">
        <v>6894</v>
      </c>
      <c r="J1719" s="81" t="s">
        <v>2186</v>
      </c>
      <c r="K1719" s="81" t="s">
        <v>6894</v>
      </c>
      <c r="L1719" s="81" t="s">
        <v>2392</v>
      </c>
      <c r="M1719" s="81" t="s">
        <v>6894</v>
      </c>
      <c r="N1719" s="81" t="s">
        <v>2231</v>
      </c>
      <c r="O1719" s="81" t="s">
        <v>2187</v>
      </c>
      <c r="P1719" s="81" t="s">
        <v>2187</v>
      </c>
      <c r="Q1719" s="81" t="s">
        <v>43</v>
      </c>
      <c r="R1719" s="81" t="s">
        <v>51</v>
      </c>
      <c r="S1719" s="81" t="s">
        <v>73</v>
      </c>
      <c r="T1719" s="81" t="s">
        <v>49</v>
      </c>
      <c r="U1719" s="81" t="s">
        <v>48</v>
      </c>
      <c r="V1719" s="81" t="s">
        <v>48</v>
      </c>
      <c r="W1719" s="81" t="s">
        <v>49</v>
      </c>
      <c r="X1719" s="81" t="s">
        <v>48</v>
      </c>
      <c r="Y1719" s="81" t="s">
        <v>48</v>
      </c>
    </row>
    <row r="1720" spans="1:25" x14ac:dyDescent="0.3">
      <c r="A1720" s="16" t="s">
        <v>1766</v>
      </c>
      <c r="B1720" s="81" t="s">
        <v>43</v>
      </c>
      <c r="C1720" s="81" t="s">
        <v>4069</v>
      </c>
      <c r="D1720" s="81" t="s">
        <v>45</v>
      </c>
      <c r="E1720" s="81" t="s">
        <v>2248</v>
      </c>
      <c r="F1720" s="81" t="s">
        <v>2249</v>
      </c>
      <c r="G1720" s="81" t="s">
        <v>4070</v>
      </c>
      <c r="H1720" s="81" t="s">
        <v>2941</v>
      </c>
      <c r="I1720" s="81" t="s">
        <v>6895</v>
      </c>
      <c r="J1720" s="81" t="s">
        <v>2186</v>
      </c>
      <c r="K1720" s="81" t="s">
        <v>6895</v>
      </c>
      <c r="L1720" s="81" t="s">
        <v>2392</v>
      </c>
      <c r="M1720" s="81" t="s">
        <v>6895</v>
      </c>
      <c r="N1720" s="81" t="s">
        <v>2231</v>
      </c>
      <c r="O1720" s="81" t="s">
        <v>2187</v>
      </c>
      <c r="P1720" s="81" t="s">
        <v>2187</v>
      </c>
      <c r="Q1720" s="81" t="s">
        <v>43</v>
      </c>
      <c r="R1720" s="81" t="s">
        <v>468</v>
      </c>
      <c r="S1720" s="81" t="s">
        <v>46</v>
      </c>
      <c r="T1720" s="81" t="s">
        <v>48</v>
      </c>
      <c r="U1720" s="81" t="s">
        <v>48</v>
      </c>
      <c r="V1720" s="81" t="s">
        <v>48</v>
      </c>
      <c r="W1720" s="81" t="s">
        <v>49</v>
      </c>
      <c r="X1720" s="81" t="s">
        <v>48</v>
      </c>
      <c r="Y1720" s="81" t="s">
        <v>48</v>
      </c>
    </row>
    <row r="1721" spans="1:25" x14ac:dyDescent="0.3">
      <c r="A1721" s="16" t="s">
        <v>1767</v>
      </c>
      <c r="B1721" s="81" t="s">
        <v>43</v>
      </c>
      <c r="C1721" s="81" t="s">
        <v>1768</v>
      </c>
      <c r="D1721" s="81" t="s">
        <v>45</v>
      </c>
      <c r="E1721" s="81" t="s">
        <v>2227</v>
      </c>
      <c r="F1721" s="81" t="s">
        <v>2227</v>
      </c>
      <c r="G1721" s="81" t="s">
        <v>2712</v>
      </c>
      <c r="H1721" s="81" t="s">
        <v>3953</v>
      </c>
      <c r="I1721" s="81" t="s">
        <v>6754</v>
      </c>
      <c r="J1721" s="81" t="s">
        <v>2186</v>
      </c>
      <c r="K1721" s="81" t="s">
        <v>6754</v>
      </c>
      <c r="L1721" s="81" t="s">
        <v>2392</v>
      </c>
      <c r="M1721" s="81" t="s">
        <v>6754</v>
      </c>
      <c r="N1721" s="81" t="s">
        <v>2231</v>
      </c>
      <c r="O1721" s="81" t="s">
        <v>2187</v>
      </c>
      <c r="P1721" s="81" t="s">
        <v>2187</v>
      </c>
      <c r="Q1721" s="81" t="s">
        <v>43</v>
      </c>
      <c r="R1721" s="81" t="s">
        <v>101</v>
      </c>
      <c r="S1721" s="81" t="s">
        <v>101</v>
      </c>
      <c r="T1721" s="81" t="s">
        <v>48</v>
      </c>
      <c r="U1721" s="81" t="s">
        <v>48</v>
      </c>
      <c r="V1721" s="81" t="s">
        <v>49</v>
      </c>
      <c r="W1721" s="81" t="s">
        <v>48</v>
      </c>
      <c r="X1721" s="81" t="s">
        <v>48</v>
      </c>
      <c r="Y1721" s="81" t="s">
        <v>48</v>
      </c>
    </row>
    <row r="1722" spans="1:25" x14ac:dyDescent="0.3">
      <c r="A1722" s="16" t="s">
        <v>1769</v>
      </c>
      <c r="B1722" s="81" t="s">
        <v>43</v>
      </c>
      <c r="C1722" s="81" t="s">
        <v>1770</v>
      </c>
      <c r="D1722" s="81" t="s">
        <v>45</v>
      </c>
      <c r="E1722" s="81" t="s">
        <v>2227</v>
      </c>
      <c r="F1722" s="81" t="s">
        <v>2227</v>
      </c>
      <c r="G1722" s="81" t="s">
        <v>2712</v>
      </c>
      <c r="H1722" s="81" t="s">
        <v>3307</v>
      </c>
      <c r="I1722" s="81" t="s">
        <v>6407</v>
      </c>
      <c r="J1722" s="81" t="s">
        <v>2186</v>
      </c>
      <c r="K1722" s="81" t="s">
        <v>6407</v>
      </c>
      <c r="L1722" s="81" t="s">
        <v>2392</v>
      </c>
      <c r="M1722" s="81" t="s">
        <v>6407</v>
      </c>
      <c r="N1722" s="81" t="s">
        <v>2231</v>
      </c>
      <c r="O1722" s="81" t="s">
        <v>2187</v>
      </c>
      <c r="P1722" s="81" t="s">
        <v>2187</v>
      </c>
      <c r="Q1722" s="81" t="s">
        <v>43</v>
      </c>
      <c r="R1722" s="81" t="s">
        <v>203</v>
      </c>
      <c r="S1722" s="81" t="s">
        <v>203</v>
      </c>
      <c r="T1722" s="81" t="s">
        <v>48</v>
      </c>
      <c r="U1722" s="81" t="s">
        <v>48</v>
      </c>
      <c r="V1722" s="81" t="s">
        <v>49</v>
      </c>
      <c r="W1722" s="81" t="s">
        <v>48</v>
      </c>
      <c r="X1722" s="81" t="s">
        <v>48</v>
      </c>
      <c r="Y1722" s="81" t="s">
        <v>48</v>
      </c>
    </row>
    <row r="1723" spans="1:25" x14ac:dyDescent="0.3">
      <c r="A1723" s="16" t="s">
        <v>1771</v>
      </c>
      <c r="B1723" s="81" t="s">
        <v>43</v>
      </c>
      <c r="C1723" s="81" t="s">
        <v>4072</v>
      </c>
      <c r="D1723" s="81" t="s">
        <v>45</v>
      </c>
      <c r="E1723" s="81" t="s">
        <v>2227</v>
      </c>
      <c r="F1723" s="81" t="s">
        <v>2227</v>
      </c>
      <c r="G1723" s="81" t="s">
        <v>3771</v>
      </c>
      <c r="H1723" s="81" t="s">
        <v>6546</v>
      </c>
      <c r="I1723" s="81" t="s">
        <v>6547</v>
      </c>
      <c r="J1723" s="81" t="s">
        <v>2186</v>
      </c>
      <c r="K1723" s="81" t="s">
        <v>6547</v>
      </c>
      <c r="L1723" s="81" t="s">
        <v>2392</v>
      </c>
      <c r="M1723" s="81" t="s">
        <v>6547</v>
      </c>
      <c r="N1723" s="81" t="s">
        <v>2231</v>
      </c>
      <c r="O1723" s="81" t="s">
        <v>2187</v>
      </c>
      <c r="P1723" s="81" t="s">
        <v>2187</v>
      </c>
      <c r="Q1723" s="81" t="s">
        <v>43</v>
      </c>
      <c r="R1723" s="81" t="s">
        <v>203</v>
      </c>
      <c r="S1723" s="81" t="s">
        <v>203</v>
      </c>
      <c r="T1723" s="81" t="s">
        <v>48</v>
      </c>
      <c r="U1723" s="81" t="s">
        <v>48</v>
      </c>
      <c r="V1723" s="81" t="s">
        <v>48</v>
      </c>
      <c r="W1723" s="81" t="s">
        <v>49</v>
      </c>
      <c r="X1723" s="81" t="s">
        <v>48</v>
      </c>
      <c r="Y1723" s="81" t="s">
        <v>48</v>
      </c>
    </row>
    <row r="1724" spans="1:25" x14ac:dyDescent="0.3">
      <c r="A1724" s="16" t="s">
        <v>1772</v>
      </c>
      <c r="B1724" s="81" t="s">
        <v>43</v>
      </c>
      <c r="C1724" s="81" t="s">
        <v>1773</v>
      </c>
      <c r="D1724" s="81" t="s">
        <v>45</v>
      </c>
      <c r="E1724" s="81" t="s">
        <v>2363</v>
      </c>
      <c r="F1724" s="81" t="s">
        <v>2616</v>
      </c>
      <c r="G1724" s="81" t="s">
        <v>4073</v>
      </c>
      <c r="H1724" s="81" t="s">
        <v>6896</v>
      </c>
      <c r="I1724" s="81" t="s">
        <v>6573</v>
      </c>
      <c r="J1724" s="81" t="s">
        <v>2186</v>
      </c>
      <c r="K1724" s="81" t="s">
        <v>6573</v>
      </c>
      <c r="L1724" s="81" t="s">
        <v>2392</v>
      </c>
      <c r="M1724" s="81" t="s">
        <v>6573</v>
      </c>
      <c r="N1724" s="81" t="s">
        <v>2231</v>
      </c>
      <c r="O1724" s="81" t="s">
        <v>2187</v>
      </c>
      <c r="P1724" s="81" t="s">
        <v>2187</v>
      </c>
      <c r="Q1724" s="81" t="s">
        <v>43</v>
      </c>
      <c r="R1724" s="81" t="s">
        <v>203</v>
      </c>
      <c r="S1724" s="81" t="s">
        <v>203</v>
      </c>
      <c r="T1724" s="81" t="s">
        <v>48</v>
      </c>
      <c r="U1724" s="81" t="s">
        <v>48</v>
      </c>
      <c r="V1724" s="81" t="s">
        <v>48</v>
      </c>
      <c r="W1724" s="81" t="s">
        <v>49</v>
      </c>
      <c r="X1724" s="81" t="s">
        <v>48</v>
      </c>
      <c r="Y1724" s="81" t="s">
        <v>48</v>
      </c>
    </row>
    <row r="1725" spans="1:25" x14ac:dyDescent="0.3">
      <c r="A1725" s="16" t="s">
        <v>1774</v>
      </c>
      <c r="B1725" s="81" t="s">
        <v>43</v>
      </c>
      <c r="C1725" s="81" t="s">
        <v>4074</v>
      </c>
      <c r="D1725" s="81" t="s">
        <v>45</v>
      </c>
      <c r="E1725" s="81" t="s">
        <v>3382</v>
      </c>
      <c r="F1725" s="81" t="s">
        <v>3383</v>
      </c>
      <c r="G1725" s="81" t="s">
        <v>3384</v>
      </c>
      <c r="H1725" s="81" t="s">
        <v>6897</v>
      </c>
      <c r="I1725" s="81" t="s">
        <v>6898</v>
      </c>
      <c r="J1725" s="81" t="s">
        <v>2186</v>
      </c>
      <c r="K1725" s="81" t="s">
        <v>6898</v>
      </c>
      <c r="L1725" s="81" t="s">
        <v>2392</v>
      </c>
      <c r="M1725" s="81" t="s">
        <v>6898</v>
      </c>
      <c r="N1725" s="81" t="s">
        <v>2231</v>
      </c>
      <c r="O1725" s="81" t="s">
        <v>2187</v>
      </c>
      <c r="P1725" s="81" t="s">
        <v>2187</v>
      </c>
      <c r="Q1725" s="81" t="s">
        <v>43</v>
      </c>
      <c r="R1725" s="81" t="s">
        <v>46</v>
      </c>
      <c r="S1725" s="81" t="s">
        <v>46</v>
      </c>
      <c r="T1725" s="81" t="s">
        <v>48</v>
      </c>
      <c r="U1725" s="81" t="s">
        <v>48</v>
      </c>
      <c r="V1725" s="81" t="s">
        <v>48</v>
      </c>
      <c r="W1725" s="81" t="s">
        <v>49</v>
      </c>
      <c r="X1725" s="81" t="s">
        <v>48</v>
      </c>
      <c r="Y1725" s="81" t="s">
        <v>48</v>
      </c>
    </row>
    <row r="1726" spans="1:25" x14ac:dyDescent="0.3">
      <c r="A1726" s="16" t="s">
        <v>1775</v>
      </c>
      <c r="B1726" s="81" t="s">
        <v>43</v>
      </c>
      <c r="C1726" s="81" t="s">
        <v>1776</v>
      </c>
      <c r="D1726" s="81" t="s">
        <v>45</v>
      </c>
      <c r="E1726" s="81" t="s">
        <v>2412</v>
      </c>
      <c r="F1726" s="81" t="s">
        <v>2412</v>
      </c>
      <c r="G1726" s="81" t="s">
        <v>4075</v>
      </c>
      <c r="H1726" s="81" t="s">
        <v>2567</v>
      </c>
      <c r="I1726" s="81" t="s">
        <v>6899</v>
      </c>
      <c r="J1726" s="81" t="s">
        <v>2186</v>
      </c>
      <c r="K1726" s="81" t="s">
        <v>6899</v>
      </c>
      <c r="L1726" s="81" t="s">
        <v>2392</v>
      </c>
      <c r="M1726" s="81" t="s">
        <v>6899</v>
      </c>
      <c r="N1726" s="81" t="s">
        <v>2231</v>
      </c>
      <c r="O1726" s="81" t="s">
        <v>2187</v>
      </c>
      <c r="P1726" s="81" t="s">
        <v>2187</v>
      </c>
      <c r="Q1726" s="81" t="s">
        <v>43</v>
      </c>
      <c r="R1726" s="81" t="s">
        <v>203</v>
      </c>
      <c r="S1726" s="81" t="s">
        <v>47</v>
      </c>
      <c r="T1726" s="81" t="s">
        <v>48</v>
      </c>
      <c r="U1726" s="81" t="s">
        <v>48</v>
      </c>
      <c r="V1726" s="81" t="s">
        <v>48</v>
      </c>
      <c r="W1726" s="81" t="s">
        <v>49</v>
      </c>
      <c r="X1726" s="81" t="s">
        <v>48</v>
      </c>
      <c r="Y1726" s="81" t="s">
        <v>48</v>
      </c>
    </row>
    <row r="1727" spans="1:25" x14ac:dyDescent="0.3">
      <c r="A1727" s="16" t="s">
        <v>1777</v>
      </c>
      <c r="B1727" s="81" t="s">
        <v>43</v>
      </c>
      <c r="C1727" s="81" t="s">
        <v>4076</v>
      </c>
      <c r="D1727" s="81" t="s">
        <v>45</v>
      </c>
      <c r="E1727" s="81" t="s">
        <v>2326</v>
      </c>
      <c r="F1727" s="81" t="s">
        <v>2618</v>
      </c>
      <c r="G1727" s="81" t="s">
        <v>3848</v>
      </c>
      <c r="H1727" s="81" t="s">
        <v>2193</v>
      </c>
      <c r="I1727" s="81" t="s">
        <v>6900</v>
      </c>
      <c r="J1727" s="81" t="s">
        <v>2186</v>
      </c>
      <c r="K1727" s="81" t="s">
        <v>6900</v>
      </c>
      <c r="L1727" s="81" t="s">
        <v>2392</v>
      </c>
      <c r="M1727" s="81" t="s">
        <v>6900</v>
      </c>
      <c r="N1727" s="81" t="s">
        <v>2231</v>
      </c>
      <c r="O1727" s="81" t="s">
        <v>2187</v>
      </c>
      <c r="P1727" s="81" t="s">
        <v>2187</v>
      </c>
      <c r="Q1727" s="81" t="s">
        <v>319</v>
      </c>
      <c r="R1727" s="81" t="s">
        <v>46</v>
      </c>
      <c r="S1727" s="81" t="s">
        <v>47</v>
      </c>
      <c r="T1727" s="81" t="s">
        <v>48</v>
      </c>
      <c r="U1727" s="81" t="s">
        <v>48</v>
      </c>
      <c r="V1727" s="81" t="s">
        <v>48</v>
      </c>
      <c r="W1727" s="81" t="s">
        <v>49</v>
      </c>
      <c r="X1727" s="81" t="s">
        <v>48</v>
      </c>
      <c r="Y1727" s="81" t="s">
        <v>48</v>
      </c>
    </row>
    <row r="1728" spans="1:25" x14ac:dyDescent="0.3">
      <c r="A1728" s="16">
        <v>7506442700896</v>
      </c>
      <c r="B1728" s="81" t="s">
        <v>43</v>
      </c>
      <c r="C1728" s="81" t="s">
        <v>1778</v>
      </c>
      <c r="D1728" s="81" t="s">
        <v>45</v>
      </c>
      <c r="E1728" s="81" t="s">
        <v>2227</v>
      </c>
      <c r="F1728" s="81" t="s">
        <v>2227</v>
      </c>
      <c r="G1728" s="81" t="s">
        <v>4077</v>
      </c>
      <c r="H1728" s="81" t="s">
        <v>2535</v>
      </c>
      <c r="I1728" s="81" t="s">
        <v>2193</v>
      </c>
      <c r="J1728" s="81" t="s">
        <v>2186</v>
      </c>
      <c r="K1728" s="81" t="s">
        <v>2232</v>
      </c>
      <c r="L1728" s="81" t="s">
        <v>2392</v>
      </c>
      <c r="M1728" s="81" t="s">
        <v>2366</v>
      </c>
      <c r="N1728" s="81" t="s">
        <v>2231</v>
      </c>
      <c r="O1728" s="81" t="s">
        <v>2187</v>
      </c>
      <c r="P1728" s="81" t="s">
        <v>2187</v>
      </c>
      <c r="Q1728" s="81" t="s">
        <v>43</v>
      </c>
      <c r="R1728" s="81" t="s">
        <v>46</v>
      </c>
      <c r="S1728" s="81" t="s">
        <v>46</v>
      </c>
      <c r="T1728" s="81" t="s">
        <v>48</v>
      </c>
      <c r="U1728" s="81" t="s">
        <v>48</v>
      </c>
      <c r="V1728" s="81" t="s">
        <v>48</v>
      </c>
      <c r="W1728" s="81" t="s">
        <v>49</v>
      </c>
      <c r="X1728" s="81" t="s">
        <v>48</v>
      </c>
      <c r="Y1728" s="81" t="s">
        <v>48</v>
      </c>
    </row>
    <row r="1729" spans="1:25" x14ac:dyDescent="0.3">
      <c r="A1729" s="16">
        <v>7502208894854</v>
      </c>
      <c r="B1729" s="81" t="s">
        <v>43</v>
      </c>
      <c r="C1729" s="81" t="s">
        <v>1843</v>
      </c>
      <c r="D1729" s="81" t="s">
        <v>45</v>
      </c>
      <c r="E1729" s="81" t="s">
        <v>2227</v>
      </c>
      <c r="F1729" s="81" t="s">
        <v>2227</v>
      </c>
      <c r="G1729" s="81" t="s">
        <v>3011</v>
      </c>
      <c r="H1729" s="81" t="s">
        <v>2509</v>
      </c>
      <c r="I1729" s="81" t="s">
        <v>6901</v>
      </c>
      <c r="J1729" s="81" t="s">
        <v>2186</v>
      </c>
      <c r="K1729" s="81" t="s">
        <v>6901</v>
      </c>
      <c r="L1729" s="81" t="s">
        <v>2392</v>
      </c>
      <c r="M1729" s="81" t="s">
        <v>6901</v>
      </c>
      <c r="N1729" s="81" t="s">
        <v>2231</v>
      </c>
      <c r="O1729" s="81" t="s">
        <v>2187</v>
      </c>
      <c r="P1729" s="81" t="s">
        <v>2187</v>
      </c>
      <c r="Q1729" s="81" t="s">
        <v>43</v>
      </c>
      <c r="R1729" s="81" t="s">
        <v>46</v>
      </c>
      <c r="S1729" s="81" t="s">
        <v>46</v>
      </c>
      <c r="T1729" s="81" t="s">
        <v>48</v>
      </c>
      <c r="U1729" s="81" t="s">
        <v>48</v>
      </c>
      <c r="V1729" s="81" t="s">
        <v>48</v>
      </c>
      <c r="W1729" s="81" t="s">
        <v>49</v>
      </c>
      <c r="X1729" s="81" t="s">
        <v>48</v>
      </c>
      <c r="Y1729" s="81" t="s">
        <v>48</v>
      </c>
    </row>
    <row r="1730" spans="1:25" x14ac:dyDescent="0.3">
      <c r="A1730" s="16">
        <v>7501537103521</v>
      </c>
      <c r="B1730" s="81" t="s">
        <v>43</v>
      </c>
      <c r="C1730" s="81" t="s">
        <v>2173</v>
      </c>
      <c r="D1730" s="81" t="s">
        <v>45</v>
      </c>
      <c r="E1730" s="81" t="s">
        <v>3204</v>
      </c>
      <c r="F1730" s="81" t="s">
        <v>3205</v>
      </c>
      <c r="G1730" s="81" t="s">
        <v>4428</v>
      </c>
      <c r="H1730" s="81" t="s">
        <v>2264</v>
      </c>
      <c r="I1730" s="81" t="s">
        <v>6902</v>
      </c>
      <c r="J1730" s="81" t="s">
        <v>2186</v>
      </c>
      <c r="K1730" s="81" t="s">
        <v>6902</v>
      </c>
      <c r="L1730" s="81" t="s">
        <v>2392</v>
      </c>
      <c r="M1730" s="81" t="s">
        <v>6902</v>
      </c>
      <c r="N1730" s="81" t="s">
        <v>2231</v>
      </c>
      <c r="O1730" s="81" t="s">
        <v>2187</v>
      </c>
      <c r="P1730" s="81" t="s">
        <v>2187</v>
      </c>
      <c r="Q1730" s="81" t="s">
        <v>43</v>
      </c>
      <c r="R1730" s="81" t="s">
        <v>46</v>
      </c>
      <c r="S1730" s="81" t="s">
        <v>47</v>
      </c>
      <c r="T1730" s="81" t="s">
        <v>48</v>
      </c>
      <c r="U1730" s="81" t="s">
        <v>48</v>
      </c>
      <c r="V1730" s="81" t="s">
        <v>48</v>
      </c>
      <c r="W1730" s="81" t="s">
        <v>49</v>
      </c>
      <c r="X1730" s="81" t="s">
        <v>48</v>
      </c>
      <c r="Y1730" s="81" t="s">
        <v>48</v>
      </c>
    </row>
    <row r="1731" spans="1:25" x14ac:dyDescent="0.3">
      <c r="A1731" s="16">
        <v>7502216796874</v>
      </c>
      <c r="B1731" s="81" t="s">
        <v>43</v>
      </c>
      <c r="C1731" s="81" t="s">
        <v>1779</v>
      </c>
      <c r="D1731" s="81" t="s">
        <v>45</v>
      </c>
      <c r="E1731" s="81" t="s">
        <v>2227</v>
      </c>
      <c r="F1731" s="81" t="s">
        <v>2227</v>
      </c>
      <c r="G1731" s="81" t="s">
        <v>4078</v>
      </c>
      <c r="H1731" s="81" t="s">
        <v>2359</v>
      </c>
      <c r="I1731" s="81" t="s">
        <v>6814</v>
      </c>
      <c r="J1731" s="81" t="s">
        <v>2186</v>
      </c>
      <c r="K1731" s="81" t="s">
        <v>6814</v>
      </c>
      <c r="L1731" s="81" t="s">
        <v>2392</v>
      </c>
      <c r="M1731" s="81" t="s">
        <v>6814</v>
      </c>
      <c r="N1731" s="81" t="s">
        <v>2231</v>
      </c>
      <c r="O1731" s="81" t="s">
        <v>2187</v>
      </c>
      <c r="P1731" s="81" t="s">
        <v>2187</v>
      </c>
      <c r="Q1731" s="81" t="s">
        <v>43</v>
      </c>
      <c r="R1731" s="81" t="s">
        <v>46</v>
      </c>
      <c r="S1731" s="81" t="s">
        <v>46</v>
      </c>
      <c r="T1731" s="81" t="s">
        <v>48</v>
      </c>
      <c r="U1731" s="81" t="s">
        <v>48</v>
      </c>
      <c r="V1731" s="81" t="s">
        <v>48</v>
      </c>
      <c r="W1731" s="81" t="s">
        <v>49</v>
      </c>
      <c r="X1731" s="81" t="s">
        <v>48</v>
      </c>
      <c r="Y1731" s="81" t="s">
        <v>48</v>
      </c>
    </row>
    <row r="1732" spans="1:25" x14ac:dyDescent="0.3">
      <c r="A1732" s="16">
        <v>759684231551</v>
      </c>
      <c r="B1732" s="81" t="s">
        <v>43</v>
      </c>
      <c r="C1732" s="81" t="s">
        <v>1780</v>
      </c>
      <c r="D1732" s="81" t="s">
        <v>45</v>
      </c>
      <c r="E1732" s="81" t="s">
        <v>2227</v>
      </c>
      <c r="F1732" s="81" t="s">
        <v>2227</v>
      </c>
      <c r="G1732" s="81" t="s">
        <v>4079</v>
      </c>
      <c r="H1732" s="81" t="s">
        <v>2669</v>
      </c>
      <c r="I1732" s="81" t="s">
        <v>6903</v>
      </c>
      <c r="J1732" s="81" t="s">
        <v>2186</v>
      </c>
      <c r="K1732" s="81" t="s">
        <v>6903</v>
      </c>
      <c r="L1732" s="81" t="s">
        <v>2392</v>
      </c>
      <c r="M1732" s="81" t="s">
        <v>6903</v>
      </c>
      <c r="N1732" s="81" t="s">
        <v>2231</v>
      </c>
      <c r="O1732" s="81" t="s">
        <v>2187</v>
      </c>
      <c r="P1732" s="81" t="s">
        <v>2187</v>
      </c>
      <c r="Q1732" s="81" t="s">
        <v>43</v>
      </c>
      <c r="R1732" s="81" t="s">
        <v>122</v>
      </c>
      <c r="S1732" s="81" t="s">
        <v>123</v>
      </c>
      <c r="T1732" s="81" t="s">
        <v>48</v>
      </c>
      <c r="U1732" s="81" t="s">
        <v>48</v>
      </c>
      <c r="V1732" s="81" t="s">
        <v>49</v>
      </c>
      <c r="W1732" s="81" t="s">
        <v>48</v>
      </c>
      <c r="X1732" s="81" t="s">
        <v>48</v>
      </c>
      <c r="Y1732" s="81" t="s">
        <v>48</v>
      </c>
    </row>
    <row r="1733" spans="1:25" x14ac:dyDescent="0.3">
      <c r="A1733" s="16">
        <v>7503003406006</v>
      </c>
      <c r="B1733" s="81" t="s">
        <v>43</v>
      </c>
      <c r="C1733" s="81" t="s">
        <v>1781</v>
      </c>
      <c r="D1733" s="81" t="s">
        <v>45</v>
      </c>
      <c r="E1733" s="81" t="s">
        <v>2227</v>
      </c>
      <c r="F1733" s="81" t="s">
        <v>2227</v>
      </c>
      <c r="G1733" s="81" t="s">
        <v>4080</v>
      </c>
      <c r="H1733" s="81" t="s">
        <v>4081</v>
      </c>
      <c r="I1733" s="81" t="s">
        <v>6904</v>
      </c>
      <c r="J1733" s="81" t="s">
        <v>2186</v>
      </c>
      <c r="K1733" s="81" t="s">
        <v>6904</v>
      </c>
      <c r="L1733" s="81" t="s">
        <v>2392</v>
      </c>
      <c r="M1733" s="81" t="s">
        <v>6904</v>
      </c>
      <c r="N1733" s="81" t="s">
        <v>2231</v>
      </c>
      <c r="O1733" s="81" t="s">
        <v>2187</v>
      </c>
      <c r="P1733" s="81" t="s">
        <v>2187</v>
      </c>
      <c r="Q1733" s="81" t="s">
        <v>43</v>
      </c>
      <c r="R1733" s="81" t="s">
        <v>1191</v>
      </c>
      <c r="S1733" s="81" t="s">
        <v>1192</v>
      </c>
      <c r="T1733" s="81" t="s">
        <v>48</v>
      </c>
      <c r="U1733" s="81" t="s">
        <v>48</v>
      </c>
      <c r="V1733" s="81" t="s">
        <v>49</v>
      </c>
      <c r="W1733" s="81" t="s">
        <v>48</v>
      </c>
      <c r="X1733" s="81" t="s">
        <v>48</v>
      </c>
      <c r="Y1733" s="81" t="s">
        <v>48</v>
      </c>
    </row>
    <row r="1734" spans="1:25" x14ac:dyDescent="0.3">
      <c r="A1734" s="16">
        <v>7502009745010</v>
      </c>
      <c r="B1734" s="81" t="s">
        <v>43</v>
      </c>
      <c r="C1734" s="81" t="s">
        <v>1782</v>
      </c>
      <c r="D1734" s="81" t="s">
        <v>45</v>
      </c>
      <c r="E1734" s="81" t="s">
        <v>2326</v>
      </c>
      <c r="F1734" s="81" t="s">
        <v>2618</v>
      </c>
      <c r="G1734" s="81" t="s">
        <v>4082</v>
      </c>
      <c r="H1734" s="81" t="s">
        <v>2190</v>
      </c>
      <c r="I1734" s="81" t="s">
        <v>6905</v>
      </c>
      <c r="J1734" s="81" t="s">
        <v>2186</v>
      </c>
      <c r="K1734" s="81" t="s">
        <v>6905</v>
      </c>
      <c r="L1734" s="81" t="s">
        <v>2392</v>
      </c>
      <c r="M1734" s="81" t="s">
        <v>6905</v>
      </c>
      <c r="N1734" s="81" t="s">
        <v>2231</v>
      </c>
      <c r="O1734" s="81" t="s">
        <v>2187</v>
      </c>
      <c r="P1734" s="81" t="s">
        <v>2187</v>
      </c>
      <c r="Q1734" s="81" t="s">
        <v>43</v>
      </c>
      <c r="R1734" s="81" t="s">
        <v>51</v>
      </c>
      <c r="S1734" s="81" t="s">
        <v>47</v>
      </c>
      <c r="T1734" s="81" t="s">
        <v>49</v>
      </c>
      <c r="U1734" s="81" t="s">
        <v>48</v>
      </c>
      <c r="V1734" s="81" t="s">
        <v>48</v>
      </c>
      <c r="W1734" s="81" t="s">
        <v>49</v>
      </c>
      <c r="X1734" s="81" t="s">
        <v>48</v>
      </c>
      <c r="Y1734" s="81" t="s">
        <v>48</v>
      </c>
    </row>
    <row r="1735" spans="1:25" x14ac:dyDescent="0.3">
      <c r="A1735" s="16">
        <v>7506442705211</v>
      </c>
      <c r="B1735" s="81" t="s">
        <v>43</v>
      </c>
      <c r="C1735" s="81" t="s">
        <v>2067</v>
      </c>
      <c r="D1735" s="81" t="s">
        <v>45</v>
      </c>
      <c r="E1735" s="81" t="s">
        <v>2227</v>
      </c>
      <c r="F1735" s="81" t="s">
        <v>2227</v>
      </c>
      <c r="G1735" s="81" t="s">
        <v>4438</v>
      </c>
      <c r="H1735" s="81" t="s">
        <v>2904</v>
      </c>
      <c r="I1735" s="81" t="s">
        <v>5855</v>
      </c>
      <c r="J1735" s="81" t="s">
        <v>2186</v>
      </c>
      <c r="K1735" s="81" t="s">
        <v>5855</v>
      </c>
      <c r="L1735" s="81" t="s">
        <v>2392</v>
      </c>
      <c r="M1735" s="81" t="s">
        <v>5855</v>
      </c>
      <c r="N1735" s="81" t="s">
        <v>2231</v>
      </c>
      <c r="O1735" s="81" t="s">
        <v>2187</v>
      </c>
      <c r="P1735" s="81" t="s">
        <v>2187</v>
      </c>
      <c r="Q1735" s="81" t="s">
        <v>43</v>
      </c>
      <c r="R1735" s="81" t="s">
        <v>374</v>
      </c>
      <c r="S1735" s="81" t="s">
        <v>374</v>
      </c>
      <c r="T1735" s="81" t="s">
        <v>48</v>
      </c>
      <c r="U1735" s="81" t="s">
        <v>48</v>
      </c>
      <c r="V1735" s="81" t="s">
        <v>48</v>
      </c>
      <c r="W1735" s="81" t="s">
        <v>49</v>
      </c>
      <c r="X1735" s="81" t="s">
        <v>48</v>
      </c>
      <c r="Y1735" s="81" t="s">
        <v>48</v>
      </c>
    </row>
    <row r="1736" spans="1:25" x14ac:dyDescent="0.3">
      <c r="A1736" s="16">
        <v>7501070637057</v>
      </c>
      <c r="B1736" s="81" t="s">
        <v>43</v>
      </c>
      <c r="C1736" s="81" t="s">
        <v>4083</v>
      </c>
      <c r="D1736" s="81" t="s">
        <v>45</v>
      </c>
      <c r="E1736" s="81" t="s">
        <v>2227</v>
      </c>
      <c r="F1736" s="81" t="s">
        <v>2227</v>
      </c>
      <c r="G1736" s="81" t="s">
        <v>4084</v>
      </c>
      <c r="H1736" s="81" t="s">
        <v>2218</v>
      </c>
      <c r="I1736" s="81" t="s">
        <v>5603</v>
      </c>
      <c r="J1736" s="81" t="s">
        <v>2186</v>
      </c>
      <c r="K1736" s="81" t="s">
        <v>5603</v>
      </c>
      <c r="L1736" s="81" t="s">
        <v>2392</v>
      </c>
      <c r="M1736" s="81" t="s">
        <v>5603</v>
      </c>
      <c r="N1736" s="81" t="s">
        <v>2231</v>
      </c>
      <c r="O1736" s="81" t="s">
        <v>2187</v>
      </c>
      <c r="P1736" s="81" t="s">
        <v>2187</v>
      </c>
      <c r="Q1736" s="81" t="s">
        <v>43</v>
      </c>
      <c r="R1736" s="81" t="s">
        <v>51</v>
      </c>
      <c r="S1736" s="81" t="s">
        <v>81</v>
      </c>
      <c r="T1736" s="81" t="s">
        <v>49</v>
      </c>
      <c r="U1736" s="81" t="s">
        <v>48</v>
      </c>
      <c r="V1736" s="81" t="s">
        <v>48</v>
      </c>
      <c r="W1736" s="81" t="s">
        <v>49</v>
      </c>
      <c r="X1736" s="81" t="s">
        <v>48</v>
      </c>
      <c r="Y1736" s="81" t="s">
        <v>48</v>
      </c>
    </row>
    <row r="1737" spans="1:25" x14ac:dyDescent="0.3">
      <c r="A1737" s="16">
        <v>75055813</v>
      </c>
      <c r="B1737" s="81" t="s">
        <v>43</v>
      </c>
      <c r="C1737" s="81" t="s">
        <v>1844</v>
      </c>
      <c r="D1737" s="81" t="s">
        <v>45</v>
      </c>
      <c r="E1737" s="81" t="s">
        <v>2227</v>
      </c>
      <c r="F1737" s="81" t="s">
        <v>2227</v>
      </c>
      <c r="G1737" s="81" t="s">
        <v>4085</v>
      </c>
      <c r="H1737" s="81" t="s">
        <v>2559</v>
      </c>
      <c r="I1737" s="81" t="s">
        <v>6906</v>
      </c>
      <c r="J1737" s="81" t="s">
        <v>2186</v>
      </c>
      <c r="K1737" s="81" t="s">
        <v>6906</v>
      </c>
      <c r="L1737" s="81" t="s">
        <v>2392</v>
      </c>
      <c r="M1737" s="81" t="s">
        <v>6906</v>
      </c>
      <c r="N1737" s="81" t="s">
        <v>2231</v>
      </c>
      <c r="O1737" s="81" t="s">
        <v>2187</v>
      </c>
      <c r="P1737" s="81" t="s">
        <v>2187</v>
      </c>
      <c r="Q1737" s="81" t="s">
        <v>43</v>
      </c>
      <c r="R1737" s="81" t="s">
        <v>46</v>
      </c>
      <c r="S1737" s="81" t="s">
        <v>46</v>
      </c>
      <c r="T1737" s="81" t="s">
        <v>48</v>
      </c>
      <c r="U1737" s="81" t="s">
        <v>48</v>
      </c>
      <c r="V1737" s="81" t="s">
        <v>48</v>
      </c>
      <c r="W1737" s="81" t="s">
        <v>49</v>
      </c>
      <c r="X1737" s="81" t="s">
        <v>48</v>
      </c>
      <c r="Y1737" s="81" t="s">
        <v>48</v>
      </c>
    </row>
    <row r="1738" spans="1:25" x14ac:dyDescent="0.3">
      <c r="A1738" s="16">
        <v>7506331302552</v>
      </c>
      <c r="B1738" s="81" t="s">
        <v>43</v>
      </c>
      <c r="C1738" s="81" t="s">
        <v>1845</v>
      </c>
      <c r="D1738" s="81" t="s">
        <v>45</v>
      </c>
      <c r="E1738" s="81" t="s">
        <v>2227</v>
      </c>
      <c r="F1738" s="81" t="s">
        <v>2227</v>
      </c>
      <c r="G1738" s="81" t="s">
        <v>3483</v>
      </c>
      <c r="H1738" s="81" t="s">
        <v>2193</v>
      </c>
      <c r="I1738" s="81" t="s">
        <v>6907</v>
      </c>
      <c r="J1738" s="81" t="s">
        <v>2186</v>
      </c>
      <c r="K1738" s="81" t="s">
        <v>6907</v>
      </c>
      <c r="L1738" s="81" t="s">
        <v>2392</v>
      </c>
      <c r="M1738" s="81" t="s">
        <v>6907</v>
      </c>
      <c r="N1738" s="81" t="s">
        <v>2231</v>
      </c>
      <c r="O1738" s="81" t="s">
        <v>2187</v>
      </c>
      <c r="P1738" s="81" t="s">
        <v>2187</v>
      </c>
      <c r="Q1738" s="81" t="s">
        <v>43</v>
      </c>
      <c r="R1738" s="81" t="s">
        <v>46</v>
      </c>
      <c r="S1738" s="81" t="s">
        <v>46</v>
      </c>
      <c r="T1738" s="81" t="s">
        <v>48</v>
      </c>
      <c r="U1738" s="81" t="s">
        <v>48</v>
      </c>
      <c r="V1738" s="81" t="s">
        <v>48</v>
      </c>
      <c r="W1738" s="81" t="s">
        <v>49</v>
      </c>
      <c r="X1738" s="81" t="s">
        <v>48</v>
      </c>
      <c r="Y1738" s="81" t="s">
        <v>48</v>
      </c>
    </row>
    <row r="1739" spans="1:25" x14ac:dyDescent="0.3">
      <c r="A1739" s="16">
        <v>7502208895042</v>
      </c>
      <c r="B1739" s="81" t="s">
        <v>43</v>
      </c>
      <c r="C1739" s="81" t="s">
        <v>2174</v>
      </c>
      <c r="D1739" s="81" t="s">
        <v>45</v>
      </c>
      <c r="E1739" s="81" t="s">
        <v>2227</v>
      </c>
      <c r="F1739" s="81" t="s">
        <v>2227</v>
      </c>
      <c r="G1739" s="81" t="s">
        <v>4775</v>
      </c>
      <c r="H1739" s="81" t="s">
        <v>2207</v>
      </c>
      <c r="I1739" s="81" t="s">
        <v>6908</v>
      </c>
      <c r="J1739" s="81" t="s">
        <v>2186</v>
      </c>
      <c r="K1739" s="81" t="s">
        <v>6908</v>
      </c>
      <c r="L1739" s="81" t="s">
        <v>2392</v>
      </c>
      <c r="M1739" s="81" t="s">
        <v>6908</v>
      </c>
      <c r="N1739" s="81" t="s">
        <v>2231</v>
      </c>
      <c r="O1739" s="81" t="s">
        <v>2187</v>
      </c>
      <c r="P1739" s="81" t="s">
        <v>2187</v>
      </c>
      <c r="Q1739" s="81" t="s">
        <v>2068</v>
      </c>
      <c r="R1739" s="81" t="s">
        <v>203</v>
      </c>
      <c r="S1739" s="81" t="s">
        <v>203</v>
      </c>
      <c r="T1739" s="81" t="s">
        <v>48</v>
      </c>
      <c r="U1739" s="81" t="s">
        <v>48</v>
      </c>
      <c r="V1739" s="81" t="s">
        <v>48</v>
      </c>
      <c r="W1739" s="81" t="s">
        <v>49</v>
      </c>
      <c r="X1739" s="81" t="s">
        <v>48</v>
      </c>
      <c r="Y1739" s="81" t="s">
        <v>48</v>
      </c>
    </row>
    <row r="1740" spans="1:25" x14ac:dyDescent="0.3">
      <c r="A1740" s="16">
        <v>7502008988906</v>
      </c>
      <c r="B1740" s="81" t="s">
        <v>43</v>
      </c>
      <c r="C1740" s="81" t="s">
        <v>2069</v>
      </c>
      <c r="D1740" s="81" t="s">
        <v>45</v>
      </c>
      <c r="E1740" s="81" t="s">
        <v>2227</v>
      </c>
      <c r="F1740" s="81" t="s">
        <v>2227</v>
      </c>
      <c r="G1740" s="81" t="s">
        <v>4086</v>
      </c>
      <c r="H1740" s="81" t="s">
        <v>2416</v>
      </c>
      <c r="I1740" s="81" t="s">
        <v>6909</v>
      </c>
      <c r="J1740" s="81" t="s">
        <v>2186</v>
      </c>
      <c r="K1740" s="81" t="s">
        <v>6909</v>
      </c>
      <c r="L1740" s="81" t="s">
        <v>2392</v>
      </c>
      <c r="M1740" s="81" t="s">
        <v>6909</v>
      </c>
      <c r="N1740" s="81" t="s">
        <v>2231</v>
      </c>
      <c r="O1740" s="81" t="s">
        <v>2187</v>
      </c>
      <c r="P1740" s="81" t="s">
        <v>2187</v>
      </c>
      <c r="Q1740" s="81" t="s">
        <v>43</v>
      </c>
      <c r="R1740" s="81" t="s">
        <v>203</v>
      </c>
      <c r="S1740" s="81" t="s">
        <v>203</v>
      </c>
      <c r="T1740" s="81" t="s">
        <v>48</v>
      </c>
      <c r="U1740" s="81" t="s">
        <v>48</v>
      </c>
      <c r="V1740" s="81" t="s">
        <v>49</v>
      </c>
      <c r="W1740" s="81" t="s">
        <v>48</v>
      </c>
      <c r="X1740" s="81" t="s">
        <v>48</v>
      </c>
      <c r="Y1740" s="81" t="s">
        <v>48</v>
      </c>
    </row>
    <row r="1741" spans="1:25" x14ac:dyDescent="0.3">
      <c r="A1741" s="16">
        <v>7501537103361</v>
      </c>
      <c r="B1741" s="81" t="s">
        <v>43</v>
      </c>
      <c r="C1741" s="81" t="s">
        <v>4087</v>
      </c>
      <c r="D1741" s="81" t="s">
        <v>45</v>
      </c>
      <c r="E1741" s="81" t="s">
        <v>2227</v>
      </c>
      <c r="F1741" s="81" t="s">
        <v>2227</v>
      </c>
      <c r="G1741" s="81" t="s">
        <v>4660</v>
      </c>
      <c r="H1741" s="81" t="s">
        <v>2243</v>
      </c>
      <c r="I1741" s="81" t="s">
        <v>6910</v>
      </c>
      <c r="J1741" s="81" t="s">
        <v>2186</v>
      </c>
      <c r="K1741" s="81" t="s">
        <v>6910</v>
      </c>
      <c r="L1741" s="81" t="s">
        <v>2392</v>
      </c>
      <c r="M1741" s="81" t="s">
        <v>6910</v>
      </c>
      <c r="N1741" s="81" t="s">
        <v>2231</v>
      </c>
      <c r="O1741" s="81" t="s">
        <v>2187</v>
      </c>
      <c r="P1741" s="81" t="s">
        <v>2187</v>
      </c>
      <c r="Q1741" s="81" t="s">
        <v>43</v>
      </c>
      <c r="R1741" s="81" t="s">
        <v>46</v>
      </c>
      <c r="S1741" s="81" t="s">
        <v>46</v>
      </c>
      <c r="T1741" s="81" t="s">
        <v>48</v>
      </c>
      <c r="U1741" s="81" t="s">
        <v>48</v>
      </c>
      <c r="V1741" s="81" t="s">
        <v>48</v>
      </c>
      <c r="W1741" s="81" t="s">
        <v>49</v>
      </c>
      <c r="X1741" s="81" t="s">
        <v>48</v>
      </c>
      <c r="Y1741" s="81" t="s">
        <v>48</v>
      </c>
    </row>
    <row r="1742" spans="1:25" x14ac:dyDescent="0.3">
      <c r="A1742" s="16">
        <v>7502208895165</v>
      </c>
      <c r="B1742" s="81" t="s">
        <v>43</v>
      </c>
      <c r="C1742" s="81" t="s">
        <v>4715</v>
      </c>
      <c r="D1742" s="81" t="s">
        <v>45</v>
      </c>
      <c r="E1742" s="81" t="s">
        <v>2227</v>
      </c>
      <c r="F1742" s="81" t="s">
        <v>2227</v>
      </c>
      <c r="G1742" s="81" t="s">
        <v>4781</v>
      </c>
      <c r="H1742" s="81" t="s">
        <v>2429</v>
      </c>
      <c r="I1742" s="81" t="s">
        <v>6911</v>
      </c>
      <c r="J1742" s="81" t="s">
        <v>2186</v>
      </c>
      <c r="K1742" s="81" t="s">
        <v>6911</v>
      </c>
      <c r="L1742" s="81" t="s">
        <v>2392</v>
      </c>
      <c r="M1742" s="81" t="s">
        <v>6911</v>
      </c>
      <c r="N1742" s="81" t="s">
        <v>2231</v>
      </c>
      <c r="O1742" s="81" t="s">
        <v>2187</v>
      </c>
      <c r="P1742" s="81" t="s">
        <v>2187</v>
      </c>
      <c r="Q1742" s="81" t="s">
        <v>43</v>
      </c>
      <c r="R1742" s="81" t="s">
        <v>203</v>
      </c>
      <c r="S1742" s="81" t="s">
        <v>203</v>
      </c>
      <c r="T1742" s="81" t="s">
        <v>48</v>
      </c>
      <c r="U1742" s="81" t="s">
        <v>48</v>
      </c>
      <c r="V1742" s="81" t="s">
        <v>48</v>
      </c>
      <c r="W1742" s="81" t="s">
        <v>49</v>
      </c>
      <c r="X1742" s="81" t="s">
        <v>48</v>
      </c>
      <c r="Y1742" s="81" t="s">
        <v>48</v>
      </c>
    </row>
    <row r="1743" spans="1:25" x14ac:dyDescent="0.3">
      <c r="A1743" s="16">
        <v>7502208894915</v>
      </c>
      <c r="B1743" s="81" t="s">
        <v>43</v>
      </c>
      <c r="C1743" s="81" t="s">
        <v>1846</v>
      </c>
      <c r="D1743" s="81" t="s">
        <v>45</v>
      </c>
      <c r="E1743" s="81" t="s">
        <v>2227</v>
      </c>
      <c r="F1743" s="81" t="s">
        <v>2227</v>
      </c>
      <c r="G1743" s="81" t="s">
        <v>3414</v>
      </c>
      <c r="H1743" s="81" t="s">
        <v>2218</v>
      </c>
      <c r="I1743" s="81" t="s">
        <v>4429</v>
      </c>
      <c r="J1743" s="81" t="s">
        <v>2186</v>
      </c>
      <c r="K1743" s="81" t="s">
        <v>4429</v>
      </c>
      <c r="L1743" s="81" t="s">
        <v>2392</v>
      </c>
      <c r="M1743" s="81" t="s">
        <v>4429</v>
      </c>
      <c r="N1743" s="81" t="s">
        <v>2231</v>
      </c>
      <c r="O1743" s="81" t="s">
        <v>2187</v>
      </c>
      <c r="P1743" s="81" t="s">
        <v>2187</v>
      </c>
      <c r="Q1743" s="81" t="s">
        <v>43</v>
      </c>
      <c r="R1743" s="81" t="s">
        <v>46</v>
      </c>
      <c r="S1743" s="81" t="s">
        <v>46</v>
      </c>
      <c r="T1743" s="81" t="s">
        <v>48</v>
      </c>
      <c r="U1743" s="81" t="s">
        <v>48</v>
      </c>
      <c r="V1743" s="81" t="s">
        <v>48</v>
      </c>
      <c r="W1743" s="81" t="s">
        <v>49</v>
      </c>
      <c r="X1743" s="81" t="s">
        <v>48</v>
      </c>
      <c r="Y1743" s="81" t="s">
        <v>48</v>
      </c>
    </row>
    <row r="1744" spans="1:25" x14ac:dyDescent="0.3">
      <c r="A1744" s="16">
        <v>7502208894489</v>
      </c>
      <c r="B1744" s="81" t="s">
        <v>43</v>
      </c>
      <c r="C1744" s="81" t="s">
        <v>1847</v>
      </c>
      <c r="D1744" s="81" t="s">
        <v>45</v>
      </c>
      <c r="E1744" s="81" t="s">
        <v>2227</v>
      </c>
      <c r="F1744" s="81" t="s">
        <v>2227</v>
      </c>
      <c r="G1744" s="81" t="s">
        <v>4088</v>
      </c>
      <c r="H1744" s="81" t="s">
        <v>2269</v>
      </c>
      <c r="I1744" s="81" t="s">
        <v>6912</v>
      </c>
      <c r="J1744" s="81" t="s">
        <v>2186</v>
      </c>
      <c r="K1744" s="81" t="s">
        <v>6912</v>
      </c>
      <c r="L1744" s="81" t="s">
        <v>2392</v>
      </c>
      <c r="M1744" s="81" t="s">
        <v>6912</v>
      </c>
      <c r="N1744" s="81" t="s">
        <v>2231</v>
      </c>
      <c r="O1744" s="81" t="s">
        <v>2187</v>
      </c>
      <c r="P1744" s="81" t="s">
        <v>2187</v>
      </c>
      <c r="Q1744" s="81" t="s">
        <v>43</v>
      </c>
      <c r="R1744" s="81" t="s">
        <v>46</v>
      </c>
      <c r="S1744" s="81" t="s">
        <v>47</v>
      </c>
      <c r="T1744" s="81" t="s">
        <v>48</v>
      </c>
      <c r="U1744" s="81" t="s">
        <v>48</v>
      </c>
      <c r="V1744" s="81" t="s">
        <v>48</v>
      </c>
      <c r="W1744" s="81" t="s">
        <v>49</v>
      </c>
      <c r="X1744" s="81" t="s">
        <v>48</v>
      </c>
      <c r="Y1744" s="81" t="s">
        <v>48</v>
      </c>
    </row>
    <row r="1745" spans="1:25" x14ac:dyDescent="0.3">
      <c r="A1745" s="16">
        <v>7502208894977</v>
      </c>
      <c r="B1745" s="81" t="s">
        <v>43</v>
      </c>
      <c r="C1745" s="81" t="s">
        <v>1848</v>
      </c>
      <c r="D1745" s="81" t="s">
        <v>45</v>
      </c>
      <c r="E1745" s="81" t="s">
        <v>2227</v>
      </c>
      <c r="F1745" s="81" t="s">
        <v>2227</v>
      </c>
      <c r="G1745" s="81" t="s">
        <v>4089</v>
      </c>
      <c r="H1745" s="81" t="s">
        <v>2198</v>
      </c>
      <c r="I1745" s="81" t="s">
        <v>6913</v>
      </c>
      <c r="J1745" s="81" t="s">
        <v>2186</v>
      </c>
      <c r="K1745" s="81" t="s">
        <v>6913</v>
      </c>
      <c r="L1745" s="81" t="s">
        <v>2392</v>
      </c>
      <c r="M1745" s="81" t="s">
        <v>6913</v>
      </c>
      <c r="N1745" s="81" t="s">
        <v>2231</v>
      </c>
      <c r="O1745" s="81" t="s">
        <v>2187</v>
      </c>
      <c r="P1745" s="81" t="s">
        <v>2187</v>
      </c>
      <c r="Q1745" s="81" t="s">
        <v>43</v>
      </c>
      <c r="R1745" s="81" t="s">
        <v>46</v>
      </c>
      <c r="S1745" s="81" t="s">
        <v>47</v>
      </c>
      <c r="T1745" s="81" t="s">
        <v>48</v>
      </c>
      <c r="U1745" s="81" t="s">
        <v>48</v>
      </c>
      <c r="V1745" s="81" t="s">
        <v>48</v>
      </c>
      <c r="W1745" s="81" t="s">
        <v>49</v>
      </c>
      <c r="X1745" s="81" t="s">
        <v>48</v>
      </c>
      <c r="Y1745" s="81" t="s">
        <v>48</v>
      </c>
    </row>
    <row r="1746" spans="1:25" x14ac:dyDescent="0.3">
      <c r="A1746" s="16">
        <v>7502268549268</v>
      </c>
      <c r="B1746" s="81" t="s">
        <v>43</v>
      </c>
      <c r="C1746" s="81" t="s">
        <v>1849</v>
      </c>
      <c r="D1746" s="81" t="s">
        <v>45</v>
      </c>
      <c r="E1746" s="81" t="s">
        <v>2227</v>
      </c>
      <c r="F1746" s="81" t="s">
        <v>2227</v>
      </c>
      <c r="G1746" s="81" t="s">
        <v>4090</v>
      </c>
      <c r="H1746" s="81" t="s">
        <v>2535</v>
      </c>
      <c r="I1746" s="81" t="s">
        <v>2506</v>
      </c>
      <c r="J1746" s="81" t="s">
        <v>2186</v>
      </c>
      <c r="K1746" s="81" t="s">
        <v>2337</v>
      </c>
      <c r="L1746" s="81" t="s">
        <v>2392</v>
      </c>
      <c r="M1746" s="81" t="s">
        <v>2401</v>
      </c>
      <c r="N1746" s="81" t="s">
        <v>2231</v>
      </c>
      <c r="O1746" s="81" t="s">
        <v>2187</v>
      </c>
      <c r="P1746" s="81" t="s">
        <v>2187</v>
      </c>
      <c r="Q1746" s="81" t="s">
        <v>43</v>
      </c>
      <c r="R1746" s="81" t="s">
        <v>122</v>
      </c>
      <c r="S1746" s="81" t="s">
        <v>122</v>
      </c>
      <c r="T1746" s="81" t="s">
        <v>48</v>
      </c>
      <c r="U1746" s="81" t="s">
        <v>48</v>
      </c>
      <c r="V1746" s="81" t="s">
        <v>48</v>
      </c>
      <c r="W1746" s="81" t="s">
        <v>49</v>
      </c>
      <c r="X1746" s="81" t="s">
        <v>48</v>
      </c>
      <c r="Y1746" s="81" t="s">
        <v>48</v>
      </c>
    </row>
    <row r="1747" spans="1:25" x14ac:dyDescent="0.3">
      <c r="A1747" s="16">
        <v>1501125100918</v>
      </c>
      <c r="B1747" s="81" t="s">
        <v>43</v>
      </c>
      <c r="C1747" s="81" t="s">
        <v>1850</v>
      </c>
      <c r="D1747" s="81" t="s">
        <v>45</v>
      </c>
      <c r="E1747" s="81" t="s">
        <v>2227</v>
      </c>
      <c r="F1747" s="81" t="s">
        <v>2227</v>
      </c>
      <c r="G1747" s="81" t="s">
        <v>4091</v>
      </c>
      <c r="H1747" s="81" t="s">
        <v>2209</v>
      </c>
      <c r="I1747" s="81" t="s">
        <v>6914</v>
      </c>
      <c r="J1747" s="81" t="s">
        <v>2186</v>
      </c>
      <c r="K1747" s="81" t="s">
        <v>6914</v>
      </c>
      <c r="L1747" s="81" t="s">
        <v>2392</v>
      </c>
      <c r="M1747" s="81" t="s">
        <v>6914</v>
      </c>
      <c r="N1747" s="81" t="s">
        <v>2231</v>
      </c>
      <c r="O1747" s="81" t="s">
        <v>2187</v>
      </c>
      <c r="P1747" s="81" t="s">
        <v>2187</v>
      </c>
      <c r="Q1747" s="81" t="s">
        <v>43</v>
      </c>
      <c r="R1747" s="81" t="s">
        <v>122</v>
      </c>
      <c r="S1747" s="81" t="s">
        <v>122</v>
      </c>
      <c r="T1747" s="81" t="s">
        <v>48</v>
      </c>
      <c r="U1747" s="81" t="s">
        <v>48</v>
      </c>
      <c r="V1747" s="81" t="s">
        <v>48</v>
      </c>
      <c r="W1747" s="81" t="s">
        <v>49</v>
      </c>
      <c r="X1747" s="81" t="s">
        <v>48</v>
      </c>
      <c r="Y1747" s="81" t="s">
        <v>48</v>
      </c>
    </row>
    <row r="1748" spans="1:25" x14ac:dyDescent="0.3">
      <c r="A1748" s="16">
        <v>7501088505157</v>
      </c>
      <c r="B1748" s="81" t="s">
        <v>43</v>
      </c>
      <c r="C1748" s="81" t="s">
        <v>1851</v>
      </c>
      <c r="D1748" s="81" t="s">
        <v>45</v>
      </c>
      <c r="E1748" s="81" t="s">
        <v>2227</v>
      </c>
      <c r="F1748" s="81" t="s">
        <v>2227</v>
      </c>
      <c r="G1748" s="81" t="s">
        <v>4092</v>
      </c>
      <c r="H1748" s="81" t="s">
        <v>3883</v>
      </c>
      <c r="I1748" s="81" t="s">
        <v>2961</v>
      </c>
      <c r="J1748" s="81" t="s">
        <v>2186</v>
      </c>
      <c r="K1748" s="81" t="s">
        <v>3111</v>
      </c>
      <c r="L1748" s="81" t="s">
        <v>2392</v>
      </c>
      <c r="M1748" s="81" t="s">
        <v>3443</v>
      </c>
      <c r="N1748" s="81" t="s">
        <v>2231</v>
      </c>
      <c r="O1748" s="81" t="s">
        <v>2187</v>
      </c>
      <c r="P1748" s="81" t="s">
        <v>2187</v>
      </c>
      <c r="Q1748" s="81" t="s">
        <v>43</v>
      </c>
      <c r="R1748" s="81" t="s">
        <v>46</v>
      </c>
      <c r="S1748" s="81" t="s">
        <v>73</v>
      </c>
      <c r="T1748" s="81" t="s">
        <v>48</v>
      </c>
      <c r="U1748" s="81" t="s">
        <v>48</v>
      </c>
      <c r="V1748" s="81" t="s">
        <v>48</v>
      </c>
      <c r="W1748" s="81" t="s">
        <v>49</v>
      </c>
      <c r="X1748" s="81" t="s">
        <v>48</v>
      </c>
      <c r="Y1748" s="81" t="s">
        <v>48</v>
      </c>
    </row>
    <row r="1749" spans="1:25" x14ac:dyDescent="0.3">
      <c r="A1749" s="16">
        <v>736085174007</v>
      </c>
      <c r="B1749" s="81" t="s">
        <v>43</v>
      </c>
      <c r="C1749" s="81" t="s">
        <v>1852</v>
      </c>
      <c r="D1749" s="81" t="s">
        <v>45</v>
      </c>
      <c r="E1749" s="81" t="s">
        <v>2227</v>
      </c>
      <c r="F1749" s="81" t="s">
        <v>2227</v>
      </c>
      <c r="G1749" s="81" t="s">
        <v>4093</v>
      </c>
      <c r="H1749" s="81" t="s">
        <v>2681</v>
      </c>
      <c r="I1749" s="81" t="s">
        <v>6915</v>
      </c>
      <c r="J1749" s="81" t="s">
        <v>2186</v>
      </c>
      <c r="K1749" s="81" t="s">
        <v>6915</v>
      </c>
      <c r="L1749" s="81" t="s">
        <v>2392</v>
      </c>
      <c r="M1749" s="81" t="s">
        <v>6915</v>
      </c>
      <c r="N1749" s="81" t="s">
        <v>2231</v>
      </c>
      <c r="O1749" s="81" t="s">
        <v>2187</v>
      </c>
      <c r="P1749" s="81" t="s">
        <v>2187</v>
      </c>
      <c r="Q1749" s="81" t="s">
        <v>43</v>
      </c>
      <c r="R1749" s="81" t="s">
        <v>46</v>
      </c>
      <c r="S1749" s="81" t="s">
        <v>46</v>
      </c>
      <c r="T1749" s="81" t="s">
        <v>48</v>
      </c>
      <c r="U1749" s="81" t="s">
        <v>48</v>
      </c>
      <c r="V1749" s="81" t="s">
        <v>48</v>
      </c>
      <c r="W1749" s="81" t="s">
        <v>49</v>
      </c>
      <c r="X1749" s="81" t="s">
        <v>48</v>
      </c>
      <c r="Y1749" s="81" t="s">
        <v>48</v>
      </c>
    </row>
    <row r="1750" spans="1:25" x14ac:dyDescent="0.3">
      <c r="A1750" s="16">
        <v>7501285600419</v>
      </c>
      <c r="B1750" s="81" t="s">
        <v>43</v>
      </c>
      <c r="C1750" s="81" t="s">
        <v>1853</v>
      </c>
      <c r="D1750" s="81" t="s">
        <v>45</v>
      </c>
      <c r="E1750" s="81" t="s">
        <v>2227</v>
      </c>
      <c r="F1750" s="81" t="s">
        <v>2227</v>
      </c>
      <c r="G1750" s="81" t="s">
        <v>4094</v>
      </c>
      <c r="H1750" s="81" t="s">
        <v>4095</v>
      </c>
      <c r="I1750" s="81" t="s">
        <v>6916</v>
      </c>
      <c r="J1750" s="81" t="s">
        <v>2186</v>
      </c>
      <c r="K1750" s="81" t="s">
        <v>6916</v>
      </c>
      <c r="L1750" s="81" t="s">
        <v>2392</v>
      </c>
      <c r="M1750" s="81" t="s">
        <v>6916</v>
      </c>
      <c r="N1750" s="81" t="s">
        <v>2231</v>
      </c>
      <c r="O1750" s="81" t="s">
        <v>2187</v>
      </c>
      <c r="P1750" s="81" t="s">
        <v>2187</v>
      </c>
      <c r="Q1750" s="81" t="s">
        <v>43</v>
      </c>
      <c r="R1750" s="81" t="s">
        <v>46</v>
      </c>
      <c r="S1750" s="81" t="s">
        <v>46</v>
      </c>
      <c r="T1750" s="81" t="s">
        <v>48</v>
      </c>
      <c r="U1750" s="81" t="s">
        <v>48</v>
      </c>
      <c r="V1750" s="81" t="s">
        <v>48</v>
      </c>
      <c r="W1750" s="81" t="s">
        <v>49</v>
      </c>
      <c r="X1750" s="81" t="s">
        <v>48</v>
      </c>
      <c r="Y1750" s="81" t="s">
        <v>48</v>
      </c>
    </row>
    <row r="1751" spans="1:25" x14ac:dyDescent="0.3">
      <c r="A1751" s="16">
        <v>7503014492197</v>
      </c>
      <c r="B1751" s="81" t="s">
        <v>43</v>
      </c>
      <c r="C1751" s="81" t="s">
        <v>1854</v>
      </c>
      <c r="D1751" s="81" t="s">
        <v>45</v>
      </c>
      <c r="E1751" s="81" t="s">
        <v>2227</v>
      </c>
      <c r="F1751" s="81" t="s">
        <v>2227</v>
      </c>
      <c r="G1751" s="81" t="s">
        <v>4096</v>
      </c>
      <c r="H1751" s="81" t="s">
        <v>4052</v>
      </c>
      <c r="I1751" s="81" t="s">
        <v>4097</v>
      </c>
      <c r="J1751" s="81" t="s">
        <v>2186</v>
      </c>
      <c r="K1751" s="81" t="s">
        <v>4098</v>
      </c>
      <c r="L1751" s="81" t="s">
        <v>2392</v>
      </c>
      <c r="M1751" s="81" t="s">
        <v>3500</v>
      </c>
      <c r="N1751" s="81" t="s">
        <v>2231</v>
      </c>
      <c r="O1751" s="81" t="s">
        <v>2187</v>
      </c>
      <c r="P1751" s="81" t="s">
        <v>2187</v>
      </c>
      <c r="Q1751" s="81" t="s">
        <v>43</v>
      </c>
      <c r="R1751" s="81" t="s">
        <v>46</v>
      </c>
      <c r="S1751" s="81" t="s">
        <v>46</v>
      </c>
      <c r="T1751" s="81" t="s">
        <v>48</v>
      </c>
      <c r="U1751" s="81" t="s">
        <v>48</v>
      </c>
      <c r="V1751" s="81" t="s">
        <v>48</v>
      </c>
      <c r="W1751" s="81" t="s">
        <v>49</v>
      </c>
      <c r="X1751" s="81" t="s">
        <v>48</v>
      </c>
      <c r="Y1751" s="81" t="s">
        <v>48</v>
      </c>
    </row>
    <row r="1752" spans="1:25" x14ac:dyDescent="0.3">
      <c r="A1752" s="16">
        <v>7501089802958</v>
      </c>
      <c r="B1752" s="81" t="s">
        <v>43</v>
      </c>
      <c r="C1752" s="81" t="s">
        <v>1855</v>
      </c>
      <c r="D1752" s="81" t="s">
        <v>45</v>
      </c>
      <c r="E1752" s="81" t="s">
        <v>2227</v>
      </c>
      <c r="F1752" s="81" t="s">
        <v>2227</v>
      </c>
      <c r="G1752" s="81" t="s">
        <v>4099</v>
      </c>
      <c r="H1752" s="81" t="s">
        <v>2806</v>
      </c>
      <c r="I1752" s="81" t="s">
        <v>6917</v>
      </c>
      <c r="J1752" s="81" t="s">
        <v>2186</v>
      </c>
      <c r="K1752" s="81" t="s">
        <v>6917</v>
      </c>
      <c r="L1752" s="81" t="s">
        <v>2392</v>
      </c>
      <c r="M1752" s="81" t="s">
        <v>6917</v>
      </c>
      <c r="N1752" s="81" t="s">
        <v>2231</v>
      </c>
      <c r="O1752" s="81" t="s">
        <v>2187</v>
      </c>
      <c r="P1752" s="81" t="s">
        <v>2187</v>
      </c>
      <c r="Q1752" s="81" t="s">
        <v>43</v>
      </c>
      <c r="R1752" s="81" t="s">
        <v>46</v>
      </c>
      <c r="S1752" s="81" t="s">
        <v>46</v>
      </c>
      <c r="T1752" s="81" t="s">
        <v>48</v>
      </c>
      <c r="U1752" s="81" t="s">
        <v>48</v>
      </c>
      <c r="V1752" s="81" t="s">
        <v>48</v>
      </c>
      <c r="W1752" s="81" t="s">
        <v>49</v>
      </c>
      <c r="X1752" s="81" t="s">
        <v>48</v>
      </c>
      <c r="Y1752" s="81" t="s">
        <v>48</v>
      </c>
    </row>
    <row r="1753" spans="1:25" x14ac:dyDescent="0.3">
      <c r="A1753" s="16">
        <v>7502009749209</v>
      </c>
      <c r="B1753" s="81" t="s">
        <v>43</v>
      </c>
      <c r="C1753" s="81" t="s">
        <v>1856</v>
      </c>
      <c r="D1753" s="81" t="s">
        <v>45</v>
      </c>
      <c r="E1753" s="81" t="s">
        <v>2227</v>
      </c>
      <c r="F1753" s="81" t="s">
        <v>2227</v>
      </c>
      <c r="G1753" s="81" t="s">
        <v>5172</v>
      </c>
      <c r="H1753" s="81" t="s">
        <v>2867</v>
      </c>
      <c r="I1753" s="81" t="s">
        <v>3229</v>
      </c>
      <c r="J1753" s="81" t="s">
        <v>2186</v>
      </c>
      <c r="K1753" s="81" t="s">
        <v>3229</v>
      </c>
      <c r="L1753" s="81" t="s">
        <v>2392</v>
      </c>
      <c r="M1753" s="81" t="s">
        <v>3229</v>
      </c>
      <c r="N1753" s="81" t="s">
        <v>2231</v>
      </c>
      <c r="O1753" s="81" t="s">
        <v>2187</v>
      </c>
      <c r="P1753" s="81" t="s">
        <v>2187</v>
      </c>
      <c r="Q1753" s="81" t="s">
        <v>43</v>
      </c>
      <c r="R1753" s="81" t="s">
        <v>203</v>
      </c>
      <c r="S1753" s="81" t="s">
        <v>203</v>
      </c>
      <c r="T1753" s="81" t="s">
        <v>48</v>
      </c>
      <c r="U1753" s="81" t="s">
        <v>48</v>
      </c>
      <c r="V1753" s="81" t="s">
        <v>49</v>
      </c>
      <c r="W1753" s="81" t="s">
        <v>48</v>
      </c>
      <c r="X1753" s="81" t="s">
        <v>48</v>
      </c>
      <c r="Y1753" s="81" t="s">
        <v>48</v>
      </c>
    </row>
    <row r="1754" spans="1:25" x14ac:dyDescent="0.3">
      <c r="A1754" s="16">
        <v>7501008499757</v>
      </c>
      <c r="B1754" s="81" t="s">
        <v>43</v>
      </c>
      <c r="C1754" s="81" t="s">
        <v>1857</v>
      </c>
      <c r="D1754" s="81" t="s">
        <v>45</v>
      </c>
      <c r="E1754" s="81" t="s">
        <v>2227</v>
      </c>
      <c r="F1754" s="81" t="s">
        <v>2227</v>
      </c>
      <c r="G1754" s="81" t="s">
        <v>2425</v>
      </c>
      <c r="H1754" s="81" t="s">
        <v>6918</v>
      </c>
      <c r="I1754" s="81" t="s">
        <v>5706</v>
      </c>
      <c r="J1754" s="81" t="s">
        <v>2186</v>
      </c>
      <c r="K1754" s="81" t="s">
        <v>5706</v>
      </c>
      <c r="L1754" s="81" t="s">
        <v>2392</v>
      </c>
      <c r="M1754" s="81" t="s">
        <v>5706</v>
      </c>
      <c r="N1754" s="81" t="s">
        <v>2231</v>
      </c>
      <c r="O1754" s="81" t="s">
        <v>2187</v>
      </c>
      <c r="P1754" s="81" t="s">
        <v>2187</v>
      </c>
      <c r="Q1754" s="81" t="s">
        <v>43</v>
      </c>
      <c r="R1754" s="81" t="s">
        <v>525</v>
      </c>
      <c r="S1754" s="81" t="s">
        <v>525</v>
      </c>
      <c r="T1754" s="81" t="s">
        <v>48</v>
      </c>
      <c r="U1754" s="81" t="s">
        <v>48</v>
      </c>
      <c r="V1754" s="81" t="s">
        <v>49</v>
      </c>
      <c r="W1754" s="81" t="s">
        <v>48</v>
      </c>
      <c r="X1754" s="81" t="s">
        <v>48</v>
      </c>
      <c r="Y1754" s="81" t="s">
        <v>48</v>
      </c>
    </row>
    <row r="1755" spans="1:25" x14ac:dyDescent="0.3">
      <c r="A1755" s="16">
        <v>7502009747090</v>
      </c>
      <c r="B1755" s="81" t="s">
        <v>43</v>
      </c>
      <c r="C1755" s="81" t="s">
        <v>1858</v>
      </c>
      <c r="D1755" s="81" t="s">
        <v>45</v>
      </c>
      <c r="E1755" s="81" t="s">
        <v>2227</v>
      </c>
      <c r="F1755" s="81" t="s">
        <v>2227</v>
      </c>
      <c r="G1755" s="81" t="s">
        <v>4711</v>
      </c>
      <c r="H1755" s="81" t="s">
        <v>2415</v>
      </c>
      <c r="I1755" s="81" t="s">
        <v>6919</v>
      </c>
      <c r="J1755" s="81" t="s">
        <v>2186</v>
      </c>
      <c r="K1755" s="81" t="s">
        <v>6919</v>
      </c>
      <c r="L1755" s="81" t="s">
        <v>2392</v>
      </c>
      <c r="M1755" s="81" t="s">
        <v>6919</v>
      </c>
      <c r="N1755" s="81" t="s">
        <v>2231</v>
      </c>
      <c r="O1755" s="81" t="s">
        <v>2187</v>
      </c>
      <c r="P1755" s="81" t="s">
        <v>2187</v>
      </c>
      <c r="Q1755" s="81" t="s">
        <v>43</v>
      </c>
      <c r="R1755" s="81" t="s">
        <v>46</v>
      </c>
      <c r="S1755" s="81" t="s">
        <v>47</v>
      </c>
      <c r="T1755" s="81" t="s">
        <v>48</v>
      </c>
      <c r="U1755" s="81" t="s">
        <v>48</v>
      </c>
      <c r="V1755" s="81" t="s">
        <v>48</v>
      </c>
      <c r="W1755" s="81" t="s">
        <v>49</v>
      </c>
      <c r="X1755" s="81" t="s">
        <v>48</v>
      </c>
      <c r="Y1755" s="81" t="s">
        <v>48</v>
      </c>
    </row>
    <row r="1756" spans="1:25" x14ac:dyDescent="0.3">
      <c r="A1756" s="16">
        <v>7502227874127</v>
      </c>
      <c r="B1756" s="81" t="s">
        <v>43</v>
      </c>
      <c r="C1756" s="81" t="s">
        <v>1859</v>
      </c>
      <c r="D1756" s="81" t="s">
        <v>45</v>
      </c>
      <c r="E1756" s="81" t="s">
        <v>2227</v>
      </c>
      <c r="F1756" s="81" t="s">
        <v>2227</v>
      </c>
      <c r="G1756" s="81" t="s">
        <v>2628</v>
      </c>
      <c r="H1756" s="81" t="s">
        <v>2209</v>
      </c>
      <c r="I1756" s="81" t="s">
        <v>5827</v>
      </c>
      <c r="J1756" s="81" t="s">
        <v>2186</v>
      </c>
      <c r="K1756" s="81" t="s">
        <v>5827</v>
      </c>
      <c r="L1756" s="81" t="s">
        <v>2392</v>
      </c>
      <c r="M1756" s="81" t="s">
        <v>5827</v>
      </c>
      <c r="N1756" s="81" t="s">
        <v>2231</v>
      </c>
      <c r="O1756" s="81" t="s">
        <v>2187</v>
      </c>
      <c r="P1756" s="81" t="s">
        <v>2187</v>
      </c>
      <c r="Q1756" s="81" t="s">
        <v>43</v>
      </c>
      <c r="R1756" s="81" t="s">
        <v>46</v>
      </c>
      <c r="S1756" s="81" t="s">
        <v>47</v>
      </c>
      <c r="T1756" s="81" t="s">
        <v>48</v>
      </c>
      <c r="U1756" s="81" t="s">
        <v>48</v>
      </c>
      <c r="V1756" s="81" t="s">
        <v>48</v>
      </c>
      <c r="W1756" s="81" t="s">
        <v>49</v>
      </c>
      <c r="X1756" s="81" t="s">
        <v>48</v>
      </c>
      <c r="Y1756" s="81" t="s">
        <v>48</v>
      </c>
    </row>
    <row r="1757" spans="1:25" x14ac:dyDescent="0.3">
      <c r="A1757" s="16">
        <v>7501573908982</v>
      </c>
      <c r="B1757" s="81" t="s">
        <v>43</v>
      </c>
      <c r="C1757" s="81" t="s">
        <v>2070</v>
      </c>
      <c r="D1757" s="81" t="s">
        <v>45</v>
      </c>
      <c r="E1757" s="81" t="s">
        <v>2227</v>
      </c>
      <c r="F1757" s="81" t="s">
        <v>2227</v>
      </c>
      <c r="G1757" s="81" t="s">
        <v>2644</v>
      </c>
      <c r="H1757" s="81" t="s">
        <v>2183</v>
      </c>
      <c r="I1757" s="81" t="s">
        <v>6920</v>
      </c>
      <c r="J1757" s="81" t="s">
        <v>2186</v>
      </c>
      <c r="K1757" s="81" t="s">
        <v>6920</v>
      </c>
      <c r="L1757" s="81" t="s">
        <v>2392</v>
      </c>
      <c r="M1757" s="81" t="s">
        <v>6920</v>
      </c>
      <c r="N1757" s="81" t="s">
        <v>2231</v>
      </c>
      <c r="O1757" s="81" t="s">
        <v>2187</v>
      </c>
      <c r="P1757" s="81" t="s">
        <v>2187</v>
      </c>
      <c r="Q1757" s="81" t="s">
        <v>43</v>
      </c>
      <c r="R1757" s="81" t="s">
        <v>46</v>
      </c>
      <c r="S1757" s="81" t="s">
        <v>47</v>
      </c>
      <c r="T1757" s="81" t="s">
        <v>48</v>
      </c>
      <c r="U1757" s="81" t="s">
        <v>48</v>
      </c>
      <c r="V1757" s="81" t="s">
        <v>48</v>
      </c>
      <c r="W1757" s="81" t="s">
        <v>49</v>
      </c>
      <c r="X1757" s="81" t="s">
        <v>48</v>
      </c>
      <c r="Y1757" s="81" t="s">
        <v>48</v>
      </c>
    </row>
    <row r="1758" spans="1:25" x14ac:dyDescent="0.3">
      <c r="A1758" s="16">
        <v>7502009747021</v>
      </c>
      <c r="B1758" s="81" t="s">
        <v>43</v>
      </c>
      <c r="C1758" s="81" t="s">
        <v>2071</v>
      </c>
      <c r="D1758" s="81" t="s">
        <v>45</v>
      </c>
      <c r="E1758" s="81" t="s">
        <v>2227</v>
      </c>
      <c r="F1758" s="81" t="s">
        <v>2227</v>
      </c>
      <c r="G1758" s="81" t="s">
        <v>4100</v>
      </c>
      <c r="H1758" s="81" t="s">
        <v>2417</v>
      </c>
      <c r="I1758" s="81" t="s">
        <v>6921</v>
      </c>
      <c r="J1758" s="81" t="s">
        <v>2186</v>
      </c>
      <c r="K1758" s="81" t="s">
        <v>6921</v>
      </c>
      <c r="L1758" s="81" t="s">
        <v>2392</v>
      </c>
      <c r="M1758" s="81" t="s">
        <v>6921</v>
      </c>
      <c r="N1758" s="81" t="s">
        <v>2231</v>
      </c>
      <c r="O1758" s="81" t="s">
        <v>2187</v>
      </c>
      <c r="P1758" s="81" t="s">
        <v>2187</v>
      </c>
      <c r="Q1758" s="81" t="s">
        <v>43</v>
      </c>
      <c r="R1758" s="81" t="s">
        <v>46</v>
      </c>
      <c r="S1758" s="81" t="s">
        <v>46</v>
      </c>
      <c r="T1758" s="81" t="s">
        <v>48</v>
      </c>
      <c r="U1758" s="81" t="s">
        <v>48</v>
      </c>
      <c r="V1758" s="81" t="s">
        <v>48</v>
      </c>
      <c r="W1758" s="81" t="s">
        <v>49</v>
      </c>
      <c r="X1758" s="81" t="s">
        <v>48</v>
      </c>
      <c r="Y1758" s="81" t="s">
        <v>48</v>
      </c>
    </row>
    <row r="1759" spans="1:25" x14ac:dyDescent="0.3">
      <c r="A1759" s="16">
        <v>7501075726251</v>
      </c>
      <c r="B1759" s="81" t="s">
        <v>43</v>
      </c>
      <c r="C1759" s="81" t="s">
        <v>2072</v>
      </c>
      <c r="D1759" s="81" t="s">
        <v>45</v>
      </c>
      <c r="E1759" s="81" t="s">
        <v>2227</v>
      </c>
      <c r="F1759" s="81" t="s">
        <v>2227</v>
      </c>
      <c r="G1759" s="81" t="s">
        <v>4101</v>
      </c>
      <c r="H1759" s="81" t="s">
        <v>2560</v>
      </c>
      <c r="I1759" s="81" t="s">
        <v>2674</v>
      </c>
      <c r="J1759" s="81" t="s">
        <v>2186</v>
      </c>
      <c r="K1759" s="81" t="s">
        <v>2667</v>
      </c>
      <c r="L1759" s="81" t="s">
        <v>2392</v>
      </c>
      <c r="M1759" s="81" t="s">
        <v>2917</v>
      </c>
      <c r="N1759" s="81" t="s">
        <v>2231</v>
      </c>
      <c r="O1759" s="81" t="s">
        <v>2187</v>
      </c>
      <c r="P1759" s="81" t="s">
        <v>2187</v>
      </c>
      <c r="Q1759" s="81" t="s">
        <v>43</v>
      </c>
      <c r="R1759" s="81" t="s">
        <v>203</v>
      </c>
      <c r="S1759" s="81" t="s">
        <v>203</v>
      </c>
      <c r="T1759" s="81" t="s">
        <v>48</v>
      </c>
      <c r="U1759" s="81" t="s">
        <v>48</v>
      </c>
      <c r="V1759" s="81" t="s">
        <v>48</v>
      </c>
      <c r="W1759" s="81" t="s">
        <v>49</v>
      </c>
      <c r="X1759" s="81" t="s">
        <v>48</v>
      </c>
      <c r="Y1759" s="81" t="s">
        <v>48</v>
      </c>
    </row>
    <row r="1760" spans="1:25" x14ac:dyDescent="0.3">
      <c r="A1760" s="16">
        <v>7501075724707</v>
      </c>
      <c r="B1760" s="81" t="s">
        <v>43</v>
      </c>
      <c r="C1760" s="81" t="s">
        <v>2073</v>
      </c>
      <c r="D1760" s="81" t="s">
        <v>45</v>
      </c>
      <c r="E1760" s="81" t="s">
        <v>2227</v>
      </c>
      <c r="F1760" s="81" t="s">
        <v>2227</v>
      </c>
      <c r="G1760" s="81" t="s">
        <v>4102</v>
      </c>
      <c r="H1760" s="81" t="s">
        <v>4020</v>
      </c>
      <c r="I1760" s="81" t="s">
        <v>2935</v>
      </c>
      <c r="J1760" s="81" t="s">
        <v>2186</v>
      </c>
      <c r="K1760" s="81" t="s">
        <v>3133</v>
      </c>
      <c r="L1760" s="81" t="s">
        <v>2392</v>
      </c>
      <c r="M1760" s="81" t="s">
        <v>3551</v>
      </c>
      <c r="N1760" s="81" t="s">
        <v>2231</v>
      </c>
      <c r="O1760" s="81" t="s">
        <v>2187</v>
      </c>
      <c r="P1760" s="81" t="s">
        <v>2187</v>
      </c>
      <c r="Q1760" s="81" t="s">
        <v>43</v>
      </c>
      <c r="R1760" s="81" t="s">
        <v>46</v>
      </c>
      <c r="S1760" s="81" t="s">
        <v>46</v>
      </c>
      <c r="T1760" s="81" t="s">
        <v>48</v>
      </c>
      <c r="U1760" s="81" t="s">
        <v>48</v>
      </c>
      <c r="V1760" s="81" t="s">
        <v>48</v>
      </c>
      <c r="W1760" s="81" t="s">
        <v>49</v>
      </c>
      <c r="X1760" s="81" t="s">
        <v>48</v>
      </c>
      <c r="Y1760" s="81" t="s">
        <v>48</v>
      </c>
    </row>
    <row r="1761" spans="1:25" x14ac:dyDescent="0.3">
      <c r="A1761" s="16">
        <v>7501349024861</v>
      </c>
      <c r="B1761" s="81" t="s">
        <v>43</v>
      </c>
      <c r="C1761" s="81" t="s">
        <v>2074</v>
      </c>
      <c r="D1761" s="81" t="s">
        <v>45</v>
      </c>
      <c r="E1761" s="81" t="s">
        <v>2227</v>
      </c>
      <c r="F1761" s="81" t="s">
        <v>2227</v>
      </c>
      <c r="G1761" s="81" t="s">
        <v>4103</v>
      </c>
      <c r="H1761" s="81" t="s">
        <v>2264</v>
      </c>
      <c r="I1761" s="81" t="s">
        <v>6922</v>
      </c>
      <c r="J1761" s="81" t="s">
        <v>2186</v>
      </c>
      <c r="K1761" s="81" t="s">
        <v>6922</v>
      </c>
      <c r="L1761" s="81" t="s">
        <v>2392</v>
      </c>
      <c r="M1761" s="81" t="s">
        <v>6922</v>
      </c>
      <c r="N1761" s="81" t="s">
        <v>2231</v>
      </c>
      <c r="O1761" s="81" t="s">
        <v>2187</v>
      </c>
      <c r="P1761" s="81" t="s">
        <v>2187</v>
      </c>
      <c r="Q1761" s="81" t="s">
        <v>43</v>
      </c>
      <c r="R1761" s="81" t="s">
        <v>46</v>
      </c>
      <c r="S1761" s="81" t="s">
        <v>47</v>
      </c>
      <c r="T1761" s="81" t="s">
        <v>48</v>
      </c>
      <c r="U1761" s="81" t="s">
        <v>48</v>
      </c>
      <c r="V1761" s="81" t="s">
        <v>48</v>
      </c>
      <c r="W1761" s="81" t="s">
        <v>49</v>
      </c>
      <c r="X1761" s="81" t="s">
        <v>48</v>
      </c>
      <c r="Y1761" s="81" t="s">
        <v>48</v>
      </c>
    </row>
    <row r="1762" spans="1:25" x14ac:dyDescent="0.3">
      <c r="A1762" s="16">
        <v>7502227876817</v>
      </c>
      <c r="B1762" s="81" t="s">
        <v>43</v>
      </c>
      <c r="C1762" s="81" t="s">
        <v>2075</v>
      </c>
      <c r="D1762" s="81" t="s">
        <v>45</v>
      </c>
      <c r="E1762" s="81" t="s">
        <v>2227</v>
      </c>
      <c r="F1762" s="81" t="s">
        <v>2227</v>
      </c>
      <c r="G1762" s="81" t="s">
        <v>4536</v>
      </c>
      <c r="H1762" s="81" t="s">
        <v>2236</v>
      </c>
      <c r="I1762" s="81" t="s">
        <v>6295</v>
      </c>
      <c r="J1762" s="81" t="s">
        <v>2186</v>
      </c>
      <c r="K1762" s="81" t="s">
        <v>6295</v>
      </c>
      <c r="L1762" s="81" t="s">
        <v>2392</v>
      </c>
      <c r="M1762" s="81" t="s">
        <v>6295</v>
      </c>
      <c r="N1762" s="81" t="s">
        <v>2231</v>
      </c>
      <c r="O1762" s="81" t="s">
        <v>2187</v>
      </c>
      <c r="P1762" s="81" t="s">
        <v>2187</v>
      </c>
      <c r="Q1762" s="81" t="s">
        <v>43</v>
      </c>
      <c r="R1762" s="81" t="s">
        <v>46</v>
      </c>
      <c r="S1762" s="81" t="s">
        <v>47</v>
      </c>
      <c r="T1762" s="81" t="s">
        <v>48</v>
      </c>
      <c r="U1762" s="81" t="s">
        <v>48</v>
      </c>
      <c r="V1762" s="81" t="s">
        <v>48</v>
      </c>
      <c r="W1762" s="81" t="s">
        <v>49</v>
      </c>
      <c r="X1762" s="81" t="s">
        <v>48</v>
      </c>
      <c r="Y1762" s="81" t="s">
        <v>48</v>
      </c>
    </row>
    <row r="1763" spans="1:25" x14ac:dyDescent="0.3">
      <c r="A1763" s="16">
        <v>7502009742828</v>
      </c>
      <c r="B1763" s="81" t="s">
        <v>43</v>
      </c>
      <c r="C1763" s="81" t="s">
        <v>2076</v>
      </c>
      <c r="D1763" s="81" t="s">
        <v>45</v>
      </c>
      <c r="E1763" s="81" t="s">
        <v>2227</v>
      </c>
      <c r="F1763" s="81" t="s">
        <v>2227</v>
      </c>
      <c r="G1763" s="81" t="s">
        <v>4104</v>
      </c>
      <c r="H1763" s="81" t="s">
        <v>2181</v>
      </c>
      <c r="I1763" s="81" t="s">
        <v>2185</v>
      </c>
      <c r="J1763" s="81" t="s">
        <v>2186</v>
      </c>
      <c r="K1763" s="81" t="s">
        <v>2185</v>
      </c>
      <c r="L1763" s="81" t="s">
        <v>2392</v>
      </c>
      <c r="M1763" s="81" t="s">
        <v>2185</v>
      </c>
      <c r="N1763" s="81" t="s">
        <v>2231</v>
      </c>
      <c r="O1763" s="81" t="s">
        <v>2187</v>
      </c>
      <c r="P1763" s="81" t="s">
        <v>2187</v>
      </c>
      <c r="Q1763" s="81" t="s">
        <v>43</v>
      </c>
      <c r="R1763" s="81" t="s">
        <v>46</v>
      </c>
      <c r="S1763" s="81" t="s">
        <v>47</v>
      </c>
      <c r="T1763" s="81" t="s">
        <v>48</v>
      </c>
      <c r="U1763" s="81" t="s">
        <v>48</v>
      </c>
      <c r="V1763" s="81" t="s">
        <v>48</v>
      </c>
      <c r="W1763" s="81" t="s">
        <v>49</v>
      </c>
      <c r="X1763" s="81" t="s">
        <v>48</v>
      </c>
      <c r="Y1763" s="81" t="s">
        <v>48</v>
      </c>
    </row>
    <row r="1764" spans="1:25" x14ac:dyDescent="0.3">
      <c r="A1764" s="16">
        <v>7502009740459</v>
      </c>
      <c r="B1764" s="81" t="s">
        <v>43</v>
      </c>
      <c r="C1764" s="81" t="s">
        <v>2077</v>
      </c>
      <c r="D1764" s="81" t="s">
        <v>45</v>
      </c>
      <c r="E1764" s="81" t="s">
        <v>2227</v>
      </c>
      <c r="F1764" s="81" t="s">
        <v>2227</v>
      </c>
      <c r="G1764" s="81" t="s">
        <v>3748</v>
      </c>
      <c r="H1764" s="81" t="s">
        <v>2270</v>
      </c>
      <c r="I1764" s="81" t="s">
        <v>6923</v>
      </c>
      <c r="J1764" s="81" t="s">
        <v>2186</v>
      </c>
      <c r="K1764" s="81" t="s">
        <v>6923</v>
      </c>
      <c r="L1764" s="81" t="s">
        <v>2392</v>
      </c>
      <c r="M1764" s="81" t="s">
        <v>6923</v>
      </c>
      <c r="N1764" s="81" t="s">
        <v>2231</v>
      </c>
      <c r="O1764" s="81" t="s">
        <v>2187</v>
      </c>
      <c r="P1764" s="81" t="s">
        <v>2187</v>
      </c>
      <c r="Q1764" s="81" t="s">
        <v>43</v>
      </c>
      <c r="R1764" s="81" t="s">
        <v>46</v>
      </c>
      <c r="S1764" s="81" t="s">
        <v>47</v>
      </c>
      <c r="T1764" s="81" t="s">
        <v>48</v>
      </c>
      <c r="U1764" s="81" t="s">
        <v>48</v>
      </c>
      <c r="V1764" s="81" t="s">
        <v>48</v>
      </c>
      <c r="W1764" s="81" t="s">
        <v>49</v>
      </c>
      <c r="X1764" s="81" t="s">
        <v>48</v>
      </c>
      <c r="Y1764" s="81" t="s">
        <v>48</v>
      </c>
    </row>
    <row r="1765" spans="1:25" x14ac:dyDescent="0.3">
      <c r="A1765" s="16">
        <v>7502227877722</v>
      </c>
      <c r="B1765" s="81" t="s">
        <v>43</v>
      </c>
      <c r="C1765" s="81" t="s">
        <v>2078</v>
      </c>
      <c r="D1765" s="81" t="s">
        <v>45</v>
      </c>
      <c r="E1765" s="81" t="s">
        <v>2227</v>
      </c>
      <c r="F1765" s="81" t="s">
        <v>2227</v>
      </c>
      <c r="G1765" s="81" t="s">
        <v>4105</v>
      </c>
      <c r="H1765" s="81" t="s">
        <v>2464</v>
      </c>
      <c r="I1765" s="81" t="s">
        <v>2460</v>
      </c>
      <c r="J1765" s="81" t="s">
        <v>2186</v>
      </c>
      <c r="K1765" s="81" t="s">
        <v>2462</v>
      </c>
      <c r="L1765" s="81" t="s">
        <v>2392</v>
      </c>
      <c r="M1765" s="81" t="s">
        <v>3223</v>
      </c>
      <c r="N1765" s="81" t="s">
        <v>2231</v>
      </c>
      <c r="O1765" s="81" t="s">
        <v>2187</v>
      </c>
      <c r="P1765" s="81" t="s">
        <v>2187</v>
      </c>
      <c r="Q1765" s="81" t="s">
        <v>43</v>
      </c>
      <c r="R1765" s="81" t="s">
        <v>51</v>
      </c>
      <c r="S1765" s="81" t="s">
        <v>81</v>
      </c>
      <c r="T1765" s="81" t="s">
        <v>49</v>
      </c>
      <c r="U1765" s="81" t="s">
        <v>48</v>
      </c>
      <c r="V1765" s="81" t="s">
        <v>48</v>
      </c>
      <c r="W1765" s="81" t="s">
        <v>49</v>
      </c>
      <c r="X1765" s="81" t="s">
        <v>48</v>
      </c>
      <c r="Y1765" s="81" t="s">
        <v>48</v>
      </c>
    </row>
    <row r="1766" spans="1:25" x14ac:dyDescent="0.3">
      <c r="A1766" s="16">
        <v>7502227876473</v>
      </c>
      <c r="B1766" s="81" t="s">
        <v>43</v>
      </c>
      <c r="C1766" s="81" t="s">
        <v>2079</v>
      </c>
      <c r="D1766" s="81" t="s">
        <v>45</v>
      </c>
      <c r="E1766" s="81" t="s">
        <v>2227</v>
      </c>
      <c r="F1766" s="81" t="s">
        <v>2227</v>
      </c>
      <c r="G1766" s="81" t="s">
        <v>4106</v>
      </c>
      <c r="H1766" s="81" t="s">
        <v>2243</v>
      </c>
      <c r="I1766" s="81" t="s">
        <v>6924</v>
      </c>
      <c r="J1766" s="81" t="s">
        <v>2186</v>
      </c>
      <c r="K1766" s="81" t="s">
        <v>6924</v>
      </c>
      <c r="L1766" s="81" t="s">
        <v>2392</v>
      </c>
      <c r="M1766" s="81" t="s">
        <v>6924</v>
      </c>
      <c r="N1766" s="81" t="s">
        <v>2231</v>
      </c>
      <c r="O1766" s="81" t="s">
        <v>2187</v>
      </c>
      <c r="P1766" s="81" t="s">
        <v>2187</v>
      </c>
      <c r="Q1766" s="81" t="s">
        <v>43</v>
      </c>
      <c r="R1766" s="81" t="s">
        <v>46</v>
      </c>
      <c r="S1766" s="81" t="s">
        <v>47</v>
      </c>
      <c r="T1766" s="81" t="s">
        <v>48</v>
      </c>
      <c r="U1766" s="81" t="s">
        <v>48</v>
      </c>
      <c r="V1766" s="81" t="s">
        <v>48</v>
      </c>
      <c r="W1766" s="81" t="s">
        <v>49</v>
      </c>
      <c r="X1766" s="81" t="s">
        <v>48</v>
      </c>
      <c r="Y1766" s="81" t="s">
        <v>48</v>
      </c>
    </row>
    <row r="1767" spans="1:25" x14ac:dyDescent="0.3">
      <c r="A1767" s="16">
        <v>7501109750184</v>
      </c>
      <c r="B1767" s="81" t="s">
        <v>43</v>
      </c>
      <c r="C1767" s="81" t="s">
        <v>2080</v>
      </c>
      <c r="D1767" s="81" t="s">
        <v>45</v>
      </c>
      <c r="E1767" s="81" t="s">
        <v>2227</v>
      </c>
      <c r="F1767" s="81" t="s">
        <v>2227</v>
      </c>
      <c r="G1767" s="81" t="s">
        <v>4107</v>
      </c>
      <c r="H1767" s="81" t="s">
        <v>2365</v>
      </c>
      <c r="I1767" s="81" t="s">
        <v>6925</v>
      </c>
      <c r="J1767" s="81" t="s">
        <v>2186</v>
      </c>
      <c r="K1767" s="81" t="s">
        <v>6925</v>
      </c>
      <c r="L1767" s="81" t="s">
        <v>2392</v>
      </c>
      <c r="M1767" s="81" t="s">
        <v>6925</v>
      </c>
      <c r="N1767" s="81" t="s">
        <v>2231</v>
      </c>
      <c r="O1767" s="81" t="s">
        <v>2187</v>
      </c>
      <c r="P1767" s="81" t="s">
        <v>2187</v>
      </c>
      <c r="Q1767" s="81" t="s">
        <v>43</v>
      </c>
      <c r="R1767" s="81" t="s">
        <v>46</v>
      </c>
      <c r="S1767" s="81" t="s">
        <v>47</v>
      </c>
      <c r="T1767" s="81" t="s">
        <v>48</v>
      </c>
      <c r="U1767" s="81" t="s">
        <v>48</v>
      </c>
      <c r="V1767" s="81" t="s">
        <v>48</v>
      </c>
      <c r="W1767" s="81" t="s">
        <v>49</v>
      </c>
      <c r="X1767" s="81" t="s">
        <v>48</v>
      </c>
      <c r="Y1767" s="81" t="s">
        <v>48</v>
      </c>
    </row>
    <row r="1768" spans="1:25" x14ac:dyDescent="0.3">
      <c r="A1768" s="16">
        <v>7502001165014</v>
      </c>
      <c r="B1768" s="81" t="s">
        <v>43</v>
      </c>
      <c r="C1768" s="81" t="s">
        <v>2081</v>
      </c>
      <c r="D1768" s="81" t="s">
        <v>45</v>
      </c>
      <c r="E1768" s="81" t="s">
        <v>2227</v>
      </c>
      <c r="F1768" s="81" t="s">
        <v>2227</v>
      </c>
      <c r="G1768" s="81" t="s">
        <v>4108</v>
      </c>
      <c r="H1768" s="81" t="s">
        <v>2278</v>
      </c>
      <c r="I1768" s="81" t="s">
        <v>6926</v>
      </c>
      <c r="J1768" s="81" t="s">
        <v>2186</v>
      </c>
      <c r="K1768" s="81" t="s">
        <v>6926</v>
      </c>
      <c r="L1768" s="81" t="s">
        <v>2392</v>
      </c>
      <c r="M1768" s="81" t="s">
        <v>6926</v>
      </c>
      <c r="N1768" s="81" t="s">
        <v>2231</v>
      </c>
      <c r="O1768" s="81" t="s">
        <v>2187</v>
      </c>
      <c r="P1768" s="81" t="s">
        <v>2187</v>
      </c>
      <c r="Q1768" s="81" t="s">
        <v>43</v>
      </c>
      <c r="R1768" s="81" t="s">
        <v>46</v>
      </c>
      <c r="S1768" s="81" t="s">
        <v>46</v>
      </c>
      <c r="T1768" s="81" t="s">
        <v>48</v>
      </c>
      <c r="U1768" s="81" t="s">
        <v>48</v>
      </c>
      <c r="V1768" s="81" t="s">
        <v>48</v>
      </c>
      <c r="W1768" s="81" t="s">
        <v>49</v>
      </c>
      <c r="X1768" s="81" t="s">
        <v>48</v>
      </c>
      <c r="Y1768" s="81" t="s">
        <v>48</v>
      </c>
    </row>
    <row r="1769" spans="1:25" x14ac:dyDescent="0.3">
      <c r="A1769" s="16">
        <v>7501384542245</v>
      </c>
      <c r="B1769" s="81" t="s">
        <v>43</v>
      </c>
      <c r="C1769" s="81" t="s">
        <v>2082</v>
      </c>
      <c r="D1769" s="81" t="s">
        <v>45</v>
      </c>
      <c r="E1769" s="81" t="s">
        <v>2227</v>
      </c>
      <c r="F1769" s="81" t="s">
        <v>2227</v>
      </c>
      <c r="G1769" s="81" t="s">
        <v>4109</v>
      </c>
      <c r="H1769" s="81" t="s">
        <v>4110</v>
      </c>
      <c r="I1769" s="81" t="s">
        <v>6927</v>
      </c>
      <c r="J1769" s="81" t="s">
        <v>2186</v>
      </c>
      <c r="K1769" s="81" t="s">
        <v>6927</v>
      </c>
      <c r="L1769" s="81" t="s">
        <v>2392</v>
      </c>
      <c r="M1769" s="81" t="s">
        <v>6927</v>
      </c>
      <c r="N1769" s="81" t="s">
        <v>2231</v>
      </c>
      <c r="O1769" s="81" t="s">
        <v>2187</v>
      </c>
      <c r="P1769" s="81" t="s">
        <v>2187</v>
      </c>
      <c r="Q1769" s="81" t="s">
        <v>43</v>
      </c>
      <c r="R1769" s="81" t="s">
        <v>203</v>
      </c>
      <c r="S1769" s="81" t="s">
        <v>203</v>
      </c>
      <c r="T1769" s="81" t="s">
        <v>48</v>
      </c>
      <c r="U1769" s="81" t="s">
        <v>48</v>
      </c>
      <c r="V1769" s="81" t="s">
        <v>48</v>
      </c>
      <c r="W1769" s="81" t="s">
        <v>49</v>
      </c>
      <c r="X1769" s="81" t="s">
        <v>48</v>
      </c>
      <c r="Y1769" s="81" t="s">
        <v>48</v>
      </c>
    </row>
    <row r="1770" spans="1:25" x14ac:dyDescent="0.3">
      <c r="A1770" s="16">
        <v>7501537103491</v>
      </c>
      <c r="B1770" s="81" t="s">
        <v>43</v>
      </c>
      <c r="C1770" s="81" t="s">
        <v>2083</v>
      </c>
      <c r="D1770" s="81" t="s">
        <v>45</v>
      </c>
      <c r="E1770" s="81" t="s">
        <v>2227</v>
      </c>
      <c r="F1770" s="81" t="s">
        <v>2227</v>
      </c>
      <c r="G1770" s="81" t="s">
        <v>4111</v>
      </c>
      <c r="H1770" s="81" t="s">
        <v>2220</v>
      </c>
      <c r="I1770" s="81" t="s">
        <v>6928</v>
      </c>
      <c r="J1770" s="81" t="s">
        <v>2186</v>
      </c>
      <c r="K1770" s="81" t="s">
        <v>6928</v>
      </c>
      <c r="L1770" s="81" t="s">
        <v>2392</v>
      </c>
      <c r="M1770" s="81" t="s">
        <v>6928</v>
      </c>
      <c r="N1770" s="81" t="s">
        <v>2231</v>
      </c>
      <c r="O1770" s="81" t="s">
        <v>2187</v>
      </c>
      <c r="P1770" s="81" t="s">
        <v>2187</v>
      </c>
      <c r="Q1770" s="81" t="s">
        <v>43</v>
      </c>
      <c r="R1770" s="81" t="s">
        <v>203</v>
      </c>
      <c r="S1770" s="81" t="s">
        <v>203</v>
      </c>
      <c r="T1770" s="81" t="s">
        <v>48</v>
      </c>
      <c r="U1770" s="81" t="s">
        <v>48</v>
      </c>
      <c r="V1770" s="81" t="s">
        <v>48</v>
      </c>
      <c r="W1770" s="81" t="s">
        <v>49</v>
      </c>
      <c r="X1770" s="81" t="s">
        <v>48</v>
      </c>
      <c r="Y1770" s="81" t="s">
        <v>48</v>
      </c>
    </row>
    <row r="1771" spans="1:25" x14ac:dyDescent="0.3">
      <c r="A1771" s="16">
        <v>7502216803169</v>
      </c>
      <c r="B1771" s="81" t="s">
        <v>43</v>
      </c>
      <c r="C1771" s="81" t="s">
        <v>2084</v>
      </c>
      <c r="D1771" s="81" t="s">
        <v>45</v>
      </c>
      <c r="E1771" s="81" t="s">
        <v>2227</v>
      </c>
      <c r="F1771" s="81" t="s">
        <v>2227</v>
      </c>
      <c r="G1771" s="81" t="s">
        <v>4308</v>
      </c>
      <c r="H1771" s="81" t="s">
        <v>2993</v>
      </c>
      <c r="I1771" s="81" t="s">
        <v>6929</v>
      </c>
      <c r="J1771" s="81" t="s">
        <v>2186</v>
      </c>
      <c r="K1771" s="81" t="s">
        <v>6929</v>
      </c>
      <c r="L1771" s="81" t="s">
        <v>2392</v>
      </c>
      <c r="M1771" s="81" t="s">
        <v>6929</v>
      </c>
      <c r="N1771" s="81" t="s">
        <v>2231</v>
      </c>
      <c r="O1771" s="81" t="s">
        <v>2187</v>
      </c>
      <c r="P1771" s="81" t="s">
        <v>2187</v>
      </c>
      <c r="Q1771" s="81" t="s">
        <v>43</v>
      </c>
      <c r="R1771" s="81" t="s">
        <v>46</v>
      </c>
      <c r="S1771" s="81" t="s">
        <v>46</v>
      </c>
      <c r="T1771" s="81" t="s">
        <v>48</v>
      </c>
      <c r="U1771" s="81" t="s">
        <v>48</v>
      </c>
      <c r="V1771" s="81" t="s">
        <v>48</v>
      </c>
      <c r="W1771" s="81" t="s">
        <v>49</v>
      </c>
      <c r="X1771" s="81" t="s">
        <v>48</v>
      </c>
      <c r="Y1771" s="81" t="s">
        <v>48</v>
      </c>
    </row>
    <row r="1772" spans="1:25" x14ac:dyDescent="0.3">
      <c r="A1772" s="16">
        <v>7501075721744</v>
      </c>
      <c r="B1772" s="81" t="s">
        <v>43</v>
      </c>
      <c r="C1772" s="81" t="s">
        <v>2085</v>
      </c>
      <c r="D1772" s="81" t="s">
        <v>45</v>
      </c>
      <c r="E1772" s="81" t="s">
        <v>2227</v>
      </c>
      <c r="F1772" s="81" t="s">
        <v>2227</v>
      </c>
      <c r="G1772" s="81" t="s">
        <v>4112</v>
      </c>
      <c r="H1772" s="81" t="s">
        <v>2960</v>
      </c>
      <c r="I1772" s="81" t="s">
        <v>2670</v>
      </c>
      <c r="J1772" s="81" t="s">
        <v>2186</v>
      </c>
      <c r="K1772" s="81" t="s">
        <v>2670</v>
      </c>
      <c r="L1772" s="81" t="s">
        <v>2392</v>
      </c>
      <c r="M1772" s="81" t="s">
        <v>2670</v>
      </c>
      <c r="N1772" s="81" t="s">
        <v>2231</v>
      </c>
      <c r="O1772" s="81" t="s">
        <v>2187</v>
      </c>
      <c r="P1772" s="81" t="s">
        <v>2187</v>
      </c>
      <c r="Q1772" s="81" t="s">
        <v>43</v>
      </c>
      <c r="R1772" s="81" t="s">
        <v>46</v>
      </c>
      <c r="S1772" s="81" t="s">
        <v>47</v>
      </c>
      <c r="T1772" s="81" t="s">
        <v>48</v>
      </c>
      <c r="U1772" s="81" t="s">
        <v>48</v>
      </c>
      <c r="V1772" s="81" t="s">
        <v>48</v>
      </c>
      <c r="W1772" s="81" t="s">
        <v>49</v>
      </c>
      <c r="X1772" s="81" t="s">
        <v>48</v>
      </c>
      <c r="Y1772" s="81" t="s">
        <v>48</v>
      </c>
    </row>
    <row r="1773" spans="1:25" x14ac:dyDescent="0.3">
      <c r="A1773" s="16">
        <v>7502216790964</v>
      </c>
      <c r="B1773" s="81" t="s">
        <v>43</v>
      </c>
      <c r="C1773" s="81" t="s">
        <v>2086</v>
      </c>
      <c r="D1773" s="81" t="s">
        <v>45</v>
      </c>
      <c r="E1773" s="81" t="s">
        <v>2227</v>
      </c>
      <c r="F1773" s="81" t="s">
        <v>2227</v>
      </c>
      <c r="G1773" s="81" t="s">
        <v>4113</v>
      </c>
      <c r="H1773" s="81" t="s">
        <v>3578</v>
      </c>
      <c r="I1773" s="81" t="s">
        <v>3735</v>
      </c>
      <c r="J1773" s="81" t="s">
        <v>2186</v>
      </c>
      <c r="K1773" s="81" t="s">
        <v>2804</v>
      </c>
      <c r="L1773" s="81" t="s">
        <v>2392</v>
      </c>
      <c r="M1773" s="81" t="s">
        <v>4114</v>
      </c>
      <c r="N1773" s="81" t="s">
        <v>2231</v>
      </c>
      <c r="O1773" s="81" t="s">
        <v>2187</v>
      </c>
      <c r="P1773" s="81" t="s">
        <v>2187</v>
      </c>
      <c r="Q1773" s="81" t="s">
        <v>43</v>
      </c>
      <c r="R1773" s="81" t="s">
        <v>203</v>
      </c>
      <c r="S1773" s="81" t="s">
        <v>203</v>
      </c>
      <c r="T1773" s="81" t="s">
        <v>48</v>
      </c>
      <c r="U1773" s="81" t="s">
        <v>48</v>
      </c>
      <c r="V1773" s="81" t="s">
        <v>48</v>
      </c>
      <c r="W1773" s="81" t="s">
        <v>49</v>
      </c>
      <c r="X1773" s="81" t="s">
        <v>48</v>
      </c>
      <c r="Y1773" s="81" t="s">
        <v>48</v>
      </c>
    </row>
    <row r="1774" spans="1:25" x14ac:dyDescent="0.3">
      <c r="A1774" s="16">
        <v>7506494600328</v>
      </c>
      <c r="B1774" s="81" t="s">
        <v>43</v>
      </c>
      <c r="C1774" s="81" t="s">
        <v>238</v>
      </c>
      <c r="D1774" s="81" t="s">
        <v>45</v>
      </c>
      <c r="E1774" s="81" t="s">
        <v>2227</v>
      </c>
      <c r="F1774" s="81" t="s">
        <v>2227</v>
      </c>
      <c r="G1774" s="81" t="s">
        <v>2470</v>
      </c>
      <c r="H1774" s="81" t="s">
        <v>2243</v>
      </c>
      <c r="I1774" s="81" t="s">
        <v>5602</v>
      </c>
      <c r="J1774" s="81" t="s">
        <v>2186</v>
      </c>
      <c r="K1774" s="81" t="s">
        <v>5602</v>
      </c>
      <c r="L1774" s="81" t="s">
        <v>2392</v>
      </c>
      <c r="M1774" s="81" t="s">
        <v>5602</v>
      </c>
      <c r="N1774" s="81" t="s">
        <v>2231</v>
      </c>
      <c r="O1774" s="81" t="s">
        <v>2187</v>
      </c>
      <c r="P1774" s="81" t="s">
        <v>2187</v>
      </c>
      <c r="Q1774" s="81" t="s">
        <v>43</v>
      </c>
      <c r="R1774" s="81" t="s">
        <v>203</v>
      </c>
      <c r="S1774" s="81" t="s">
        <v>203</v>
      </c>
      <c r="T1774" s="81" t="s">
        <v>48</v>
      </c>
      <c r="U1774" s="81" t="s">
        <v>48</v>
      </c>
      <c r="V1774" s="81" t="s">
        <v>48</v>
      </c>
      <c r="W1774" s="81" t="s">
        <v>49</v>
      </c>
      <c r="X1774" s="81" t="s">
        <v>48</v>
      </c>
      <c r="Y1774" s="81" t="s">
        <v>48</v>
      </c>
    </row>
    <row r="1775" spans="1:25" x14ac:dyDescent="0.3">
      <c r="A1775" s="16">
        <v>7501478317421</v>
      </c>
      <c r="B1775" s="81" t="s">
        <v>43</v>
      </c>
      <c r="C1775" s="81" t="s">
        <v>2087</v>
      </c>
      <c r="D1775" s="81" t="s">
        <v>45</v>
      </c>
      <c r="E1775" s="81" t="s">
        <v>2227</v>
      </c>
      <c r="F1775" s="81" t="s">
        <v>2227</v>
      </c>
      <c r="G1775" s="81" t="s">
        <v>5420</v>
      </c>
      <c r="H1775" s="81" t="s">
        <v>2416</v>
      </c>
      <c r="I1775" s="81" t="s">
        <v>6930</v>
      </c>
      <c r="J1775" s="81" t="s">
        <v>2186</v>
      </c>
      <c r="K1775" s="81" t="s">
        <v>6930</v>
      </c>
      <c r="L1775" s="81" t="s">
        <v>2392</v>
      </c>
      <c r="M1775" s="81" t="s">
        <v>6930</v>
      </c>
      <c r="N1775" s="81" t="s">
        <v>2231</v>
      </c>
      <c r="O1775" s="81" t="s">
        <v>2187</v>
      </c>
      <c r="P1775" s="81" t="s">
        <v>2187</v>
      </c>
      <c r="Q1775" s="81" t="s">
        <v>43</v>
      </c>
      <c r="R1775" s="81" t="s">
        <v>46</v>
      </c>
      <c r="S1775" s="81" t="s">
        <v>164</v>
      </c>
      <c r="T1775" s="81" t="s">
        <v>48</v>
      </c>
      <c r="U1775" s="81" t="s">
        <v>48</v>
      </c>
      <c r="V1775" s="81" t="s">
        <v>48</v>
      </c>
      <c r="W1775" s="81" t="s">
        <v>49</v>
      </c>
      <c r="X1775" s="81" t="s">
        <v>48</v>
      </c>
      <c r="Y1775" s="81" t="s">
        <v>48</v>
      </c>
    </row>
    <row r="1776" spans="1:25" x14ac:dyDescent="0.3">
      <c r="A1776" s="16">
        <v>7502227875452</v>
      </c>
      <c r="B1776" s="81" t="s">
        <v>43</v>
      </c>
      <c r="C1776" s="81" t="s">
        <v>2088</v>
      </c>
      <c r="D1776" s="81" t="s">
        <v>45</v>
      </c>
      <c r="E1776" s="81" t="s">
        <v>2227</v>
      </c>
      <c r="F1776" s="81" t="s">
        <v>2227</v>
      </c>
      <c r="G1776" s="81" t="s">
        <v>4115</v>
      </c>
      <c r="H1776" s="81" t="s">
        <v>6931</v>
      </c>
      <c r="I1776" s="81" t="s">
        <v>2232</v>
      </c>
      <c r="J1776" s="81" t="s">
        <v>2186</v>
      </c>
      <c r="K1776" s="81" t="s">
        <v>2232</v>
      </c>
      <c r="L1776" s="81" t="s">
        <v>2392</v>
      </c>
      <c r="M1776" s="81" t="s">
        <v>2232</v>
      </c>
      <c r="N1776" s="81" t="s">
        <v>2231</v>
      </c>
      <c r="O1776" s="81" t="s">
        <v>2187</v>
      </c>
      <c r="P1776" s="81" t="s">
        <v>2187</v>
      </c>
      <c r="Q1776" s="81" t="s">
        <v>43</v>
      </c>
      <c r="R1776" s="81" t="s">
        <v>46</v>
      </c>
      <c r="S1776" s="81" t="s">
        <v>46</v>
      </c>
      <c r="T1776" s="81" t="s">
        <v>48</v>
      </c>
      <c r="U1776" s="81" t="s">
        <v>48</v>
      </c>
      <c r="V1776" s="81" t="s">
        <v>48</v>
      </c>
      <c r="W1776" s="81" t="s">
        <v>49</v>
      </c>
      <c r="X1776" s="81" t="s">
        <v>48</v>
      </c>
      <c r="Y1776" s="81" t="s">
        <v>48</v>
      </c>
    </row>
    <row r="1777" spans="1:25" x14ac:dyDescent="0.3">
      <c r="A1777" s="16">
        <v>7502208894922</v>
      </c>
      <c r="B1777" s="81" t="s">
        <v>43</v>
      </c>
      <c r="C1777" s="81" t="s">
        <v>2089</v>
      </c>
      <c r="D1777" s="81" t="s">
        <v>45</v>
      </c>
      <c r="E1777" s="81" t="s">
        <v>2227</v>
      </c>
      <c r="F1777" s="81" t="s">
        <v>2227</v>
      </c>
      <c r="G1777" s="81" t="s">
        <v>2231</v>
      </c>
      <c r="H1777" s="81" t="s">
        <v>2343</v>
      </c>
      <c r="I1777" s="81" t="s">
        <v>5258</v>
      </c>
      <c r="J1777" s="81" t="s">
        <v>2186</v>
      </c>
      <c r="K1777" s="81" t="s">
        <v>5258</v>
      </c>
      <c r="L1777" s="81" t="s">
        <v>2392</v>
      </c>
      <c r="M1777" s="81" t="s">
        <v>5258</v>
      </c>
      <c r="N1777" s="81" t="s">
        <v>2231</v>
      </c>
      <c r="O1777" s="81" t="s">
        <v>2187</v>
      </c>
      <c r="P1777" s="81" t="s">
        <v>2187</v>
      </c>
      <c r="Q1777" s="81" t="s">
        <v>43</v>
      </c>
      <c r="R1777" s="81" t="s">
        <v>46</v>
      </c>
      <c r="S1777" s="81" t="s">
        <v>47</v>
      </c>
      <c r="T1777" s="81" t="s">
        <v>48</v>
      </c>
      <c r="U1777" s="81" t="s">
        <v>48</v>
      </c>
      <c r="V1777" s="81" t="s">
        <v>48</v>
      </c>
      <c r="W1777" s="81" t="s">
        <v>49</v>
      </c>
      <c r="X1777" s="81" t="s">
        <v>48</v>
      </c>
      <c r="Y1777" s="81" t="s">
        <v>48</v>
      </c>
    </row>
    <row r="1778" spans="1:25" x14ac:dyDescent="0.3">
      <c r="A1778" s="16">
        <v>7501075727203</v>
      </c>
      <c r="B1778" s="81" t="s">
        <v>43</v>
      </c>
      <c r="C1778" s="81" t="s">
        <v>2090</v>
      </c>
      <c r="D1778" s="81" t="s">
        <v>45</v>
      </c>
      <c r="E1778" s="81" t="s">
        <v>2227</v>
      </c>
      <c r="F1778" s="81" t="s">
        <v>2227</v>
      </c>
      <c r="G1778" s="81" t="s">
        <v>4117</v>
      </c>
      <c r="H1778" s="81" t="s">
        <v>6932</v>
      </c>
      <c r="I1778" s="81" t="s">
        <v>6933</v>
      </c>
      <c r="J1778" s="81" t="s">
        <v>2186</v>
      </c>
      <c r="K1778" s="81" t="s">
        <v>6933</v>
      </c>
      <c r="L1778" s="81" t="s">
        <v>2392</v>
      </c>
      <c r="M1778" s="81" t="s">
        <v>6933</v>
      </c>
      <c r="N1778" s="81" t="s">
        <v>2231</v>
      </c>
      <c r="O1778" s="81" t="s">
        <v>2187</v>
      </c>
      <c r="P1778" s="81" t="s">
        <v>2187</v>
      </c>
      <c r="Q1778" s="81" t="s">
        <v>43</v>
      </c>
      <c r="R1778" s="81" t="s">
        <v>203</v>
      </c>
      <c r="S1778" s="81" t="s">
        <v>203</v>
      </c>
      <c r="T1778" s="81" t="s">
        <v>48</v>
      </c>
      <c r="U1778" s="81" t="s">
        <v>48</v>
      </c>
      <c r="V1778" s="81" t="s">
        <v>48</v>
      </c>
      <c r="W1778" s="81" t="s">
        <v>49</v>
      </c>
      <c r="X1778" s="81" t="s">
        <v>48</v>
      </c>
      <c r="Y1778" s="81" t="s">
        <v>48</v>
      </c>
    </row>
    <row r="1779" spans="1:25" x14ac:dyDescent="0.3">
      <c r="A1779" s="16">
        <v>7501075727425</v>
      </c>
      <c r="B1779" s="81" t="s">
        <v>43</v>
      </c>
      <c r="C1779" s="81" t="s">
        <v>2091</v>
      </c>
      <c r="D1779" s="81" t="s">
        <v>45</v>
      </c>
      <c r="E1779" s="81" t="s">
        <v>2227</v>
      </c>
      <c r="F1779" s="81" t="s">
        <v>2227</v>
      </c>
      <c r="G1779" s="81" t="s">
        <v>4657</v>
      </c>
      <c r="H1779" s="81" t="s">
        <v>2183</v>
      </c>
      <c r="I1779" s="81" t="s">
        <v>6934</v>
      </c>
      <c r="J1779" s="81" t="s">
        <v>2186</v>
      </c>
      <c r="K1779" s="81" t="s">
        <v>6934</v>
      </c>
      <c r="L1779" s="81" t="s">
        <v>2392</v>
      </c>
      <c r="M1779" s="81" t="s">
        <v>6934</v>
      </c>
      <c r="N1779" s="81" t="s">
        <v>2231</v>
      </c>
      <c r="O1779" s="81" t="s">
        <v>2187</v>
      </c>
      <c r="P1779" s="81" t="s">
        <v>2187</v>
      </c>
      <c r="Q1779" s="81" t="s">
        <v>43</v>
      </c>
      <c r="R1779" s="81" t="s">
        <v>46</v>
      </c>
      <c r="S1779" s="81" t="s">
        <v>47</v>
      </c>
      <c r="T1779" s="81" t="s">
        <v>48</v>
      </c>
      <c r="U1779" s="81" t="s">
        <v>48</v>
      </c>
      <c r="V1779" s="81" t="s">
        <v>48</v>
      </c>
      <c r="W1779" s="81" t="s">
        <v>49</v>
      </c>
      <c r="X1779" s="81" t="s">
        <v>48</v>
      </c>
      <c r="Y1779" s="81" t="s">
        <v>48</v>
      </c>
    </row>
    <row r="1780" spans="1:25" x14ac:dyDescent="0.3">
      <c r="A1780" s="16">
        <v>7502224580069</v>
      </c>
      <c r="B1780" s="81" t="s">
        <v>43</v>
      </c>
      <c r="C1780" s="81" t="s">
        <v>2175</v>
      </c>
      <c r="D1780" s="81" t="s">
        <v>45</v>
      </c>
      <c r="E1780" s="81" t="s">
        <v>2227</v>
      </c>
      <c r="F1780" s="81" t="s">
        <v>2227</v>
      </c>
      <c r="G1780" s="81" t="s">
        <v>4116</v>
      </c>
      <c r="H1780" s="81" t="s">
        <v>3155</v>
      </c>
      <c r="I1780" s="81" t="s">
        <v>6935</v>
      </c>
      <c r="J1780" s="81" t="s">
        <v>2186</v>
      </c>
      <c r="K1780" s="81" t="s">
        <v>6935</v>
      </c>
      <c r="L1780" s="81" t="s">
        <v>2392</v>
      </c>
      <c r="M1780" s="81" t="s">
        <v>6935</v>
      </c>
      <c r="N1780" s="81" t="s">
        <v>2231</v>
      </c>
      <c r="O1780" s="81" t="s">
        <v>2187</v>
      </c>
      <c r="P1780" s="81" t="s">
        <v>2187</v>
      </c>
      <c r="Q1780" s="81" t="s">
        <v>43</v>
      </c>
      <c r="R1780" s="81" t="s">
        <v>46</v>
      </c>
      <c r="S1780" s="81" t="s">
        <v>47</v>
      </c>
      <c r="T1780" s="81" t="s">
        <v>48</v>
      </c>
      <c r="U1780" s="81" t="s">
        <v>48</v>
      </c>
      <c r="V1780" s="81" t="s">
        <v>48</v>
      </c>
      <c r="W1780" s="81" t="s">
        <v>49</v>
      </c>
      <c r="X1780" s="81" t="s">
        <v>48</v>
      </c>
      <c r="Y1780" s="81" t="s">
        <v>48</v>
      </c>
    </row>
    <row r="1781" spans="1:25" x14ac:dyDescent="0.3">
      <c r="A1781" s="16">
        <v>7501075727227</v>
      </c>
      <c r="B1781" s="81" t="s">
        <v>43</v>
      </c>
      <c r="C1781" s="81" t="s">
        <v>2176</v>
      </c>
      <c r="D1781" s="81" t="s">
        <v>45</v>
      </c>
      <c r="E1781" s="81" t="s">
        <v>2227</v>
      </c>
      <c r="F1781" s="81" t="s">
        <v>2227</v>
      </c>
      <c r="G1781" s="81" t="s">
        <v>5421</v>
      </c>
      <c r="H1781" s="81" t="s">
        <v>2377</v>
      </c>
      <c r="I1781" s="81" t="s">
        <v>6936</v>
      </c>
      <c r="J1781" s="81" t="s">
        <v>2186</v>
      </c>
      <c r="K1781" s="81" t="s">
        <v>6936</v>
      </c>
      <c r="L1781" s="81" t="s">
        <v>2392</v>
      </c>
      <c r="M1781" s="81" t="s">
        <v>6936</v>
      </c>
      <c r="N1781" s="81" t="s">
        <v>2231</v>
      </c>
      <c r="O1781" s="81" t="s">
        <v>2187</v>
      </c>
      <c r="P1781" s="81" t="s">
        <v>2187</v>
      </c>
      <c r="Q1781" s="81" t="s">
        <v>43</v>
      </c>
      <c r="R1781" s="81" t="s">
        <v>46</v>
      </c>
      <c r="S1781" s="81" t="s">
        <v>46</v>
      </c>
      <c r="T1781" s="81" t="s">
        <v>48</v>
      </c>
      <c r="U1781" s="81" t="s">
        <v>48</v>
      </c>
      <c r="V1781" s="81" t="s">
        <v>48</v>
      </c>
      <c r="W1781" s="81" t="s">
        <v>49</v>
      </c>
      <c r="X1781" s="81" t="s">
        <v>48</v>
      </c>
      <c r="Y1781" s="81" t="s">
        <v>48</v>
      </c>
    </row>
    <row r="1782" spans="1:25" x14ac:dyDescent="0.3">
      <c r="A1782" s="16">
        <v>7501075727210</v>
      </c>
      <c r="B1782" s="81" t="s">
        <v>43</v>
      </c>
      <c r="C1782" s="81" t="s">
        <v>2177</v>
      </c>
      <c r="D1782" s="81" t="s">
        <v>45</v>
      </c>
      <c r="E1782" s="81" t="s">
        <v>2227</v>
      </c>
      <c r="F1782" s="81" t="s">
        <v>2227</v>
      </c>
      <c r="G1782" s="81" t="s">
        <v>5421</v>
      </c>
      <c r="H1782" s="81" t="s">
        <v>2377</v>
      </c>
      <c r="I1782" s="81" t="s">
        <v>6937</v>
      </c>
      <c r="J1782" s="81" t="s">
        <v>2186</v>
      </c>
      <c r="K1782" s="81" t="s">
        <v>6937</v>
      </c>
      <c r="L1782" s="81" t="s">
        <v>2392</v>
      </c>
      <c r="M1782" s="81" t="s">
        <v>6937</v>
      </c>
      <c r="N1782" s="81" t="s">
        <v>2231</v>
      </c>
      <c r="O1782" s="81" t="s">
        <v>2187</v>
      </c>
      <c r="P1782" s="81" t="s">
        <v>2187</v>
      </c>
      <c r="Q1782" s="81" t="s">
        <v>43</v>
      </c>
      <c r="R1782" s="81" t="s">
        <v>46</v>
      </c>
      <c r="S1782" s="81" t="s">
        <v>46</v>
      </c>
      <c r="T1782" s="81" t="s">
        <v>48</v>
      </c>
      <c r="U1782" s="81" t="s">
        <v>48</v>
      </c>
      <c r="V1782" s="81" t="s">
        <v>48</v>
      </c>
      <c r="W1782" s="81" t="s">
        <v>49</v>
      </c>
      <c r="X1782" s="81" t="s">
        <v>48</v>
      </c>
      <c r="Y1782" s="81" t="s">
        <v>48</v>
      </c>
    </row>
    <row r="1783" spans="1:25" x14ac:dyDescent="0.3">
      <c r="A1783" s="16">
        <v>7501075727234</v>
      </c>
      <c r="B1783" s="81" t="s">
        <v>43</v>
      </c>
      <c r="C1783" s="81" t="s">
        <v>2178</v>
      </c>
      <c r="D1783" s="81" t="s">
        <v>45</v>
      </c>
      <c r="E1783" s="81" t="s">
        <v>2227</v>
      </c>
      <c r="F1783" s="81" t="s">
        <v>2227</v>
      </c>
      <c r="G1783" s="81" t="s">
        <v>5421</v>
      </c>
      <c r="H1783" s="81" t="s">
        <v>5299</v>
      </c>
      <c r="I1783" s="81" t="s">
        <v>4618</v>
      </c>
      <c r="J1783" s="81" t="s">
        <v>2186</v>
      </c>
      <c r="K1783" s="81" t="s">
        <v>5300</v>
      </c>
      <c r="L1783" s="81" t="s">
        <v>2392</v>
      </c>
      <c r="M1783" s="81" t="s">
        <v>5301</v>
      </c>
      <c r="N1783" s="81" t="s">
        <v>2231</v>
      </c>
      <c r="O1783" s="81" t="s">
        <v>2187</v>
      </c>
      <c r="P1783" s="81" t="s">
        <v>2187</v>
      </c>
      <c r="Q1783" s="81" t="s">
        <v>43</v>
      </c>
      <c r="R1783" s="81" t="s">
        <v>46</v>
      </c>
      <c r="S1783" s="81" t="s">
        <v>46</v>
      </c>
      <c r="T1783" s="81" t="s">
        <v>48</v>
      </c>
      <c r="U1783" s="81" t="s">
        <v>48</v>
      </c>
      <c r="V1783" s="81" t="s">
        <v>48</v>
      </c>
      <c r="W1783" s="81" t="s">
        <v>49</v>
      </c>
      <c r="X1783" s="81" t="s">
        <v>48</v>
      </c>
      <c r="Y1783" s="81" t="s">
        <v>48</v>
      </c>
    </row>
    <row r="1784" spans="1:25" x14ac:dyDescent="0.3">
      <c r="A1784" s="16">
        <v>7501065026439</v>
      </c>
      <c r="B1784" s="81" t="s">
        <v>43</v>
      </c>
      <c r="C1784" s="81" t="s">
        <v>4468</v>
      </c>
      <c r="D1784" s="81" t="s">
        <v>45</v>
      </c>
      <c r="E1784" s="81" t="s">
        <v>2227</v>
      </c>
      <c r="F1784" s="81" t="s">
        <v>2227</v>
      </c>
      <c r="G1784" s="81" t="s">
        <v>3405</v>
      </c>
      <c r="H1784" s="81" t="s">
        <v>2559</v>
      </c>
      <c r="I1784" s="81" t="s">
        <v>6938</v>
      </c>
      <c r="J1784" s="81" t="s">
        <v>2186</v>
      </c>
      <c r="K1784" s="81" t="s">
        <v>6938</v>
      </c>
      <c r="L1784" s="81" t="s">
        <v>2392</v>
      </c>
      <c r="M1784" s="81" t="s">
        <v>6938</v>
      </c>
      <c r="N1784" s="81" t="s">
        <v>2231</v>
      </c>
      <c r="O1784" s="81" t="s">
        <v>2187</v>
      </c>
      <c r="P1784" s="81" t="s">
        <v>2187</v>
      </c>
      <c r="Q1784" s="81" t="s">
        <v>43</v>
      </c>
      <c r="R1784" s="81" t="s">
        <v>46</v>
      </c>
      <c r="S1784" s="81" t="s">
        <v>46</v>
      </c>
      <c r="T1784" s="81" t="s">
        <v>48</v>
      </c>
      <c r="U1784" s="81" t="s">
        <v>48</v>
      </c>
      <c r="V1784" s="81" t="s">
        <v>48</v>
      </c>
      <c r="W1784" s="81" t="s">
        <v>49</v>
      </c>
      <c r="X1784" s="81" t="s">
        <v>48</v>
      </c>
      <c r="Y1784" s="81" t="s">
        <v>48</v>
      </c>
    </row>
    <row r="1785" spans="1:25" x14ac:dyDescent="0.3">
      <c r="A1785" s="16">
        <v>7502216807945</v>
      </c>
      <c r="B1785" s="81" t="s">
        <v>43</v>
      </c>
      <c r="C1785" s="81" t="s">
        <v>4118</v>
      </c>
      <c r="D1785" s="81" t="s">
        <v>45</v>
      </c>
      <c r="E1785" s="81" t="s">
        <v>2227</v>
      </c>
      <c r="F1785" s="81" t="s">
        <v>2227</v>
      </c>
      <c r="G1785" s="81" t="s">
        <v>5445</v>
      </c>
      <c r="H1785" s="81" t="s">
        <v>2416</v>
      </c>
      <c r="I1785" s="81" t="s">
        <v>2436</v>
      </c>
      <c r="J1785" s="81" t="s">
        <v>2186</v>
      </c>
      <c r="K1785" s="81" t="s">
        <v>2440</v>
      </c>
      <c r="L1785" s="81" t="s">
        <v>2392</v>
      </c>
      <c r="M1785" s="81" t="s">
        <v>2691</v>
      </c>
      <c r="N1785" s="81" t="s">
        <v>2231</v>
      </c>
      <c r="O1785" s="81" t="s">
        <v>2187</v>
      </c>
      <c r="P1785" s="81" t="s">
        <v>2187</v>
      </c>
      <c r="Q1785" s="81" t="s">
        <v>43</v>
      </c>
      <c r="R1785" s="81" t="s">
        <v>203</v>
      </c>
      <c r="S1785" s="81" t="s">
        <v>203</v>
      </c>
      <c r="T1785" s="81" t="s">
        <v>48</v>
      </c>
      <c r="U1785" s="81" t="s">
        <v>48</v>
      </c>
      <c r="V1785" s="81" t="s">
        <v>48</v>
      </c>
      <c r="W1785" s="81" t="s">
        <v>49</v>
      </c>
      <c r="X1785" s="81" t="s">
        <v>48</v>
      </c>
      <c r="Y1785" s="81" t="s">
        <v>48</v>
      </c>
    </row>
    <row r="1786" spans="1:25" x14ac:dyDescent="0.3">
      <c r="A1786" s="16">
        <v>7502009746383</v>
      </c>
      <c r="B1786" s="81" t="s">
        <v>43</v>
      </c>
      <c r="C1786" s="81" t="s">
        <v>4119</v>
      </c>
      <c r="D1786" s="81" t="s">
        <v>45</v>
      </c>
      <c r="E1786" s="81" t="s">
        <v>2227</v>
      </c>
      <c r="F1786" s="81" t="s">
        <v>2227</v>
      </c>
      <c r="G1786" s="81" t="s">
        <v>3517</v>
      </c>
      <c r="H1786" s="81" t="s">
        <v>2269</v>
      </c>
      <c r="I1786" s="81" t="s">
        <v>6939</v>
      </c>
      <c r="J1786" s="81" t="s">
        <v>2186</v>
      </c>
      <c r="K1786" s="81" t="s">
        <v>6939</v>
      </c>
      <c r="L1786" s="81" t="s">
        <v>2392</v>
      </c>
      <c r="M1786" s="81" t="s">
        <v>6939</v>
      </c>
      <c r="N1786" s="81" t="s">
        <v>2231</v>
      </c>
      <c r="O1786" s="81" t="s">
        <v>2187</v>
      </c>
      <c r="P1786" s="81" t="s">
        <v>2187</v>
      </c>
      <c r="Q1786" s="81" t="s">
        <v>43</v>
      </c>
      <c r="R1786" s="81" t="s">
        <v>46</v>
      </c>
      <c r="S1786" s="81" t="s">
        <v>47</v>
      </c>
      <c r="T1786" s="81" t="s">
        <v>48</v>
      </c>
      <c r="U1786" s="81" t="s">
        <v>48</v>
      </c>
      <c r="V1786" s="81" t="s">
        <v>48</v>
      </c>
      <c r="W1786" s="81" t="s">
        <v>49</v>
      </c>
      <c r="X1786" s="81" t="s">
        <v>48</v>
      </c>
      <c r="Y1786" s="81" t="s">
        <v>48</v>
      </c>
    </row>
    <row r="1787" spans="1:25" x14ac:dyDescent="0.3">
      <c r="A1787" s="16">
        <v>7503040561638</v>
      </c>
      <c r="B1787" s="81" t="s">
        <v>43</v>
      </c>
      <c r="C1787" s="81" t="s">
        <v>4120</v>
      </c>
      <c r="D1787" s="81" t="s">
        <v>45</v>
      </c>
      <c r="E1787" s="81" t="s">
        <v>2227</v>
      </c>
      <c r="F1787" s="81" t="s">
        <v>2227</v>
      </c>
      <c r="G1787" s="81" t="s">
        <v>4121</v>
      </c>
      <c r="H1787" s="81" t="s">
        <v>2464</v>
      </c>
      <c r="I1787" s="81" t="s">
        <v>6940</v>
      </c>
      <c r="J1787" s="81" t="s">
        <v>2186</v>
      </c>
      <c r="K1787" s="81" t="s">
        <v>6940</v>
      </c>
      <c r="L1787" s="81" t="s">
        <v>2392</v>
      </c>
      <c r="M1787" s="81" t="s">
        <v>6940</v>
      </c>
      <c r="N1787" s="81" t="s">
        <v>2231</v>
      </c>
      <c r="O1787" s="81" t="s">
        <v>2187</v>
      </c>
      <c r="P1787" s="81" t="s">
        <v>2187</v>
      </c>
      <c r="Q1787" s="81" t="s">
        <v>43</v>
      </c>
      <c r="R1787" s="81" t="s">
        <v>46</v>
      </c>
      <c r="S1787" s="81" t="s">
        <v>47</v>
      </c>
      <c r="T1787" s="81" t="s">
        <v>48</v>
      </c>
      <c r="U1787" s="81" t="s">
        <v>48</v>
      </c>
      <c r="V1787" s="81" t="s">
        <v>48</v>
      </c>
      <c r="W1787" s="81" t="s">
        <v>49</v>
      </c>
      <c r="X1787" s="81" t="s">
        <v>48</v>
      </c>
      <c r="Y1787" s="81" t="s">
        <v>48</v>
      </c>
    </row>
    <row r="1788" spans="1:25" x14ac:dyDescent="0.3">
      <c r="A1788" s="16">
        <v>7501050610490</v>
      </c>
      <c r="B1788" s="81" t="s">
        <v>43</v>
      </c>
      <c r="C1788" s="81" t="s">
        <v>4122</v>
      </c>
      <c r="D1788" s="81" t="s">
        <v>45</v>
      </c>
      <c r="E1788" s="81" t="s">
        <v>2227</v>
      </c>
      <c r="F1788" s="81" t="s">
        <v>2227</v>
      </c>
      <c r="G1788" s="81" t="s">
        <v>4469</v>
      </c>
      <c r="H1788" s="81" t="s">
        <v>4123</v>
      </c>
      <c r="I1788" s="81" t="s">
        <v>6941</v>
      </c>
      <c r="J1788" s="81" t="s">
        <v>2186</v>
      </c>
      <c r="K1788" s="81" t="s">
        <v>6941</v>
      </c>
      <c r="L1788" s="81" t="s">
        <v>2392</v>
      </c>
      <c r="M1788" s="81" t="s">
        <v>6941</v>
      </c>
      <c r="N1788" s="81" t="s">
        <v>2231</v>
      </c>
      <c r="O1788" s="81" t="s">
        <v>2187</v>
      </c>
      <c r="P1788" s="81" t="s">
        <v>2187</v>
      </c>
      <c r="Q1788" s="81" t="s">
        <v>43</v>
      </c>
      <c r="R1788" s="81" t="s">
        <v>374</v>
      </c>
      <c r="S1788" s="81" t="s">
        <v>73</v>
      </c>
      <c r="T1788" s="81" t="s">
        <v>48</v>
      </c>
      <c r="U1788" s="81" t="s">
        <v>48</v>
      </c>
      <c r="V1788" s="81" t="s">
        <v>48</v>
      </c>
      <c r="W1788" s="81" t="s">
        <v>49</v>
      </c>
      <c r="X1788" s="81" t="s">
        <v>48</v>
      </c>
      <c r="Y1788" s="81" t="s">
        <v>48</v>
      </c>
    </row>
    <row r="1789" spans="1:25" x14ac:dyDescent="0.3">
      <c r="A1789" s="16">
        <v>7502227870259</v>
      </c>
      <c r="B1789" s="81" t="s">
        <v>43</v>
      </c>
      <c r="C1789" s="81" t="s">
        <v>4124</v>
      </c>
      <c r="D1789" s="81" t="s">
        <v>45</v>
      </c>
      <c r="E1789" s="81" t="s">
        <v>2227</v>
      </c>
      <c r="F1789" s="81" t="s">
        <v>2227</v>
      </c>
      <c r="G1789" s="81" t="s">
        <v>2231</v>
      </c>
      <c r="H1789" s="81" t="s">
        <v>5302</v>
      </c>
      <c r="I1789" s="81" t="s">
        <v>5303</v>
      </c>
      <c r="J1789" s="81" t="s">
        <v>2186</v>
      </c>
      <c r="K1789" s="81" t="s">
        <v>5304</v>
      </c>
      <c r="L1789" s="81" t="s">
        <v>2392</v>
      </c>
      <c r="M1789" s="81" t="s">
        <v>3083</v>
      </c>
      <c r="N1789" s="81" t="s">
        <v>2231</v>
      </c>
      <c r="O1789" s="81" t="s">
        <v>2187</v>
      </c>
      <c r="P1789" s="81" t="s">
        <v>2187</v>
      </c>
      <c r="Q1789" s="81" t="s">
        <v>43</v>
      </c>
      <c r="R1789" s="81" t="s">
        <v>51</v>
      </c>
      <c r="S1789" s="81" t="s">
        <v>81</v>
      </c>
      <c r="T1789" s="81" t="s">
        <v>49</v>
      </c>
      <c r="U1789" s="81" t="s">
        <v>48</v>
      </c>
      <c r="V1789" s="81" t="s">
        <v>48</v>
      </c>
      <c r="W1789" s="81" t="s">
        <v>49</v>
      </c>
      <c r="X1789" s="81" t="s">
        <v>48</v>
      </c>
      <c r="Y1789" s="81" t="s">
        <v>48</v>
      </c>
    </row>
    <row r="1790" spans="1:25" x14ac:dyDescent="0.3">
      <c r="A1790" s="16">
        <v>7501300407054</v>
      </c>
      <c r="B1790" s="81" t="s">
        <v>43</v>
      </c>
      <c r="C1790" s="81" t="s">
        <v>4125</v>
      </c>
      <c r="D1790" s="81" t="s">
        <v>45</v>
      </c>
      <c r="E1790" s="81" t="s">
        <v>2227</v>
      </c>
      <c r="F1790" s="81" t="s">
        <v>2227</v>
      </c>
      <c r="G1790" s="81" t="s">
        <v>4126</v>
      </c>
      <c r="H1790" s="81" t="s">
        <v>2981</v>
      </c>
      <c r="I1790" s="81" t="s">
        <v>6942</v>
      </c>
      <c r="J1790" s="81" t="s">
        <v>2186</v>
      </c>
      <c r="K1790" s="81" t="s">
        <v>6942</v>
      </c>
      <c r="L1790" s="81" t="s">
        <v>2392</v>
      </c>
      <c r="M1790" s="81" t="s">
        <v>6942</v>
      </c>
      <c r="N1790" s="81" t="s">
        <v>2231</v>
      </c>
      <c r="O1790" s="81" t="s">
        <v>2187</v>
      </c>
      <c r="P1790" s="81" t="s">
        <v>2187</v>
      </c>
      <c r="Q1790" s="81" t="s">
        <v>43</v>
      </c>
      <c r="R1790" s="81" t="s">
        <v>374</v>
      </c>
      <c r="S1790" s="81" t="s">
        <v>374</v>
      </c>
      <c r="T1790" s="81" t="s">
        <v>48</v>
      </c>
      <c r="U1790" s="81" t="s">
        <v>48</v>
      </c>
      <c r="V1790" s="81" t="s">
        <v>48</v>
      </c>
      <c r="W1790" s="81" t="s">
        <v>49</v>
      </c>
      <c r="X1790" s="81" t="s">
        <v>48</v>
      </c>
      <c r="Y1790" s="81" t="s">
        <v>48</v>
      </c>
    </row>
    <row r="1791" spans="1:25" x14ac:dyDescent="0.3">
      <c r="A1791" s="16">
        <v>7501043162326</v>
      </c>
      <c r="B1791" s="81" t="s">
        <v>43</v>
      </c>
      <c r="C1791" s="81" t="s">
        <v>4127</v>
      </c>
      <c r="D1791" s="81" t="s">
        <v>45</v>
      </c>
      <c r="E1791" s="81" t="s">
        <v>2227</v>
      </c>
      <c r="F1791" s="81" t="s">
        <v>2227</v>
      </c>
      <c r="G1791" s="81" t="s">
        <v>4128</v>
      </c>
      <c r="H1791" s="81" t="s">
        <v>3313</v>
      </c>
      <c r="I1791" s="81" t="s">
        <v>6943</v>
      </c>
      <c r="J1791" s="81" t="s">
        <v>2186</v>
      </c>
      <c r="K1791" s="81" t="s">
        <v>6943</v>
      </c>
      <c r="L1791" s="81" t="s">
        <v>2392</v>
      </c>
      <c r="M1791" s="81" t="s">
        <v>6943</v>
      </c>
      <c r="N1791" s="81" t="s">
        <v>2231</v>
      </c>
      <c r="O1791" s="81" t="s">
        <v>2187</v>
      </c>
      <c r="P1791" s="81" t="s">
        <v>2187</v>
      </c>
      <c r="Q1791" s="81" t="s">
        <v>43</v>
      </c>
      <c r="R1791" s="81" t="s">
        <v>374</v>
      </c>
      <c r="S1791" s="81" t="s">
        <v>374</v>
      </c>
      <c r="T1791" s="81" t="s">
        <v>48</v>
      </c>
      <c r="U1791" s="81" t="s">
        <v>48</v>
      </c>
      <c r="V1791" s="81" t="s">
        <v>49</v>
      </c>
      <c r="W1791" s="81" t="s">
        <v>48</v>
      </c>
      <c r="X1791" s="81" t="s">
        <v>48</v>
      </c>
      <c r="Y1791" s="81" t="s">
        <v>48</v>
      </c>
    </row>
    <row r="1792" spans="1:25" x14ac:dyDescent="0.3">
      <c r="A1792" s="16">
        <v>7501089809179</v>
      </c>
      <c r="B1792" s="81" t="s">
        <v>43</v>
      </c>
      <c r="C1792" s="81" t="s">
        <v>4129</v>
      </c>
      <c r="D1792" s="81" t="s">
        <v>45</v>
      </c>
      <c r="E1792" s="81" t="s">
        <v>2227</v>
      </c>
      <c r="F1792" s="81" t="s">
        <v>2227</v>
      </c>
      <c r="G1792" s="81" t="s">
        <v>4130</v>
      </c>
      <c r="H1792" s="81" t="s">
        <v>2559</v>
      </c>
      <c r="I1792" s="81" t="s">
        <v>6944</v>
      </c>
      <c r="J1792" s="81" t="s">
        <v>2186</v>
      </c>
      <c r="K1792" s="81" t="s">
        <v>6944</v>
      </c>
      <c r="L1792" s="81" t="s">
        <v>2392</v>
      </c>
      <c r="M1792" s="81" t="s">
        <v>6944</v>
      </c>
      <c r="N1792" s="81" t="s">
        <v>2231</v>
      </c>
      <c r="O1792" s="81" t="s">
        <v>2187</v>
      </c>
      <c r="P1792" s="81" t="s">
        <v>2187</v>
      </c>
      <c r="Q1792" s="81" t="s">
        <v>43</v>
      </c>
      <c r="R1792" s="81" t="s">
        <v>203</v>
      </c>
      <c r="S1792" s="81" t="s">
        <v>203</v>
      </c>
      <c r="T1792" s="81" t="s">
        <v>48</v>
      </c>
      <c r="U1792" s="81" t="s">
        <v>48</v>
      </c>
      <c r="V1792" s="81" t="s">
        <v>48</v>
      </c>
      <c r="W1792" s="81" t="s">
        <v>49</v>
      </c>
      <c r="X1792" s="81" t="s">
        <v>48</v>
      </c>
      <c r="Y1792" s="81" t="s">
        <v>48</v>
      </c>
    </row>
    <row r="1793" spans="1:25" x14ac:dyDescent="0.3">
      <c r="A1793" s="16" t="s">
        <v>4131</v>
      </c>
      <c r="B1793" s="81" t="s">
        <v>43</v>
      </c>
      <c r="C1793" s="81" t="s">
        <v>4132</v>
      </c>
      <c r="D1793" s="81" t="s">
        <v>45</v>
      </c>
      <c r="E1793" s="81" t="s">
        <v>2388</v>
      </c>
      <c r="F1793" s="81" t="s">
        <v>2798</v>
      </c>
      <c r="G1793" s="81" t="s">
        <v>2799</v>
      </c>
      <c r="H1793" s="81" t="s">
        <v>2552</v>
      </c>
      <c r="I1793" s="81" t="s">
        <v>5776</v>
      </c>
      <c r="J1793" s="81" t="s">
        <v>2186</v>
      </c>
      <c r="K1793" s="81" t="s">
        <v>5776</v>
      </c>
      <c r="L1793" s="81" t="s">
        <v>2392</v>
      </c>
      <c r="M1793" s="81" t="s">
        <v>5776</v>
      </c>
      <c r="N1793" s="81" t="s">
        <v>2231</v>
      </c>
      <c r="O1793" s="81" t="s">
        <v>2187</v>
      </c>
      <c r="P1793" s="81" t="s">
        <v>2187</v>
      </c>
      <c r="Q1793" s="81" t="s">
        <v>43</v>
      </c>
      <c r="R1793" s="81" t="s">
        <v>46</v>
      </c>
      <c r="S1793" s="81" t="s">
        <v>46</v>
      </c>
      <c r="T1793" s="81" t="s">
        <v>48</v>
      </c>
      <c r="U1793" s="81" t="s">
        <v>48</v>
      </c>
      <c r="V1793" s="81" t="s">
        <v>48</v>
      </c>
      <c r="W1793" s="81" t="s">
        <v>49</v>
      </c>
      <c r="X1793" s="81" t="s">
        <v>48</v>
      </c>
      <c r="Y1793" s="81" t="s">
        <v>48</v>
      </c>
    </row>
    <row r="1794" spans="1:25" x14ac:dyDescent="0.3">
      <c r="A1794" s="16" t="s">
        <v>4133</v>
      </c>
      <c r="B1794" s="81" t="s">
        <v>43</v>
      </c>
      <c r="C1794" s="81" t="s">
        <v>4134</v>
      </c>
      <c r="D1794" s="81" t="s">
        <v>45</v>
      </c>
      <c r="E1794" s="81" t="s">
        <v>2227</v>
      </c>
      <c r="F1794" s="81" t="s">
        <v>2227</v>
      </c>
      <c r="G1794" s="81" t="s">
        <v>2425</v>
      </c>
      <c r="H1794" s="81" t="s">
        <v>6918</v>
      </c>
      <c r="I1794" s="81" t="s">
        <v>5706</v>
      </c>
      <c r="J1794" s="81" t="s">
        <v>2186</v>
      </c>
      <c r="K1794" s="81" t="s">
        <v>5706</v>
      </c>
      <c r="L1794" s="81" t="s">
        <v>2392</v>
      </c>
      <c r="M1794" s="81" t="s">
        <v>5706</v>
      </c>
      <c r="N1794" s="81" t="s">
        <v>2231</v>
      </c>
      <c r="O1794" s="81" t="s">
        <v>2187</v>
      </c>
      <c r="P1794" s="81" t="s">
        <v>2187</v>
      </c>
      <c r="Q1794" s="81" t="s">
        <v>43</v>
      </c>
      <c r="R1794" s="81" t="s">
        <v>525</v>
      </c>
      <c r="S1794" s="81" t="s">
        <v>525</v>
      </c>
      <c r="T1794" s="81" t="s">
        <v>48</v>
      </c>
      <c r="U1794" s="81" t="s">
        <v>48</v>
      </c>
      <c r="V1794" s="81" t="s">
        <v>49</v>
      </c>
      <c r="W1794" s="81" t="s">
        <v>48</v>
      </c>
      <c r="X1794" s="81" t="s">
        <v>48</v>
      </c>
      <c r="Y1794" s="81" t="s">
        <v>48</v>
      </c>
    </row>
    <row r="1795" spans="1:25" x14ac:dyDescent="0.3">
      <c r="A1795" s="16" t="s">
        <v>4135</v>
      </c>
      <c r="B1795" s="81" t="s">
        <v>43</v>
      </c>
      <c r="C1795" s="81" t="s">
        <v>4136</v>
      </c>
      <c r="D1795" s="81" t="s">
        <v>45</v>
      </c>
      <c r="E1795" s="81" t="s">
        <v>2227</v>
      </c>
      <c r="F1795" s="81" t="s">
        <v>2227</v>
      </c>
      <c r="G1795" s="81" t="s">
        <v>4137</v>
      </c>
      <c r="H1795" s="81" t="s">
        <v>2744</v>
      </c>
      <c r="I1795" s="81" t="s">
        <v>6549</v>
      </c>
      <c r="J1795" s="81" t="s">
        <v>2186</v>
      </c>
      <c r="K1795" s="81" t="s">
        <v>6549</v>
      </c>
      <c r="L1795" s="81" t="s">
        <v>2392</v>
      </c>
      <c r="M1795" s="81" t="s">
        <v>6549</v>
      </c>
      <c r="N1795" s="81" t="s">
        <v>2231</v>
      </c>
      <c r="O1795" s="81" t="s">
        <v>2187</v>
      </c>
      <c r="P1795" s="81" t="s">
        <v>2187</v>
      </c>
      <c r="Q1795" s="81" t="s">
        <v>43</v>
      </c>
      <c r="R1795" s="81" t="s">
        <v>101</v>
      </c>
      <c r="S1795" s="81" t="s">
        <v>101</v>
      </c>
      <c r="T1795" s="81" t="s">
        <v>48</v>
      </c>
      <c r="U1795" s="81" t="s">
        <v>48</v>
      </c>
      <c r="V1795" s="81" t="s">
        <v>48</v>
      </c>
      <c r="W1795" s="81" t="s">
        <v>49</v>
      </c>
      <c r="X1795" s="81" t="s">
        <v>48</v>
      </c>
      <c r="Y1795" s="81" t="s">
        <v>48</v>
      </c>
    </row>
    <row r="1796" spans="1:25" x14ac:dyDescent="0.3">
      <c r="A1796" s="16" t="s">
        <v>4138</v>
      </c>
      <c r="B1796" s="81" t="s">
        <v>43</v>
      </c>
      <c r="C1796" s="81" t="s">
        <v>4139</v>
      </c>
      <c r="D1796" s="81" t="s">
        <v>45</v>
      </c>
      <c r="E1796" s="81" t="s">
        <v>2443</v>
      </c>
      <c r="F1796" s="81" t="s">
        <v>2404</v>
      </c>
      <c r="G1796" s="81" t="s">
        <v>3048</v>
      </c>
      <c r="H1796" s="81" t="s">
        <v>2232</v>
      </c>
      <c r="I1796" s="81" t="s">
        <v>2260</v>
      </c>
      <c r="J1796" s="81" t="s">
        <v>2186</v>
      </c>
      <c r="K1796" s="81" t="s">
        <v>2764</v>
      </c>
      <c r="L1796" s="81" t="s">
        <v>2392</v>
      </c>
      <c r="M1796" s="81" t="s">
        <v>3049</v>
      </c>
      <c r="N1796" s="81" t="s">
        <v>2231</v>
      </c>
      <c r="O1796" s="81" t="s">
        <v>2187</v>
      </c>
      <c r="P1796" s="81" t="s">
        <v>2187</v>
      </c>
      <c r="Q1796" s="81" t="s">
        <v>43</v>
      </c>
      <c r="R1796" s="81" t="s">
        <v>46</v>
      </c>
      <c r="S1796" s="81" t="s">
        <v>46</v>
      </c>
      <c r="T1796" s="81" t="s">
        <v>48</v>
      </c>
      <c r="U1796" s="81" t="s">
        <v>48</v>
      </c>
      <c r="V1796" s="81" t="s">
        <v>48</v>
      </c>
      <c r="W1796" s="81" t="s">
        <v>49</v>
      </c>
      <c r="X1796" s="81" t="s">
        <v>48</v>
      </c>
      <c r="Y1796" s="81" t="s">
        <v>48</v>
      </c>
    </row>
    <row r="1797" spans="1:25" x14ac:dyDescent="0.3">
      <c r="A1797" s="16" t="s">
        <v>4140</v>
      </c>
      <c r="B1797" s="81" t="s">
        <v>43</v>
      </c>
      <c r="C1797" s="81" t="s">
        <v>4141</v>
      </c>
      <c r="D1797" s="81" t="s">
        <v>45</v>
      </c>
      <c r="E1797" s="81" t="s">
        <v>2221</v>
      </c>
      <c r="F1797" s="81" t="s">
        <v>2656</v>
      </c>
      <c r="G1797" s="81" t="s">
        <v>2657</v>
      </c>
      <c r="H1797" s="81" t="s">
        <v>2224</v>
      </c>
      <c r="I1797" s="81" t="s">
        <v>2268</v>
      </c>
      <c r="J1797" s="81" t="s">
        <v>2186</v>
      </c>
      <c r="K1797" s="81" t="s">
        <v>2306</v>
      </c>
      <c r="L1797" s="81" t="s">
        <v>2392</v>
      </c>
      <c r="M1797" s="81" t="s">
        <v>2251</v>
      </c>
      <c r="N1797" s="81" t="s">
        <v>2231</v>
      </c>
      <c r="O1797" s="81" t="s">
        <v>2187</v>
      </c>
      <c r="P1797" s="81" t="s">
        <v>2187</v>
      </c>
      <c r="Q1797" s="81" t="s">
        <v>361</v>
      </c>
      <c r="R1797" s="81" t="s">
        <v>46</v>
      </c>
      <c r="S1797" s="81" t="s">
        <v>47</v>
      </c>
      <c r="T1797" s="81" t="s">
        <v>48</v>
      </c>
      <c r="U1797" s="81" t="s">
        <v>48</v>
      </c>
      <c r="V1797" s="81" t="s">
        <v>48</v>
      </c>
      <c r="W1797" s="81" t="s">
        <v>49</v>
      </c>
      <c r="X1797" s="81" t="s">
        <v>48</v>
      </c>
      <c r="Y1797" s="81" t="s">
        <v>48</v>
      </c>
    </row>
    <row r="1798" spans="1:25" x14ac:dyDescent="0.3">
      <c r="A1798" s="16" t="s">
        <v>4142</v>
      </c>
      <c r="B1798" s="81" t="s">
        <v>43</v>
      </c>
      <c r="C1798" s="81" t="s">
        <v>4143</v>
      </c>
      <c r="D1798" s="81" t="s">
        <v>45</v>
      </c>
      <c r="E1798" s="81" t="s">
        <v>2352</v>
      </c>
      <c r="F1798" s="81" t="s">
        <v>3104</v>
      </c>
      <c r="G1798" s="81" t="s">
        <v>4144</v>
      </c>
      <c r="H1798" s="81" t="s">
        <v>2209</v>
      </c>
      <c r="I1798" s="81" t="s">
        <v>6248</v>
      </c>
      <c r="J1798" s="81" t="s">
        <v>2186</v>
      </c>
      <c r="K1798" s="81" t="s">
        <v>6248</v>
      </c>
      <c r="L1798" s="81" t="s">
        <v>2392</v>
      </c>
      <c r="M1798" s="81" t="s">
        <v>6248</v>
      </c>
      <c r="N1798" s="81" t="s">
        <v>2231</v>
      </c>
      <c r="O1798" s="81" t="s">
        <v>2187</v>
      </c>
      <c r="P1798" s="81" t="s">
        <v>2187</v>
      </c>
      <c r="Q1798" s="81" t="s">
        <v>43</v>
      </c>
      <c r="R1798" s="81" t="s">
        <v>46</v>
      </c>
      <c r="S1798" s="81" t="s">
        <v>46</v>
      </c>
      <c r="T1798" s="81" t="s">
        <v>48</v>
      </c>
      <c r="U1798" s="81" t="s">
        <v>48</v>
      </c>
      <c r="V1798" s="81" t="s">
        <v>48</v>
      </c>
      <c r="W1798" s="81" t="s">
        <v>49</v>
      </c>
      <c r="X1798" s="81" t="s">
        <v>48</v>
      </c>
      <c r="Y1798" s="81" t="s">
        <v>48</v>
      </c>
    </row>
    <row r="1799" spans="1:25" x14ac:dyDescent="0.3">
      <c r="A1799" s="16" t="s">
        <v>4145</v>
      </c>
      <c r="B1799" s="81" t="s">
        <v>43</v>
      </c>
      <c r="C1799" s="81" t="s">
        <v>4146</v>
      </c>
      <c r="D1799" s="81" t="s">
        <v>45</v>
      </c>
      <c r="E1799" s="81" t="s">
        <v>2191</v>
      </c>
      <c r="F1799" s="81" t="s">
        <v>2303</v>
      </c>
      <c r="G1799" s="81" t="s">
        <v>2979</v>
      </c>
      <c r="H1799" s="81" t="s">
        <v>4477</v>
      </c>
      <c r="I1799" s="81" t="s">
        <v>5882</v>
      </c>
      <c r="J1799" s="81" t="s">
        <v>2186</v>
      </c>
      <c r="K1799" s="81" t="s">
        <v>5882</v>
      </c>
      <c r="L1799" s="81" t="s">
        <v>2392</v>
      </c>
      <c r="M1799" s="81" t="s">
        <v>5882</v>
      </c>
      <c r="N1799" s="81" t="s">
        <v>2231</v>
      </c>
      <c r="O1799" s="81" t="s">
        <v>2187</v>
      </c>
      <c r="P1799" s="81" t="s">
        <v>2187</v>
      </c>
      <c r="Q1799" s="81" t="s">
        <v>43</v>
      </c>
      <c r="R1799" s="81" t="s">
        <v>122</v>
      </c>
      <c r="S1799" s="81" t="s">
        <v>122</v>
      </c>
      <c r="T1799" s="81" t="s">
        <v>48</v>
      </c>
      <c r="U1799" s="81" t="s">
        <v>48</v>
      </c>
      <c r="V1799" s="81" t="s">
        <v>49</v>
      </c>
      <c r="W1799" s="81" t="s">
        <v>48</v>
      </c>
      <c r="X1799" s="81" t="s">
        <v>48</v>
      </c>
      <c r="Y1799" s="81" t="s">
        <v>48</v>
      </c>
    </row>
    <row r="1800" spans="1:25" x14ac:dyDescent="0.3">
      <c r="A1800" s="16" t="s">
        <v>4147</v>
      </c>
      <c r="B1800" s="81" t="s">
        <v>43</v>
      </c>
      <c r="C1800" s="81" t="s">
        <v>4148</v>
      </c>
      <c r="D1800" s="81" t="s">
        <v>45</v>
      </c>
      <c r="E1800" s="81" t="s">
        <v>2379</v>
      </c>
      <c r="F1800" s="81" t="s">
        <v>2974</v>
      </c>
      <c r="G1800" s="81" t="s">
        <v>4149</v>
      </c>
      <c r="H1800" s="81" t="s">
        <v>2209</v>
      </c>
      <c r="I1800" s="81" t="s">
        <v>6945</v>
      </c>
      <c r="J1800" s="81" t="s">
        <v>2186</v>
      </c>
      <c r="K1800" s="81" t="s">
        <v>6945</v>
      </c>
      <c r="L1800" s="81" t="s">
        <v>2392</v>
      </c>
      <c r="M1800" s="81" t="s">
        <v>6945</v>
      </c>
      <c r="N1800" s="81" t="s">
        <v>2231</v>
      </c>
      <c r="O1800" s="81" t="s">
        <v>2187</v>
      </c>
      <c r="P1800" s="81" t="s">
        <v>2187</v>
      </c>
      <c r="Q1800" s="81" t="s">
        <v>43</v>
      </c>
      <c r="R1800" s="81" t="s">
        <v>203</v>
      </c>
      <c r="S1800" s="81" t="s">
        <v>203</v>
      </c>
      <c r="T1800" s="81" t="s">
        <v>48</v>
      </c>
      <c r="U1800" s="81" t="s">
        <v>48</v>
      </c>
      <c r="V1800" s="81" t="s">
        <v>48</v>
      </c>
      <c r="W1800" s="81" t="s">
        <v>49</v>
      </c>
      <c r="X1800" s="81" t="s">
        <v>48</v>
      </c>
      <c r="Y1800" s="81" t="s">
        <v>48</v>
      </c>
    </row>
    <row r="1801" spans="1:25" x14ac:dyDescent="0.3">
      <c r="A1801" s="16" t="s">
        <v>4150</v>
      </c>
      <c r="B1801" s="81" t="s">
        <v>43</v>
      </c>
      <c r="C1801" s="81" t="s">
        <v>4912</v>
      </c>
      <c r="D1801" s="81" t="s">
        <v>45</v>
      </c>
      <c r="E1801" s="81" t="s">
        <v>2248</v>
      </c>
      <c r="F1801" s="81" t="s">
        <v>2405</v>
      </c>
      <c r="G1801" s="81" t="s">
        <v>4151</v>
      </c>
      <c r="H1801" s="81" t="s">
        <v>4152</v>
      </c>
      <c r="I1801" s="81" t="s">
        <v>6946</v>
      </c>
      <c r="J1801" s="81" t="s">
        <v>2186</v>
      </c>
      <c r="K1801" s="81" t="s">
        <v>6946</v>
      </c>
      <c r="L1801" s="81" t="s">
        <v>2392</v>
      </c>
      <c r="M1801" s="81" t="s">
        <v>6946</v>
      </c>
      <c r="N1801" s="81" t="s">
        <v>2231</v>
      </c>
      <c r="O1801" s="81" t="s">
        <v>2187</v>
      </c>
      <c r="P1801" s="81" t="s">
        <v>2187</v>
      </c>
      <c r="Q1801" s="81" t="s">
        <v>43</v>
      </c>
      <c r="R1801" s="81" t="s">
        <v>51</v>
      </c>
      <c r="S1801" s="81" t="s">
        <v>81</v>
      </c>
      <c r="T1801" s="81" t="s">
        <v>49</v>
      </c>
      <c r="U1801" s="81" t="s">
        <v>48</v>
      </c>
      <c r="V1801" s="81" t="s">
        <v>48</v>
      </c>
      <c r="W1801" s="81" t="s">
        <v>49</v>
      </c>
      <c r="X1801" s="81" t="s">
        <v>48</v>
      </c>
      <c r="Y1801" s="81" t="s">
        <v>48</v>
      </c>
    </row>
    <row r="1802" spans="1:25" x14ac:dyDescent="0.3">
      <c r="A1802" s="16" t="s">
        <v>4155</v>
      </c>
      <c r="B1802" s="81" t="s">
        <v>43</v>
      </c>
      <c r="C1802" s="81" t="s">
        <v>4156</v>
      </c>
      <c r="D1802" s="81" t="s">
        <v>45</v>
      </c>
      <c r="E1802" s="81" t="s">
        <v>2304</v>
      </c>
      <c r="F1802" s="81" t="s">
        <v>2435</v>
      </c>
      <c r="G1802" s="81" t="s">
        <v>3480</v>
      </c>
      <c r="H1802" s="81" t="s">
        <v>3134</v>
      </c>
      <c r="I1802" s="81" t="s">
        <v>6270</v>
      </c>
      <c r="J1802" s="81" t="s">
        <v>2186</v>
      </c>
      <c r="K1802" s="81" t="s">
        <v>6270</v>
      </c>
      <c r="L1802" s="81" t="s">
        <v>2392</v>
      </c>
      <c r="M1802" s="81" t="s">
        <v>6270</v>
      </c>
      <c r="N1802" s="81" t="s">
        <v>2231</v>
      </c>
      <c r="O1802" s="81" t="s">
        <v>2187</v>
      </c>
      <c r="P1802" s="81" t="s">
        <v>2187</v>
      </c>
      <c r="Q1802" s="81" t="s">
        <v>43</v>
      </c>
      <c r="R1802" s="81" t="s">
        <v>524</v>
      </c>
      <c r="S1802" s="81" t="s">
        <v>525</v>
      </c>
      <c r="T1802" s="81" t="s">
        <v>48</v>
      </c>
      <c r="U1802" s="81" t="s">
        <v>48</v>
      </c>
      <c r="V1802" s="81" t="s">
        <v>49</v>
      </c>
      <c r="W1802" s="81" t="s">
        <v>48</v>
      </c>
      <c r="X1802" s="81" t="s">
        <v>48</v>
      </c>
      <c r="Y1802" s="81" t="s">
        <v>48</v>
      </c>
    </row>
    <row r="1803" spans="1:25" x14ac:dyDescent="0.3">
      <c r="A1803" s="16" t="s">
        <v>4157</v>
      </c>
      <c r="B1803" s="81" t="s">
        <v>43</v>
      </c>
      <c r="C1803" s="81" t="s">
        <v>4158</v>
      </c>
      <c r="D1803" s="81" t="s">
        <v>45</v>
      </c>
      <c r="E1803" s="81" t="s">
        <v>2448</v>
      </c>
      <c r="F1803" s="81" t="s">
        <v>3078</v>
      </c>
      <c r="G1803" s="81" t="s">
        <v>3079</v>
      </c>
      <c r="H1803" s="81" t="s">
        <v>6947</v>
      </c>
      <c r="I1803" s="81" t="s">
        <v>6948</v>
      </c>
      <c r="J1803" s="81" t="s">
        <v>2186</v>
      </c>
      <c r="K1803" s="81" t="s">
        <v>6948</v>
      </c>
      <c r="L1803" s="81" t="s">
        <v>2392</v>
      </c>
      <c r="M1803" s="81" t="s">
        <v>6948</v>
      </c>
      <c r="N1803" s="81" t="s">
        <v>2231</v>
      </c>
      <c r="O1803" s="81" t="s">
        <v>2187</v>
      </c>
      <c r="P1803" s="81" t="s">
        <v>2187</v>
      </c>
      <c r="Q1803" s="81" t="s">
        <v>43</v>
      </c>
      <c r="R1803" s="81" t="s">
        <v>374</v>
      </c>
      <c r="S1803" s="81" t="s">
        <v>47</v>
      </c>
      <c r="T1803" s="81" t="s">
        <v>48</v>
      </c>
      <c r="U1803" s="81" t="s">
        <v>48</v>
      </c>
      <c r="V1803" s="81" t="s">
        <v>48</v>
      </c>
      <c r="W1803" s="81" t="s">
        <v>49</v>
      </c>
      <c r="X1803" s="81" t="s">
        <v>48</v>
      </c>
      <c r="Y1803" s="81" t="s">
        <v>48</v>
      </c>
    </row>
    <row r="1804" spans="1:25" x14ac:dyDescent="0.3">
      <c r="A1804" s="16" t="s">
        <v>4159</v>
      </c>
      <c r="B1804" s="81" t="s">
        <v>43</v>
      </c>
      <c r="C1804" s="81" t="s">
        <v>4160</v>
      </c>
      <c r="D1804" s="81" t="s">
        <v>45</v>
      </c>
      <c r="E1804" s="81" t="s">
        <v>2180</v>
      </c>
      <c r="F1804" s="81" t="s">
        <v>2298</v>
      </c>
      <c r="G1804" s="81" t="s">
        <v>3434</v>
      </c>
      <c r="H1804" s="81" t="s">
        <v>3113</v>
      </c>
      <c r="I1804" s="81" t="s">
        <v>6949</v>
      </c>
      <c r="J1804" s="81" t="s">
        <v>2186</v>
      </c>
      <c r="K1804" s="81" t="s">
        <v>6949</v>
      </c>
      <c r="L1804" s="81" t="s">
        <v>2392</v>
      </c>
      <c r="M1804" s="81" t="s">
        <v>6949</v>
      </c>
      <c r="N1804" s="81" t="s">
        <v>2231</v>
      </c>
      <c r="O1804" s="81" t="s">
        <v>2187</v>
      </c>
      <c r="P1804" s="81" t="s">
        <v>2187</v>
      </c>
      <c r="Q1804" s="81" t="s">
        <v>43</v>
      </c>
      <c r="R1804" s="81" t="s">
        <v>46</v>
      </c>
      <c r="S1804" s="81" t="s">
        <v>47</v>
      </c>
      <c r="T1804" s="81" t="s">
        <v>48</v>
      </c>
      <c r="U1804" s="81" t="s">
        <v>48</v>
      </c>
      <c r="V1804" s="81" t="s">
        <v>48</v>
      </c>
      <c r="W1804" s="81" t="s">
        <v>49</v>
      </c>
      <c r="X1804" s="81" t="s">
        <v>48</v>
      </c>
      <c r="Y1804" s="81" t="s">
        <v>48</v>
      </c>
    </row>
    <row r="1805" spans="1:25" x14ac:dyDescent="0.3">
      <c r="A1805" s="16">
        <v>1907835427890</v>
      </c>
      <c r="B1805" s="81" t="s">
        <v>43</v>
      </c>
      <c r="C1805" s="81" t="s">
        <v>4161</v>
      </c>
      <c r="D1805" s="81" t="s">
        <v>45</v>
      </c>
      <c r="E1805" s="81" t="s">
        <v>2227</v>
      </c>
      <c r="F1805" s="81" t="s">
        <v>2227</v>
      </c>
      <c r="G1805" s="81" t="s">
        <v>2504</v>
      </c>
      <c r="H1805" s="81" t="s">
        <v>4309</v>
      </c>
      <c r="I1805" s="81" t="s">
        <v>6950</v>
      </c>
      <c r="J1805" s="81" t="s">
        <v>2186</v>
      </c>
      <c r="K1805" s="81" t="s">
        <v>6950</v>
      </c>
      <c r="L1805" s="81" t="s">
        <v>2392</v>
      </c>
      <c r="M1805" s="81" t="s">
        <v>6950</v>
      </c>
      <c r="N1805" s="81" t="s">
        <v>2231</v>
      </c>
      <c r="O1805" s="81" t="s">
        <v>2187</v>
      </c>
      <c r="P1805" s="81" t="s">
        <v>2187</v>
      </c>
      <c r="Q1805" s="81" t="s">
        <v>43</v>
      </c>
      <c r="R1805" s="81" t="s">
        <v>46</v>
      </c>
      <c r="S1805" s="81" t="s">
        <v>46</v>
      </c>
      <c r="T1805" s="81" t="s">
        <v>48</v>
      </c>
      <c r="U1805" s="81" t="s">
        <v>48</v>
      </c>
      <c r="V1805" s="81" t="s">
        <v>49</v>
      </c>
      <c r="W1805" s="81" t="s">
        <v>48</v>
      </c>
      <c r="X1805" s="81" t="s">
        <v>48</v>
      </c>
      <c r="Y1805" s="81" t="s">
        <v>48</v>
      </c>
    </row>
    <row r="1806" spans="1:25" x14ac:dyDescent="0.3">
      <c r="A1806" s="16" t="s">
        <v>4162</v>
      </c>
      <c r="B1806" s="81" t="s">
        <v>43</v>
      </c>
      <c r="C1806" s="81" t="s">
        <v>4163</v>
      </c>
      <c r="D1806" s="81" t="s">
        <v>45</v>
      </c>
      <c r="E1806" s="81" t="s">
        <v>2227</v>
      </c>
      <c r="F1806" s="81" t="s">
        <v>2227</v>
      </c>
      <c r="G1806" s="81" t="s">
        <v>3477</v>
      </c>
      <c r="H1806" s="81" t="s">
        <v>3052</v>
      </c>
      <c r="I1806" s="81" t="s">
        <v>6472</v>
      </c>
      <c r="J1806" s="81" t="s">
        <v>2186</v>
      </c>
      <c r="K1806" s="81" t="s">
        <v>6472</v>
      </c>
      <c r="L1806" s="81" t="s">
        <v>2392</v>
      </c>
      <c r="M1806" s="81" t="s">
        <v>6472</v>
      </c>
      <c r="N1806" s="81" t="s">
        <v>2231</v>
      </c>
      <c r="O1806" s="81" t="s">
        <v>2187</v>
      </c>
      <c r="P1806" s="81" t="s">
        <v>2187</v>
      </c>
      <c r="Q1806" s="81" t="s">
        <v>43</v>
      </c>
      <c r="R1806" s="81" t="s">
        <v>524</v>
      </c>
      <c r="S1806" s="81" t="s">
        <v>525</v>
      </c>
      <c r="T1806" s="81" t="s">
        <v>48</v>
      </c>
      <c r="U1806" s="81" t="s">
        <v>48</v>
      </c>
      <c r="V1806" s="81" t="s">
        <v>49</v>
      </c>
      <c r="W1806" s="81" t="s">
        <v>48</v>
      </c>
      <c r="X1806" s="81" t="s">
        <v>48</v>
      </c>
      <c r="Y1806" s="81" t="s">
        <v>48</v>
      </c>
    </row>
    <row r="1807" spans="1:25" x14ac:dyDescent="0.3">
      <c r="A1807" s="16" t="s">
        <v>4164</v>
      </c>
      <c r="B1807" s="81" t="s">
        <v>43</v>
      </c>
      <c r="C1807" s="81" t="s">
        <v>4165</v>
      </c>
      <c r="D1807" s="81" t="s">
        <v>45</v>
      </c>
      <c r="E1807" s="81" t="s">
        <v>2412</v>
      </c>
      <c r="F1807" s="81" t="s">
        <v>2412</v>
      </c>
      <c r="G1807" s="81" t="s">
        <v>3124</v>
      </c>
      <c r="H1807" s="81" t="s">
        <v>3292</v>
      </c>
      <c r="I1807" s="81" t="s">
        <v>3087</v>
      </c>
      <c r="J1807" s="81" t="s">
        <v>2186</v>
      </c>
      <c r="K1807" s="81" t="s">
        <v>3293</v>
      </c>
      <c r="L1807" s="81" t="s">
        <v>2392</v>
      </c>
      <c r="M1807" s="81" t="s">
        <v>3294</v>
      </c>
      <c r="N1807" s="81" t="s">
        <v>2231</v>
      </c>
      <c r="O1807" s="81" t="s">
        <v>2187</v>
      </c>
      <c r="P1807" s="81" t="s">
        <v>2187</v>
      </c>
      <c r="Q1807" s="81" t="s">
        <v>43</v>
      </c>
      <c r="R1807" s="81" t="s">
        <v>122</v>
      </c>
      <c r="S1807" s="81" t="s">
        <v>123</v>
      </c>
      <c r="T1807" s="81" t="s">
        <v>48</v>
      </c>
      <c r="U1807" s="81" t="s">
        <v>48</v>
      </c>
      <c r="V1807" s="81" t="s">
        <v>49</v>
      </c>
      <c r="W1807" s="81" t="s">
        <v>48</v>
      </c>
      <c r="X1807" s="81" t="s">
        <v>48</v>
      </c>
      <c r="Y1807" s="81" t="s">
        <v>48</v>
      </c>
    </row>
    <row r="1808" spans="1:25" x14ac:dyDescent="0.3">
      <c r="A1808" s="16" t="s">
        <v>4166</v>
      </c>
      <c r="B1808" s="81" t="s">
        <v>43</v>
      </c>
      <c r="C1808" s="81" t="s">
        <v>4167</v>
      </c>
      <c r="D1808" s="81" t="s">
        <v>45</v>
      </c>
      <c r="E1808" s="81" t="s">
        <v>2180</v>
      </c>
      <c r="F1808" s="81" t="s">
        <v>2298</v>
      </c>
      <c r="G1808" s="81" t="s">
        <v>3638</v>
      </c>
      <c r="H1808" s="81" t="s">
        <v>6951</v>
      </c>
      <c r="I1808" s="81" t="s">
        <v>6952</v>
      </c>
      <c r="J1808" s="81" t="s">
        <v>2186</v>
      </c>
      <c r="K1808" s="81" t="s">
        <v>6952</v>
      </c>
      <c r="L1808" s="81" t="s">
        <v>2392</v>
      </c>
      <c r="M1808" s="81" t="s">
        <v>6952</v>
      </c>
      <c r="N1808" s="81" t="s">
        <v>2231</v>
      </c>
      <c r="O1808" s="81" t="s">
        <v>2187</v>
      </c>
      <c r="P1808" s="81" t="s">
        <v>2187</v>
      </c>
      <c r="Q1808" s="81" t="s">
        <v>43</v>
      </c>
      <c r="R1808" s="81" t="s">
        <v>46</v>
      </c>
      <c r="S1808" s="81" t="s">
        <v>46</v>
      </c>
      <c r="T1808" s="81" t="s">
        <v>48</v>
      </c>
      <c r="U1808" s="81" t="s">
        <v>48</v>
      </c>
      <c r="V1808" s="81" t="s">
        <v>48</v>
      </c>
      <c r="W1808" s="81" t="s">
        <v>49</v>
      </c>
      <c r="X1808" s="81" t="s">
        <v>48</v>
      </c>
      <c r="Y1808" s="81" t="s">
        <v>48</v>
      </c>
    </row>
    <row r="1809" spans="1:25" x14ac:dyDescent="0.3">
      <c r="A1809" s="16" t="s">
        <v>4168</v>
      </c>
      <c r="B1809" s="81" t="s">
        <v>43</v>
      </c>
      <c r="C1809" s="81" t="s">
        <v>4169</v>
      </c>
      <c r="D1809" s="81" t="s">
        <v>45</v>
      </c>
      <c r="E1809" s="81" t="s">
        <v>2364</v>
      </c>
      <c r="F1809" s="81" t="s">
        <v>2215</v>
      </c>
      <c r="G1809" s="81" t="s">
        <v>3595</v>
      </c>
      <c r="H1809" s="81" t="s">
        <v>2416</v>
      </c>
      <c r="I1809" s="81" t="s">
        <v>5617</v>
      </c>
      <c r="J1809" s="81" t="s">
        <v>2186</v>
      </c>
      <c r="K1809" s="81" t="s">
        <v>5617</v>
      </c>
      <c r="L1809" s="81" t="s">
        <v>2392</v>
      </c>
      <c r="M1809" s="81" t="s">
        <v>5617</v>
      </c>
      <c r="N1809" s="81" t="s">
        <v>2231</v>
      </c>
      <c r="O1809" s="81" t="s">
        <v>2187</v>
      </c>
      <c r="P1809" s="81" t="s">
        <v>2187</v>
      </c>
      <c r="Q1809" s="81" t="s">
        <v>43</v>
      </c>
      <c r="R1809" s="81" t="s">
        <v>46</v>
      </c>
      <c r="S1809" s="81" t="s">
        <v>73</v>
      </c>
      <c r="T1809" s="81" t="s">
        <v>48</v>
      </c>
      <c r="U1809" s="81" t="s">
        <v>48</v>
      </c>
      <c r="V1809" s="81" t="s">
        <v>48</v>
      </c>
      <c r="W1809" s="81" t="s">
        <v>49</v>
      </c>
      <c r="X1809" s="81" t="s">
        <v>48</v>
      </c>
      <c r="Y1809" s="81" t="s">
        <v>48</v>
      </c>
    </row>
    <row r="1810" spans="1:25" x14ac:dyDescent="0.3">
      <c r="A1810" s="16" t="s">
        <v>4170</v>
      </c>
      <c r="B1810" s="81" t="s">
        <v>43</v>
      </c>
      <c r="C1810" s="81" t="s">
        <v>5060</v>
      </c>
      <c r="D1810" s="81" t="s">
        <v>45</v>
      </c>
      <c r="E1810" s="81" t="s">
        <v>2471</v>
      </c>
      <c r="F1810" s="81" t="s">
        <v>2472</v>
      </c>
      <c r="G1810" s="81" t="s">
        <v>4171</v>
      </c>
      <c r="H1810" s="81" t="s">
        <v>2681</v>
      </c>
      <c r="I1810" s="81" t="s">
        <v>6953</v>
      </c>
      <c r="J1810" s="81" t="s">
        <v>2186</v>
      </c>
      <c r="K1810" s="81" t="s">
        <v>6953</v>
      </c>
      <c r="L1810" s="81" t="s">
        <v>2392</v>
      </c>
      <c r="M1810" s="81" t="s">
        <v>6953</v>
      </c>
      <c r="N1810" s="81" t="s">
        <v>2231</v>
      </c>
      <c r="O1810" s="81" t="s">
        <v>2187</v>
      </c>
      <c r="P1810" s="81" t="s">
        <v>2187</v>
      </c>
      <c r="Q1810" s="81" t="s">
        <v>43</v>
      </c>
      <c r="R1810" s="81" t="s">
        <v>46</v>
      </c>
      <c r="S1810" s="81" t="s">
        <v>46</v>
      </c>
      <c r="T1810" s="81" t="s">
        <v>49</v>
      </c>
      <c r="U1810" s="81" t="s">
        <v>48</v>
      </c>
      <c r="V1810" s="81" t="s">
        <v>48</v>
      </c>
      <c r="W1810" s="81" t="s">
        <v>49</v>
      </c>
      <c r="X1810" s="81" t="s">
        <v>48</v>
      </c>
      <c r="Y1810" s="81" t="s">
        <v>48</v>
      </c>
    </row>
    <row r="1811" spans="1:25" x14ac:dyDescent="0.3">
      <c r="A1811" s="16" t="s">
        <v>4172</v>
      </c>
      <c r="B1811" s="81" t="s">
        <v>43</v>
      </c>
      <c r="C1811" s="81" t="s">
        <v>4173</v>
      </c>
      <c r="D1811" s="81" t="s">
        <v>45</v>
      </c>
      <c r="E1811" s="81" t="s">
        <v>2419</v>
      </c>
      <c r="F1811" s="81" t="s">
        <v>2703</v>
      </c>
      <c r="G1811" s="81" t="s">
        <v>3381</v>
      </c>
      <c r="H1811" s="81" t="s">
        <v>2259</v>
      </c>
      <c r="I1811" s="81" t="s">
        <v>6154</v>
      </c>
      <c r="J1811" s="81" t="s">
        <v>2186</v>
      </c>
      <c r="K1811" s="81" t="s">
        <v>6154</v>
      </c>
      <c r="L1811" s="81" t="s">
        <v>2392</v>
      </c>
      <c r="M1811" s="81" t="s">
        <v>6154</v>
      </c>
      <c r="N1811" s="81" t="s">
        <v>2231</v>
      </c>
      <c r="O1811" s="81" t="s">
        <v>2187</v>
      </c>
      <c r="P1811" s="81" t="s">
        <v>2187</v>
      </c>
      <c r="Q1811" s="81" t="s">
        <v>43</v>
      </c>
      <c r="R1811" s="81" t="s">
        <v>46</v>
      </c>
      <c r="S1811" s="81" t="s">
        <v>46</v>
      </c>
      <c r="T1811" s="81" t="s">
        <v>48</v>
      </c>
      <c r="U1811" s="81" t="s">
        <v>48</v>
      </c>
      <c r="V1811" s="81" t="s">
        <v>48</v>
      </c>
      <c r="W1811" s="81" t="s">
        <v>49</v>
      </c>
      <c r="X1811" s="81" t="s">
        <v>48</v>
      </c>
      <c r="Y1811" s="81" t="s">
        <v>48</v>
      </c>
    </row>
    <row r="1812" spans="1:25" x14ac:dyDescent="0.3">
      <c r="A1812" s="16" t="s">
        <v>4174</v>
      </c>
      <c r="B1812" s="81" t="s">
        <v>43</v>
      </c>
      <c r="C1812" s="81" t="s">
        <v>4175</v>
      </c>
      <c r="D1812" s="81" t="s">
        <v>45</v>
      </c>
      <c r="E1812" s="81" t="s">
        <v>2227</v>
      </c>
      <c r="F1812" s="81" t="s">
        <v>2227</v>
      </c>
      <c r="G1812" s="81" t="s">
        <v>4176</v>
      </c>
      <c r="H1812" s="81" t="s">
        <v>2441</v>
      </c>
      <c r="I1812" s="81" t="s">
        <v>6954</v>
      </c>
      <c r="J1812" s="81" t="s">
        <v>2186</v>
      </c>
      <c r="K1812" s="81" t="s">
        <v>6954</v>
      </c>
      <c r="L1812" s="81" t="s">
        <v>2392</v>
      </c>
      <c r="M1812" s="81" t="s">
        <v>6954</v>
      </c>
      <c r="N1812" s="81" t="s">
        <v>2231</v>
      </c>
      <c r="O1812" s="81" t="s">
        <v>2187</v>
      </c>
      <c r="P1812" s="81" t="s">
        <v>2187</v>
      </c>
      <c r="Q1812" s="81" t="s">
        <v>43</v>
      </c>
      <c r="R1812" s="81" t="s">
        <v>51</v>
      </c>
      <c r="S1812" s="81" t="s">
        <v>81</v>
      </c>
      <c r="T1812" s="81" t="s">
        <v>48</v>
      </c>
      <c r="U1812" s="81" t="s">
        <v>48</v>
      </c>
      <c r="V1812" s="81" t="s">
        <v>48</v>
      </c>
      <c r="W1812" s="81" t="s">
        <v>49</v>
      </c>
      <c r="X1812" s="81" t="s">
        <v>48</v>
      </c>
      <c r="Y1812" s="81" t="s">
        <v>48</v>
      </c>
    </row>
    <row r="1813" spans="1:25" x14ac:dyDescent="0.3">
      <c r="A1813" s="16" t="s">
        <v>4177</v>
      </c>
      <c r="B1813" s="81" t="s">
        <v>43</v>
      </c>
      <c r="C1813" s="81" t="s">
        <v>4178</v>
      </c>
      <c r="D1813" s="81" t="s">
        <v>45</v>
      </c>
      <c r="E1813" s="81" t="s">
        <v>2227</v>
      </c>
      <c r="F1813" s="81" t="s">
        <v>2227</v>
      </c>
      <c r="G1813" s="81" t="s">
        <v>3774</v>
      </c>
      <c r="H1813" s="81" t="s">
        <v>6955</v>
      </c>
      <c r="I1813" s="81" t="s">
        <v>5236</v>
      </c>
      <c r="J1813" s="81" t="s">
        <v>2186</v>
      </c>
      <c r="K1813" s="81" t="s">
        <v>5236</v>
      </c>
      <c r="L1813" s="81" t="s">
        <v>2392</v>
      </c>
      <c r="M1813" s="81" t="s">
        <v>5236</v>
      </c>
      <c r="N1813" s="81" t="s">
        <v>2231</v>
      </c>
      <c r="O1813" s="81" t="s">
        <v>2187</v>
      </c>
      <c r="P1813" s="81" t="s">
        <v>2187</v>
      </c>
      <c r="Q1813" s="81" t="s">
        <v>43</v>
      </c>
      <c r="R1813" s="81" t="s">
        <v>203</v>
      </c>
      <c r="S1813" s="81" t="s">
        <v>203</v>
      </c>
      <c r="T1813" s="81" t="s">
        <v>48</v>
      </c>
      <c r="U1813" s="81" t="s">
        <v>48</v>
      </c>
      <c r="V1813" s="81" t="s">
        <v>49</v>
      </c>
      <c r="W1813" s="81" t="s">
        <v>48</v>
      </c>
      <c r="X1813" s="81" t="s">
        <v>48</v>
      </c>
      <c r="Y1813" s="81" t="s">
        <v>48</v>
      </c>
    </row>
    <row r="1814" spans="1:25" x14ac:dyDescent="0.3">
      <c r="A1814" s="16" t="s">
        <v>4179</v>
      </c>
      <c r="B1814" s="81" t="s">
        <v>43</v>
      </c>
      <c r="C1814" s="81" t="s">
        <v>4180</v>
      </c>
      <c r="D1814" s="81" t="s">
        <v>45</v>
      </c>
      <c r="E1814" s="81" t="s">
        <v>2471</v>
      </c>
      <c r="F1814" s="81" t="s">
        <v>2481</v>
      </c>
      <c r="G1814" s="81" t="s">
        <v>4181</v>
      </c>
      <c r="H1814" s="81" t="s">
        <v>3238</v>
      </c>
      <c r="I1814" s="81" t="s">
        <v>6956</v>
      </c>
      <c r="J1814" s="81" t="s">
        <v>2186</v>
      </c>
      <c r="K1814" s="81" t="s">
        <v>6956</v>
      </c>
      <c r="L1814" s="81" t="s">
        <v>2392</v>
      </c>
      <c r="M1814" s="81" t="s">
        <v>6956</v>
      </c>
      <c r="N1814" s="81" t="s">
        <v>2231</v>
      </c>
      <c r="O1814" s="81" t="s">
        <v>2187</v>
      </c>
      <c r="P1814" s="81" t="s">
        <v>2187</v>
      </c>
      <c r="Q1814" s="81" t="s">
        <v>43</v>
      </c>
      <c r="R1814" s="81" t="s">
        <v>46</v>
      </c>
      <c r="S1814" s="81" t="s">
        <v>46</v>
      </c>
      <c r="T1814" s="81" t="s">
        <v>48</v>
      </c>
      <c r="U1814" s="81" t="s">
        <v>48</v>
      </c>
      <c r="V1814" s="81" t="s">
        <v>49</v>
      </c>
      <c r="W1814" s="81" t="s">
        <v>48</v>
      </c>
      <c r="X1814" s="81" t="s">
        <v>48</v>
      </c>
      <c r="Y1814" s="81" t="s">
        <v>48</v>
      </c>
    </row>
    <row r="1815" spans="1:25" x14ac:dyDescent="0.3">
      <c r="A1815" s="16" t="s">
        <v>4182</v>
      </c>
      <c r="B1815" s="81" t="s">
        <v>43</v>
      </c>
      <c r="C1815" s="81" t="s">
        <v>4183</v>
      </c>
      <c r="D1815" s="81" t="s">
        <v>45</v>
      </c>
      <c r="E1815" s="81" t="s">
        <v>2257</v>
      </c>
      <c r="F1815" s="81" t="s">
        <v>2323</v>
      </c>
      <c r="G1815" s="81" t="s">
        <v>2672</v>
      </c>
      <c r="H1815" s="81" t="s">
        <v>2673</v>
      </c>
      <c r="I1815" s="81" t="s">
        <v>6957</v>
      </c>
      <c r="J1815" s="81" t="s">
        <v>2186</v>
      </c>
      <c r="K1815" s="81" t="s">
        <v>6957</v>
      </c>
      <c r="L1815" s="81" t="s">
        <v>2392</v>
      </c>
      <c r="M1815" s="81" t="s">
        <v>6957</v>
      </c>
      <c r="N1815" s="81" t="s">
        <v>2231</v>
      </c>
      <c r="O1815" s="81" t="s">
        <v>2187</v>
      </c>
      <c r="P1815" s="81" t="s">
        <v>2187</v>
      </c>
      <c r="Q1815" s="81" t="s">
        <v>43</v>
      </c>
      <c r="R1815" s="81" t="s">
        <v>203</v>
      </c>
      <c r="S1815" s="81" t="s">
        <v>203</v>
      </c>
      <c r="T1815" s="81" t="s">
        <v>48</v>
      </c>
      <c r="U1815" s="81" t="s">
        <v>48</v>
      </c>
      <c r="V1815" s="81" t="s">
        <v>48</v>
      </c>
      <c r="W1815" s="81" t="s">
        <v>49</v>
      </c>
      <c r="X1815" s="81" t="s">
        <v>48</v>
      </c>
      <c r="Y1815" s="81" t="s">
        <v>48</v>
      </c>
    </row>
    <row r="1816" spans="1:25" x14ac:dyDescent="0.3">
      <c r="A1816" s="16">
        <v>7501089804310</v>
      </c>
      <c r="B1816" s="81" t="s">
        <v>43</v>
      </c>
      <c r="C1816" s="81" t="s">
        <v>4184</v>
      </c>
      <c r="D1816" s="81" t="s">
        <v>45</v>
      </c>
      <c r="E1816" s="81" t="s">
        <v>2227</v>
      </c>
      <c r="F1816" s="81" t="s">
        <v>2227</v>
      </c>
      <c r="G1816" s="81" t="s">
        <v>4185</v>
      </c>
      <c r="H1816" s="81" t="s">
        <v>2997</v>
      </c>
      <c r="I1816" s="81" t="s">
        <v>6958</v>
      </c>
      <c r="J1816" s="81" t="s">
        <v>2186</v>
      </c>
      <c r="K1816" s="81" t="s">
        <v>6958</v>
      </c>
      <c r="L1816" s="81" t="s">
        <v>2392</v>
      </c>
      <c r="M1816" s="81" t="s">
        <v>6958</v>
      </c>
      <c r="N1816" s="81" t="s">
        <v>2231</v>
      </c>
      <c r="O1816" s="81" t="s">
        <v>2187</v>
      </c>
      <c r="P1816" s="81" t="s">
        <v>2187</v>
      </c>
      <c r="Q1816" s="81" t="s">
        <v>43</v>
      </c>
      <c r="R1816" s="81" t="s">
        <v>374</v>
      </c>
      <c r="S1816" s="81" t="s">
        <v>374</v>
      </c>
      <c r="T1816" s="81" t="s">
        <v>48</v>
      </c>
      <c r="U1816" s="81" t="s">
        <v>48</v>
      </c>
      <c r="V1816" s="81" t="s">
        <v>48</v>
      </c>
      <c r="W1816" s="81" t="s">
        <v>49</v>
      </c>
      <c r="X1816" s="81" t="s">
        <v>48</v>
      </c>
      <c r="Y1816" s="81" t="s">
        <v>48</v>
      </c>
    </row>
    <row r="1817" spans="1:25" x14ac:dyDescent="0.3">
      <c r="A1817" s="16">
        <v>7702003476594</v>
      </c>
      <c r="B1817" s="81" t="s">
        <v>43</v>
      </c>
      <c r="C1817" s="81" t="s">
        <v>4186</v>
      </c>
      <c r="D1817" s="81" t="s">
        <v>45</v>
      </c>
      <c r="E1817" s="81" t="s">
        <v>2227</v>
      </c>
      <c r="F1817" s="81" t="s">
        <v>2227</v>
      </c>
      <c r="G1817" s="81" t="s">
        <v>5521</v>
      </c>
      <c r="H1817" s="81" t="s">
        <v>3362</v>
      </c>
      <c r="I1817" s="81" t="s">
        <v>6134</v>
      </c>
      <c r="J1817" s="81" t="s">
        <v>2186</v>
      </c>
      <c r="K1817" s="81" t="s">
        <v>6134</v>
      </c>
      <c r="L1817" s="81" t="s">
        <v>2392</v>
      </c>
      <c r="M1817" s="81" t="s">
        <v>6134</v>
      </c>
      <c r="N1817" s="81" t="s">
        <v>2231</v>
      </c>
      <c r="O1817" s="81" t="s">
        <v>2187</v>
      </c>
      <c r="P1817" s="81" t="s">
        <v>2187</v>
      </c>
      <c r="Q1817" s="81" t="s">
        <v>43</v>
      </c>
      <c r="R1817" s="81" t="s">
        <v>203</v>
      </c>
      <c r="S1817" s="81" t="s">
        <v>203</v>
      </c>
      <c r="T1817" s="81" t="s">
        <v>48</v>
      </c>
      <c r="U1817" s="81" t="s">
        <v>48</v>
      </c>
      <c r="V1817" s="81" t="s">
        <v>49</v>
      </c>
      <c r="W1817" s="81" t="s">
        <v>48</v>
      </c>
      <c r="X1817" s="81" t="s">
        <v>48</v>
      </c>
      <c r="Y1817" s="81" t="s">
        <v>48</v>
      </c>
    </row>
    <row r="1818" spans="1:25" x14ac:dyDescent="0.3">
      <c r="A1818" s="16">
        <v>7502214980930</v>
      </c>
      <c r="B1818" s="81" t="s">
        <v>43</v>
      </c>
      <c r="C1818" s="81" t="s">
        <v>4187</v>
      </c>
      <c r="D1818" s="81" t="s">
        <v>45</v>
      </c>
      <c r="E1818" s="81" t="s">
        <v>2227</v>
      </c>
      <c r="F1818" s="81" t="s">
        <v>2227</v>
      </c>
      <c r="G1818" s="81" t="s">
        <v>4523</v>
      </c>
      <c r="H1818" s="81" t="s">
        <v>4188</v>
      </c>
      <c r="I1818" s="81" t="s">
        <v>6959</v>
      </c>
      <c r="J1818" s="81" t="s">
        <v>2186</v>
      </c>
      <c r="K1818" s="81" t="s">
        <v>6959</v>
      </c>
      <c r="L1818" s="81" t="s">
        <v>2392</v>
      </c>
      <c r="M1818" s="81" t="s">
        <v>6959</v>
      </c>
      <c r="N1818" s="81" t="s">
        <v>2231</v>
      </c>
      <c r="O1818" s="81" t="s">
        <v>2187</v>
      </c>
      <c r="P1818" s="81" t="s">
        <v>2187</v>
      </c>
      <c r="Q1818" s="81" t="s">
        <v>43</v>
      </c>
      <c r="R1818" s="81" t="s">
        <v>122</v>
      </c>
      <c r="S1818" s="81" t="s">
        <v>122</v>
      </c>
      <c r="T1818" s="81" t="s">
        <v>48</v>
      </c>
      <c r="U1818" s="81" t="s">
        <v>48</v>
      </c>
      <c r="V1818" s="81" t="s">
        <v>49</v>
      </c>
      <c r="W1818" s="81" t="s">
        <v>48</v>
      </c>
      <c r="X1818" s="81" t="s">
        <v>48</v>
      </c>
      <c r="Y1818" s="81" t="s">
        <v>48</v>
      </c>
    </row>
    <row r="1819" spans="1:25" x14ac:dyDescent="0.3">
      <c r="A1819" s="16">
        <v>7501836003669</v>
      </c>
      <c r="B1819" s="81" t="s">
        <v>43</v>
      </c>
      <c r="C1819" s="81" t="s">
        <v>4189</v>
      </c>
      <c r="D1819" s="81" t="s">
        <v>45</v>
      </c>
      <c r="E1819" s="81" t="s">
        <v>2227</v>
      </c>
      <c r="F1819" s="81" t="s">
        <v>2227</v>
      </c>
      <c r="G1819" s="81" t="s">
        <v>5422</v>
      </c>
      <c r="H1819" s="81" t="s">
        <v>2243</v>
      </c>
      <c r="I1819" s="81" t="s">
        <v>5653</v>
      </c>
      <c r="J1819" s="81" t="s">
        <v>2186</v>
      </c>
      <c r="K1819" s="81" t="s">
        <v>5653</v>
      </c>
      <c r="L1819" s="81" t="s">
        <v>2392</v>
      </c>
      <c r="M1819" s="81" t="s">
        <v>5653</v>
      </c>
      <c r="N1819" s="81" t="s">
        <v>2231</v>
      </c>
      <c r="O1819" s="81" t="s">
        <v>2187</v>
      </c>
      <c r="P1819" s="81" t="s">
        <v>2187</v>
      </c>
      <c r="Q1819" s="81" t="s">
        <v>43</v>
      </c>
      <c r="R1819" s="81" t="s">
        <v>46</v>
      </c>
      <c r="S1819" s="81" t="s">
        <v>46</v>
      </c>
      <c r="T1819" s="81" t="s">
        <v>48</v>
      </c>
      <c r="U1819" s="81" t="s">
        <v>48</v>
      </c>
      <c r="V1819" s="81" t="s">
        <v>48</v>
      </c>
      <c r="W1819" s="81" t="s">
        <v>49</v>
      </c>
      <c r="X1819" s="81" t="s">
        <v>48</v>
      </c>
      <c r="Y1819" s="81" t="s">
        <v>48</v>
      </c>
    </row>
    <row r="1820" spans="1:25" x14ac:dyDescent="0.3">
      <c r="A1820" s="16">
        <v>7503045798022</v>
      </c>
      <c r="B1820" s="81" t="s">
        <v>43</v>
      </c>
      <c r="C1820" s="81" t="s">
        <v>4190</v>
      </c>
      <c r="D1820" s="81" t="s">
        <v>45</v>
      </c>
      <c r="E1820" s="81" t="s">
        <v>2227</v>
      </c>
      <c r="F1820" s="81" t="s">
        <v>2227</v>
      </c>
      <c r="G1820" s="81" t="s">
        <v>6960</v>
      </c>
      <c r="H1820" s="81" t="s">
        <v>2464</v>
      </c>
      <c r="I1820" s="81" t="s">
        <v>6961</v>
      </c>
      <c r="J1820" s="81" t="s">
        <v>2186</v>
      </c>
      <c r="K1820" s="81" t="s">
        <v>6961</v>
      </c>
      <c r="L1820" s="81" t="s">
        <v>2392</v>
      </c>
      <c r="M1820" s="81" t="s">
        <v>6961</v>
      </c>
      <c r="N1820" s="81" t="s">
        <v>2231</v>
      </c>
      <c r="O1820" s="81" t="s">
        <v>2187</v>
      </c>
      <c r="P1820" s="81" t="s">
        <v>2187</v>
      </c>
      <c r="Q1820" s="81" t="s">
        <v>43</v>
      </c>
      <c r="R1820" s="81" t="s">
        <v>46</v>
      </c>
      <c r="S1820" s="81" t="s">
        <v>46</v>
      </c>
      <c r="T1820" s="81" t="s">
        <v>48</v>
      </c>
      <c r="U1820" s="81" t="s">
        <v>48</v>
      </c>
      <c r="V1820" s="81" t="s">
        <v>48</v>
      </c>
      <c r="W1820" s="81" t="s">
        <v>49</v>
      </c>
      <c r="X1820" s="81" t="s">
        <v>48</v>
      </c>
      <c r="Y1820" s="81" t="s">
        <v>48</v>
      </c>
    </row>
    <row r="1821" spans="1:25" x14ac:dyDescent="0.3">
      <c r="A1821" s="16">
        <v>7501298215501</v>
      </c>
      <c r="B1821" s="81" t="s">
        <v>43</v>
      </c>
      <c r="C1821" s="81" t="s">
        <v>4191</v>
      </c>
      <c r="D1821" s="81" t="s">
        <v>45</v>
      </c>
      <c r="E1821" s="81" t="s">
        <v>2227</v>
      </c>
      <c r="F1821" s="81" t="s">
        <v>2227</v>
      </c>
      <c r="G1821" s="81" t="s">
        <v>4192</v>
      </c>
      <c r="H1821" s="81" t="s">
        <v>2737</v>
      </c>
      <c r="I1821" s="81" t="s">
        <v>6962</v>
      </c>
      <c r="J1821" s="81" t="s">
        <v>2186</v>
      </c>
      <c r="K1821" s="81" t="s">
        <v>6962</v>
      </c>
      <c r="L1821" s="81" t="s">
        <v>2392</v>
      </c>
      <c r="M1821" s="81" t="s">
        <v>6962</v>
      </c>
      <c r="N1821" s="81" t="s">
        <v>2231</v>
      </c>
      <c r="O1821" s="81" t="s">
        <v>2187</v>
      </c>
      <c r="P1821" s="81" t="s">
        <v>2187</v>
      </c>
      <c r="Q1821" s="81" t="s">
        <v>43</v>
      </c>
      <c r="R1821" s="81" t="s">
        <v>374</v>
      </c>
      <c r="S1821" s="81" t="s">
        <v>374</v>
      </c>
      <c r="T1821" s="81" t="s">
        <v>49</v>
      </c>
      <c r="U1821" s="81" t="s">
        <v>48</v>
      </c>
      <c r="V1821" s="81" t="s">
        <v>48</v>
      </c>
      <c r="W1821" s="81" t="s">
        <v>49</v>
      </c>
      <c r="X1821" s="81" t="s">
        <v>48</v>
      </c>
      <c r="Y1821" s="81" t="s">
        <v>48</v>
      </c>
    </row>
    <row r="1822" spans="1:25" x14ac:dyDescent="0.3">
      <c r="A1822" s="16">
        <v>7501314705405</v>
      </c>
      <c r="B1822" s="81" t="s">
        <v>43</v>
      </c>
      <c r="C1822" s="81" t="s">
        <v>4193</v>
      </c>
      <c r="D1822" s="81" t="s">
        <v>45</v>
      </c>
      <c r="E1822" s="81" t="s">
        <v>2227</v>
      </c>
      <c r="F1822" s="81" t="s">
        <v>2227</v>
      </c>
      <c r="G1822" s="81" t="s">
        <v>4194</v>
      </c>
      <c r="H1822" s="81" t="s">
        <v>3299</v>
      </c>
      <c r="I1822" s="81" t="s">
        <v>6963</v>
      </c>
      <c r="J1822" s="81" t="s">
        <v>2186</v>
      </c>
      <c r="K1822" s="81" t="s">
        <v>6963</v>
      </c>
      <c r="L1822" s="81" t="s">
        <v>2392</v>
      </c>
      <c r="M1822" s="81" t="s">
        <v>6963</v>
      </c>
      <c r="N1822" s="81" t="s">
        <v>2231</v>
      </c>
      <c r="O1822" s="81" t="s">
        <v>2187</v>
      </c>
      <c r="P1822" s="81" t="s">
        <v>2187</v>
      </c>
      <c r="Q1822" s="81" t="s">
        <v>43</v>
      </c>
      <c r="R1822" s="81" t="s">
        <v>374</v>
      </c>
      <c r="S1822" s="81" t="s">
        <v>374</v>
      </c>
      <c r="T1822" s="81" t="s">
        <v>48</v>
      </c>
      <c r="U1822" s="81" t="s">
        <v>48</v>
      </c>
      <c r="V1822" s="81" t="s">
        <v>48</v>
      </c>
      <c r="W1822" s="81" t="s">
        <v>49</v>
      </c>
      <c r="X1822" s="81" t="s">
        <v>48</v>
      </c>
      <c r="Y1822" s="81" t="s">
        <v>48</v>
      </c>
    </row>
    <row r="1823" spans="1:25" x14ac:dyDescent="0.3">
      <c r="A1823" s="16">
        <v>7501390911011</v>
      </c>
      <c r="B1823" s="81" t="s">
        <v>43</v>
      </c>
      <c r="C1823" s="81" t="s">
        <v>4195</v>
      </c>
      <c r="D1823" s="81" t="s">
        <v>45</v>
      </c>
      <c r="E1823" s="81" t="s">
        <v>2227</v>
      </c>
      <c r="F1823" s="81" t="s">
        <v>2227</v>
      </c>
      <c r="G1823" s="81" t="s">
        <v>4196</v>
      </c>
      <c r="H1823" s="81" t="s">
        <v>4016</v>
      </c>
      <c r="I1823" s="81" t="s">
        <v>6964</v>
      </c>
      <c r="J1823" s="81" t="s">
        <v>2186</v>
      </c>
      <c r="K1823" s="81" t="s">
        <v>6964</v>
      </c>
      <c r="L1823" s="81" t="s">
        <v>2392</v>
      </c>
      <c r="M1823" s="81" t="s">
        <v>6964</v>
      </c>
      <c r="N1823" s="81" t="s">
        <v>2231</v>
      </c>
      <c r="O1823" s="81" t="s">
        <v>2187</v>
      </c>
      <c r="P1823" s="81" t="s">
        <v>2187</v>
      </c>
      <c r="Q1823" s="81" t="s">
        <v>43</v>
      </c>
      <c r="R1823" s="81" t="s">
        <v>374</v>
      </c>
      <c r="S1823" s="81" t="s">
        <v>374</v>
      </c>
      <c r="T1823" s="81" t="s">
        <v>48</v>
      </c>
      <c r="U1823" s="81" t="s">
        <v>48</v>
      </c>
      <c r="V1823" s="81" t="s">
        <v>48</v>
      </c>
      <c r="W1823" s="81" t="s">
        <v>49</v>
      </c>
      <c r="X1823" s="81" t="s">
        <v>48</v>
      </c>
      <c r="Y1823" s="81" t="s">
        <v>48</v>
      </c>
    </row>
    <row r="1824" spans="1:25" x14ac:dyDescent="0.3">
      <c r="A1824" s="16">
        <v>7501070903800</v>
      </c>
      <c r="B1824" s="81" t="s">
        <v>43</v>
      </c>
      <c r="C1824" s="81" t="s">
        <v>4197</v>
      </c>
      <c r="D1824" s="81" t="s">
        <v>45</v>
      </c>
      <c r="E1824" s="81" t="s">
        <v>2227</v>
      </c>
      <c r="F1824" s="81" t="s">
        <v>2227</v>
      </c>
      <c r="G1824" s="81" t="s">
        <v>4198</v>
      </c>
      <c r="H1824" s="81" t="s">
        <v>2933</v>
      </c>
      <c r="I1824" s="81" t="s">
        <v>6965</v>
      </c>
      <c r="J1824" s="81" t="s">
        <v>2186</v>
      </c>
      <c r="K1824" s="81" t="s">
        <v>6965</v>
      </c>
      <c r="L1824" s="81" t="s">
        <v>2392</v>
      </c>
      <c r="M1824" s="81" t="s">
        <v>6965</v>
      </c>
      <c r="N1824" s="81" t="s">
        <v>2231</v>
      </c>
      <c r="O1824" s="81" t="s">
        <v>2187</v>
      </c>
      <c r="P1824" s="81" t="s">
        <v>2187</v>
      </c>
      <c r="Q1824" s="81" t="s">
        <v>43</v>
      </c>
      <c r="R1824" s="81" t="s">
        <v>374</v>
      </c>
      <c r="S1824" s="81" t="s">
        <v>374</v>
      </c>
      <c r="T1824" s="81" t="s">
        <v>48</v>
      </c>
      <c r="U1824" s="81" t="s">
        <v>48</v>
      </c>
      <c r="V1824" s="81" t="s">
        <v>48</v>
      </c>
      <c r="W1824" s="81" t="s">
        <v>49</v>
      </c>
      <c r="X1824" s="81" t="s">
        <v>48</v>
      </c>
      <c r="Y1824" s="81" t="s">
        <v>48</v>
      </c>
    </row>
    <row r="1825" spans="1:25" x14ac:dyDescent="0.3">
      <c r="A1825" s="16">
        <v>7501314704644</v>
      </c>
      <c r="B1825" s="81" t="s">
        <v>43</v>
      </c>
      <c r="C1825" s="81" t="s">
        <v>4199</v>
      </c>
      <c r="D1825" s="81" t="s">
        <v>45</v>
      </c>
      <c r="E1825" s="81" t="s">
        <v>2227</v>
      </c>
      <c r="F1825" s="81" t="s">
        <v>2227</v>
      </c>
      <c r="G1825" s="81" t="s">
        <v>4200</v>
      </c>
      <c r="H1825" s="81" t="s">
        <v>3107</v>
      </c>
      <c r="I1825" s="81" t="s">
        <v>6966</v>
      </c>
      <c r="J1825" s="81" t="s">
        <v>2186</v>
      </c>
      <c r="K1825" s="81" t="s">
        <v>6966</v>
      </c>
      <c r="L1825" s="81" t="s">
        <v>2392</v>
      </c>
      <c r="M1825" s="81" t="s">
        <v>6966</v>
      </c>
      <c r="N1825" s="81" t="s">
        <v>2231</v>
      </c>
      <c r="O1825" s="81" t="s">
        <v>2187</v>
      </c>
      <c r="P1825" s="81" t="s">
        <v>2187</v>
      </c>
      <c r="Q1825" s="81" t="s">
        <v>43</v>
      </c>
      <c r="R1825" s="81" t="s">
        <v>374</v>
      </c>
      <c r="S1825" s="81" t="s">
        <v>374</v>
      </c>
      <c r="T1825" s="81" t="s">
        <v>48</v>
      </c>
      <c r="U1825" s="81" t="s">
        <v>48</v>
      </c>
      <c r="V1825" s="81" t="s">
        <v>48</v>
      </c>
      <c r="W1825" s="81" t="s">
        <v>49</v>
      </c>
      <c r="X1825" s="81" t="s">
        <v>48</v>
      </c>
      <c r="Y1825" s="81" t="s">
        <v>48</v>
      </c>
    </row>
    <row r="1826" spans="1:25" x14ac:dyDescent="0.3">
      <c r="A1826" s="16">
        <v>70942005500</v>
      </c>
      <c r="B1826" s="81" t="s">
        <v>43</v>
      </c>
      <c r="C1826" s="81" t="s">
        <v>4201</v>
      </c>
      <c r="D1826" s="81" t="s">
        <v>45</v>
      </c>
      <c r="E1826" s="81" t="s">
        <v>2227</v>
      </c>
      <c r="F1826" s="81" t="s">
        <v>2227</v>
      </c>
      <c r="G1826" s="81" t="s">
        <v>4784</v>
      </c>
      <c r="H1826" s="81" t="s">
        <v>3160</v>
      </c>
      <c r="I1826" s="81" t="s">
        <v>6134</v>
      </c>
      <c r="J1826" s="81" t="s">
        <v>2186</v>
      </c>
      <c r="K1826" s="81" t="s">
        <v>6134</v>
      </c>
      <c r="L1826" s="81" t="s">
        <v>2392</v>
      </c>
      <c r="M1826" s="81" t="s">
        <v>6134</v>
      </c>
      <c r="N1826" s="81" t="s">
        <v>2231</v>
      </c>
      <c r="O1826" s="81" t="s">
        <v>2187</v>
      </c>
      <c r="P1826" s="81" t="s">
        <v>2187</v>
      </c>
      <c r="Q1826" s="81" t="s">
        <v>43</v>
      </c>
      <c r="R1826" s="81" t="s">
        <v>122</v>
      </c>
      <c r="S1826" s="81" t="s">
        <v>122</v>
      </c>
      <c r="T1826" s="81" t="s">
        <v>48</v>
      </c>
      <c r="U1826" s="81" t="s">
        <v>48</v>
      </c>
      <c r="V1826" s="81" t="s">
        <v>49</v>
      </c>
      <c r="W1826" s="81" t="s">
        <v>48</v>
      </c>
      <c r="X1826" s="81" t="s">
        <v>48</v>
      </c>
      <c r="Y1826" s="81" t="s">
        <v>48</v>
      </c>
    </row>
    <row r="1827" spans="1:25" x14ac:dyDescent="0.3">
      <c r="A1827" s="16">
        <v>7501070641269</v>
      </c>
      <c r="B1827" s="81" t="s">
        <v>43</v>
      </c>
      <c r="C1827" s="81" t="s">
        <v>4202</v>
      </c>
      <c r="D1827" s="81" t="s">
        <v>45</v>
      </c>
      <c r="E1827" s="81" t="s">
        <v>2227</v>
      </c>
      <c r="F1827" s="81" t="s">
        <v>2227</v>
      </c>
      <c r="G1827" s="81" t="s">
        <v>4203</v>
      </c>
      <c r="H1827" s="81" t="s">
        <v>2680</v>
      </c>
      <c r="I1827" s="81" t="s">
        <v>6967</v>
      </c>
      <c r="J1827" s="81" t="s">
        <v>2186</v>
      </c>
      <c r="K1827" s="81" t="s">
        <v>6967</v>
      </c>
      <c r="L1827" s="81" t="s">
        <v>2392</v>
      </c>
      <c r="M1827" s="81" t="s">
        <v>6967</v>
      </c>
      <c r="N1827" s="81" t="s">
        <v>2231</v>
      </c>
      <c r="O1827" s="81" t="s">
        <v>2187</v>
      </c>
      <c r="P1827" s="81" t="s">
        <v>2187</v>
      </c>
      <c r="Q1827" s="81" t="s">
        <v>43</v>
      </c>
      <c r="R1827" s="81" t="s">
        <v>203</v>
      </c>
      <c r="S1827" s="81" t="s">
        <v>203</v>
      </c>
      <c r="T1827" s="81" t="s">
        <v>48</v>
      </c>
      <c r="U1827" s="81" t="s">
        <v>48</v>
      </c>
      <c r="V1827" s="81" t="s">
        <v>48</v>
      </c>
      <c r="W1827" s="81" t="s">
        <v>49</v>
      </c>
      <c r="X1827" s="81" t="s">
        <v>48</v>
      </c>
      <c r="Y1827" s="81" t="s">
        <v>48</v>
      </c>
    </row>
    <row r="1828" spans="1:25" x14ac:dyDescent="0.3">
      <c r="A1828" s="16">
        <v>7502208895080</v>
      </c>
      <c r="B1828" s="81" t="s">
        <v>43</v>
      </c>
      <c r="C1828" s="81" t="s">
        <v>4204</v>
      </c>
      <c r="D1828" s="81" t="s">
        <v>45</v>
      </c>
      <c r="E1828" s="81" t="s">
        <v>2227</v>
      </c>
      <c r="F1828" s="81" t="s">
        <v>2227</v>
      </c>
      <c r="G1828" s="81" t="s">
        <v>3787</v>
      </c>
      <c r="H1828" s="81" t="s">
        <v>2264</v>
      </c>
      <c r="I1828" s="81" t="s">
        <v>6575</v>
      </c>
      <c r="J1828" s="81" t="s">
        <v>2186</v>
      </c>
      <c r="K1828" s="81" t="s">
        <v>6575</v>
      </c>
      <c r="L1828" s="81" t="s">
        <v>2392</v>
      </c>
      <c r="M1828" s="81" t="s">
        <v>6575</v>
      </c>
      <c r="N1828" s="81" t="s">
        <v>2231</v>
      </c>
      <c r="O1828" s="81" t="s">
        <v>2187</v>
      </c>
      <c r="P1828" s="81" t="s">
        <v>2187</v>
      </c>
      <c r="Q1828" s="81" t="s">
        <v>43</v>
      </c>
      <c r="R1828" s="81" t="s">
        <v>46</v>
      </c>
      <c r="S1828" s="81" t="s">
        <v>47</v>
      </c>
      <c r="T1828" s="81" t="s">
        <v>48</v>
      </c>
      <c r="U1828" s="81" t="s">
        <v>48</v>
      </c>
      <c r="V1828" s="81" t="s">
        <v>48</v>
      </c>
      <c r="W1828" s="81" t="s">
        <v>49</v>
      </c>
      <c r="X1828" s="81" t="s">
        <v>48</v>
      </c>
      <c r="Y1828" s="81" t="s">
        <v>48</v>
      </c>
    </row>
    <row r="1829" spans="1:25" x14ac:dyDescent="0.3">
      <c r="A1829" s="16">
        <v>7502009749988</v>
      </c>
      <c r="B1829" s="81" t="s">
        <v>43</v>
      </c>
      <c r="C1829" s="81" t="s">
        <v>4205</v>
      </c>
      <c r="D1829" s="81" t="s">
        <v>45</v>
      </c>
      <c r="E1829" s="81" t="s">
        <v>2227</v>
      </c>
      <c r="F1829" s="81" t="s">
        <v>2227</v>
      </c>
      <c r="G1829" s="81" t="s">
        <v>2524</v>
      </c>
      <c r="H1829" s="81" t="s">
        <v>2743</v>
      </c>
      <c r="I1829" s="81" t="s">
        <v>6968</v>
      </c>
      <c r="J1829" s="81" t="s">
        <v>2186</v>
      </c>
      <c r="K1829" s="81" t="s">
        <v>6968</v>
      </c>
      <c r="L1829" s="81" t="s">
        <v>2392</v>
      </c>
      <c r="M1829" s="81" t="s">
        <v>6968</v>
      </c>
      <c r="N1829" s="81" t="s">
        <v>2231</v>
      </c>
      <c r="O1829" s="81" t="s">
        <v>2187</v>
      </c>
      <c r="P1829" s="81" t="s">
        <v>2187</v>
      </c>
      <c r="Q1829" s="81" t="s">
        <v>43</v>
      </c>
      <c r="R1829" s="81" t="s">
        <v>46</v>
      </c>
      <c r="S1829" s="81" t="s">
        <v>46</v>
      </c>
      <c r="T1829" s="81" t="s">
        <v>48</v>
      </c>
      <c r="U1829" s="81" t="s">
        <v>48</v>
      </c>
      <c r="V1829" s="81" t="s">
        <v>48</v>
      </c>
      <c r="W1829" s="81" t="s">
        <v>49</v>
      </c>
      <c r="X1829" s="81" t="s">
        <v>48</v>
      </c>
      <c r="Y1829" s="81" t="s">
        <v>48</v>
      </c>
    </row>
    <row r="1830" spans="1:25" x14ac:dyDescent="0.3">
      <c r="A1830" s="16">
        <v>7501065084996</v>
      </c>
      <c r="B1830" s="81" t="s">
        <v>43</v>
      </c>
      <c r="C1830" s="81" t="s">
        <v>4206</v>
      </c>
      <c r="D1830" s="81" t="s">
        <v>45</v>
      </c>
      <c r="E1830" s="81" t="s">
        <v>2227</v>
      </c>
      <c r="F1830" s="81" t="s">
        <v>2227</v>
      </c>
      <c r="G1830" s="81" t="s">
        <v>4207</v>
      </c>
      <c r="H1830" s="81" t="s">
        <v>2680</v>
      </c>
      <c r="I1830" s="81" t="s">
        <v>6969</v>
      </c>
      <c r="J1830" s="81" t="s">
        <v>2186</v>
      </c>
      <c r="K1830" s="81" t="s">
        <v>6969</v>
      </c>
      <c r="L1830" s="81" t="s">
        <v>2392</v>
      </c>
      <c r="M1830" s="81" t="s">
        <v>6969</v>
      </c>
      <c r="N1830" s="81" t="s">
        <v>2231</v>
      </c>
      <c r="O1830" s="81" t="s">
        <v>2187</v>
      </c>
      <c r="P1830" s="81" t="s">
        <v>2187</v>
      </c>
      <c r="Q1830" s="81" t="s">
        <v>43</v>
      </c>
      <c r="R1830" s="81" t="s">
        <v>203</v>
      </c>
      <c r="S1830" s="81" t="s">
        <v>203</v>
      </c>
      <c r="T1830" s="81" t="s">
        <v>48</v>
      </c>
      <c r="U1830" s="81" t="s">
        <v>48</v>
      </c>
      <c r="V1830" s="81" t="s">
        <v>48</v>
      </c>
      <c r="W1830" s="81" t="s">
        <v>49</v>
      </c>
      <c r="X1830" s="81" t="s">
        <v>48</v>
      </c>
      <c r="Y1830" s="81" t="s">
        <v>48</v>
      </c>
    </row>
    <row r="1831" spans="1:25" x14ac:dyDescent="0.3">
      <c r="A1831" s="16">
        <v>7501065085528</v>
      </c>
      <c r="B1831" s="81" t="s">
        <v>43</v>
      </c>
      <c r="C1831" s="81" t="s">
        <v>4208</v>
      </c>
      <c r="D1831" s="81" t="s">
        <v>45</v>
      </c>
      <c r="E1831" s="81" t="s">
        <v>2227</v>
      </c>
      <c r="F1831" s="81" t="s">
        <v>2227</v>
      </c>
      <c r="G1831" s="81" t="s">
        <v>4209</v>
      </c>
      <c r="H1831" s="81" t="s">
        <v>2609</v>
      </c>
      <c r="I1831" s="81" t="s">
        <v>3656</v>
      </c>
      <c r="J1831" s="81" t="s">
        <v>2186</v>
      </c>
      <c r="K1831" s="81" t="s">
        <v>3656</v>
      </c>
      <c r="L1831" s="81" t="s">
        <v>2392</v>
      </c>
      <c r="M1831" s="81" t="s">
        <v>3656</v>
      </c>
      <c r="N1831" s="81" t="s">
        <v>2231</v>
      </c>
      <c r="O1831" s="81" t="s">
        <v>2187</v>
      </c>
      <c r="P1831" s="81" t="s">
        <v>2187</v>
      </c>
      <c r="Q1831" s="81" t="s">
        <v>43</v>
      </c>
      <c r="R1831" s="81" t="s">
        <v>203</v>
      </c>
      <c r="S1831" s="81" t="s">
        <v>203</v>
      </c>
      <c r="T1831" s="81" t="s">
        <v>48</v>
      </c>
      <c r="U1831" s="81" t="s">
        <v>48</v>
      </c>
      <c r="V1831" s="81" t="s">
        <v>48</v>
      </c>
      <c r="W1831" s="81" t="s">
        <v>49</v>
      </c>
      <c r="X1831" s="81" t="s">
        <v>48</v>
      </c>
      <c r="Y1831" s="81" t="s">
        <v>48</v>
      </c>
    </row>
    <row r="1832" spans="1:25" x14ac:dyDescent="0.3">
      <c r="A1832" s="16">
        <v>7506021101359</v>
      </c>
      <c r="B1832" s="81" t="s">
        <v>43</v>
      </c>
      <c r="C1832" s="81" t="s">
        <v>4210</v>
      </c>
      <c r="D1832" s="81" t="s">
        <v>45</v>
      </c>
      <c r="E1832" s="81" t="s">
        <v>2227</v>
      </c>
      <c r="F1832" s="81" t="s">
        <v>2227</v>
      </c>
      <c r="G1832" s="81" t="s">
        <v>4211</v>
      </c>
      <c r="H1832" s="81" t="s">
        <v>3187</v>
      </c>
      <c r="I1832" s="81" t="s">
        <v>6970</v>
      </c>
      <c r="J1832" s="81" t="s">
        <v>2186</v>
      </c>
      <c r="K1832" s="81" t="s">
        <v>6970</v>
      </c>
      <c r="L1832" s="81" t="s">
        <v>2392</v>
      </c>
      <c r="M1832" s="81" t="s">
        <v>6970</v>
      </c>
      <c r="N1832" s="81" t="s">
        <v>2231</v>
      </c>
      <c r="O1832" s="81" t="s">
        <v>2187</v>
      </c>
      <c r="P1832" s="81" t="s">
        <v>2187</v>
      </c>
      <c r="Q1832" s="81" t="s">
        <v>43</v>
      </c>
      <c r="R1832" s="81" t="s">
        <v>203</v>
      </c>
      <c r="S1832" s="81" t="s">
        <v>203</v>
      </c>
      <c r="T1832" s="81" t="s">
        <v>48</v>
      </c>
      <c r="U1832" s="81" t="s">
        <v>48</v>
      </c>
      <c r="V1832" s="81" t="s">
        <v>49</v>
      </c>
      <c r="W1832" s="81" t="s">
        <v>48</v>
      </c>
      <c r="X1832" s="81" t="s">
        <v>48</v>
      </c>
      <c r="Y1832" s="81" t="s">
        <v>48</v>
      </c>
    </row>
    <row r="1833" spans="1:25" x14ac:dyDescent="0.3">
      <c r="A1833" s="16">
        <v>7506442703897</v>
      </c>
      <c r="B1833" s="81" t="s">
        <v>43</v>
      </c>
      <c r="C1833" s="81" t="s">
        <v>4212</v>
      </c>
      <c r="D1833" s="81" t="s">
        <v>45</v>
      </c>
      <c r="E1833" s="81" t="s">
        <v>2227</v>
      </c>
      <c r="F1833" s="81" t="s">
        <v>2227</v>
      </c>
      <c r="G1833" s="81" t="s">
        <v>4213</v>
      </c>
      <c r="H1833" s="81" t="s">
        <v>2680</v>
      </c>
      <c r="I1833" s="81" t="s">
        <v>2681</v>
      </c>
      <c r="J1833" s="81" t="s">
        <v>2186</v>
      </c>
      <c r="K1833" s="81" t="s">
        <v>2682</v>
      </c>
      <c r="L1833" s="81" t="s">
        <v>2392</v>
      </c>
      <c r="M1833" s="81" t="s">
        <v>3096</v>
      </c>
      <c r="N1833" s="81" t="s">
        <v>2231</v>
      </c>
      <c r="O1833" s="81" t="s">
        <v>2187</v>
      </c>
      <c r="P1833" s="81" t="s">
        <v>2187</v>
      </c>
      <c r="Q1833" s="81" t="s">
        <v>43</v>
      </c>
      <c r="R1833" s="81" t="s">
        <v>46</v>
      </c>
      <c r="S1833" s="81" t="s">
        <v>47</v>
      </c>
      <c r="T1833" s="81" t="s">
        <v>48</v>
      </c>
      <c r="U1833" s="81" t="s">
        <v>48</v>
      </c>
      <c r="V1833" s="81" t="s">
        <v>48</v>
      </c>
      <c r="W1833" s="81" t="s">
        <v>49</v>
      </c>
      <c r="X1833" s="81" t="s">
        <v>48</v>
      </c>
      <c r="Y1833" s="81" t="s">
        <v>48</v>
      </c>
    </row>
    <row r="1834" spans="1:25" x14ac:dyDescent="0.3">
      <c r="A1834" s="16" t="s">
        <v>4214</v>
      </c>
      <c r="B1834" s="81" t="s">
        <v>43</v>
      </c>
      <c r="C1834" s="81" t="s">
        <v>4215</v>
      </c>
      <c r="D1834" s="81" t="s">
        <v>45</v>
      </c>
      <c r="E1834" s="81" t="s">
        <v>2564</v>
      </c>
      <c r="F1834" s="81" t="s">
        <v>2565</v>
      </c>
      <c r="G1834" s="81" t="s">
        <v>2566</v>
      </c>
      <c r="H1834" s="81" t="s">
        <v>2315</v>
      </c>
      <c r="I1834" s="81" t="s">
        <v>6862</v>
      </c>
      <c r="J1834" s="81" t="s">
        <v>2186</v>
      </c>
      <c r="K1834" s="81" t="s">
        <v>6862</v>
      </c>
      <c r="L1834" s="81" t="s">
        <v>2392</v>
      </c>
      <c r="M1834" s="81" t="s">
        <v>6862</v>
      </c>
      <c r="N1834" s="81" t="s">
        <v>2231</v>
      </c>
      <c r="O1834" s="81" t="s">
        <v>2187</v>
      </c>
      <c r="P1834" s="81" t="s">
        <v>2187</v>
      </c>
      <c r="Q1834" s="81" t="s">
        <v>272</v>
      </c>
      <c r="R1834" s="81" t="s">
        <v>203</v>
      </c>
      <c r="S1834" s="81" t="s">
        <v>47</v>
      </c>
      <c r="T1834" s="81" t="s">
        <v>48</v>
      </c>
      <c r="U1834" s="81" t="s">
        <v>48</v>
      </c>
      <c r="V1834" s="81" t="s">
        <v>48</v>
      </c>
      <c r="W1834" s="81" t="s">
        <v>49</v>
      </c>
      <c r="X1834" s="81" t="s">
        <v>48</v>
      </c>
      <c r="Y1834" s="81" t="s">
        <v>48</v>
      </c>
    </row>
    <row r="1835" spans="1:25" x14ac:dyDescent="0.3">
      <c r="A1835" s="16" t="s">
        <v>4216</v>
      </c>
      <c r="B1835" s="81" t="s">
        <v>43</v>
      </c>
      <c r="C1835" s="81" t="s">
        <v>4217</v>
      </c>
      <c r="D1835" s="81" t="s">
        <v>45</v>
      </c>
      <c r="E1835" s="81" t="s">
        <v>2564</v>
      </c>
      <c r="F1835" s="81" t="s">
        <v>2565</v>
      </c>
      <c r="G1835" s="81" t="s">
        <v>2566</v>
      </c>
      <c r="H1835" s="81" t="s">
        <v>2315</v>
      </c>
      <c r="I1835" s="81" t="s">
        <v>6862</v>
      </c>
      <c r="J1835" s="81" t="s">
        <v>2186</v>
      </c>
      <c r="K1835" s="81" t="s">
        <v>6862</v>
      </c>
      <c r="L1835" s="81" t="s">
        <v>2392</v>
      </c>
      <c r="M1835" s="81" t="s">
        <v>6862</v>
      </c>
      <c r="N1835" s="81" t="s">
        <v>2231</v>
      </c>
      <c r="O1835" s="81" t="s">
        <v>2187</v>
      </c>
      <c r="P1835" s="81" t="s">
        <v>2187</v>
      </c>
      <c r="Q1835" s="81" t="s">
        <v>272</v>
      </c>
      <c r="R1835" s="81" t="s">
        <v>203</v>
      </c>
      <c r="S1835" s="81" t="s">
        <v>47</v>
      </c>
      <c r="T1835" s="81" t="s">
        <v>48</v>
      </c>
      <c r="U1835" s="81" t="s">
        <v>48</v>
      </c>
      <c r="V1835" s="81" t="s">
        <v>48</v>
      </c>
      <c r="W1835" s="81" t="s">
        <v>49</v>
      </c>
      <c r="X1835" s="81" t="s">
        <v>48</v>
      </c>
      <c r="Y1835" s="81" t="s">
        <v>48</v>
      </c>
    </row>
    <row r="1836" spans="1:25" x14ac:dyDescent="0.3">
      <c r="A1836" s="16">
        <v>4968420726671</v>
      </c>
      <c r="B1836" s="81" t="s">
        <v>43</v>
      </c>
      <c r="C1836" s="81" t="s">
        <v>4218</v>
      </c>
      <c r="D1836" s="81" t="s">
        <v>45</v>
      </c>
      <c r="E1836" s="81" t="s">
        <v>2227</v>
      </c>
      <c r="F1836" s="81" t="s">
        <v>2227</v>
      </c>
      <c r="G1836" s="81" t="s">
        <v>4219</v>
      </c>
      <c r="H1836" s="81" t="s">
        <v>4220</v>
      </c>
      <c r="I1836" s="81" t="s">
        <v>6971</v>
      </c>
      <c r="J1836" s="81" t="s">
        <v>2186</v>
      </c>
      <c r="K1836" s="81" t="s">
        <v>6971</v>
      </c>
      <c r="L1836" s="81" t="s">
        <v>2392</v>
      </c>
      <c r="M1836" s="81" t="s">
        <v>6971</v>
      </c>
      <c r="N1836" s="81" t="s">
        <v>2231</v>
      </c>
      <c r="O1836" s="81" t="s">
        <v>2187</v>
      </c>
      <c r="P1836" s="81" t="s">
        <v>2187</v>
      </c>
      <c r="Q1836" s="81" t="s">
        <v>43</v>
      </c>
      <c r="R1836" s="81" t="s">
        <v>122</v>
      </c>
      <c r="S1836" s="81" t="s">
        <v>122</v>
      </c>
      <c r="T1836" s="81" t="s">
        <v>48</v>
      </c>
      <c r="U1836" s="81" t="s">
        <v>48</v>
      </c>
      <c r="V1836" s="81" t="s">
        <v>49</v>
      </c>
      <c r="W1836" s="81" t="s">
        <v>48</v>
      </c>
      <c r="X1836" s="81" t="s">
        <v>48</v>
      </c>
      <c r="Y1836" s="81" t="s">
        <v>48</v>
      </c>
    </row>
    <row r="1837" spans="1:25" x14ac:dyDescent="0.3">
      <c r="A1837" s="16">
        <v>4968420726312</v>
      </c>
      <c r="B1837" s="81" t="s">
        <v>43</v>
      </c>
      <c r="C1837" s="81" t="s">
        <v>4221</v>
      </c>
      <c r="D1837" s="81" t="s">
        <v>45</v>
      </c>
      <c r="E1837" s="81" t="s">
        <v>2227</v>
      </c>
      <c r="F1837" s="81" t="s">
        <v>2227</v>
      </c>
      <c r="G1837" s="81" t="s">
        <v>4222</v>
      </c>
      <c r="H1837" s="81" t="s">
        <v>3492</v>
      </c>
      <c r="I1837" s="81" t="s">
        <v>4223</v>
      </c>
      <c r="J1837" s="81" t="s">
        <v>2186</v>
      </c>
      <c r="K1837" s="81" t="s">
        <v>4224</v>
      </c>
      <c r="L1837" s="81" t="s">
        <v>2392</v>
      </c>
      <c r="M1837" s="81" t="s">
        <v>4225</v>
      </c>
      <c r="N1837" s="81" t="s">
        <v>2231</v>
      </c>
      <c r="O1837" s="81" t="s">
        <v>2187</v>
      </c>
      <c r="P1837" s="81" t="s">
        <v>2187</v>
      </c>
      <c r="Q1837" s="81" t="s">
        <v>43</v>
      </c>
      <c r="R1837" s="81" t="s">
        <v>122</v>
      </c>
      <c r="S1837" s="81" t="s">
        <v>122</v>
      </c>
      <c r="T1837" s="81" t="s">
        <v>48</v>
      </c>
      <c r="U1837" s="81" t="s">
        <v>48</v>
      </c>
      <c r="V1837" s="81" t="s">
        <v>49</v>
      </c>
      <c r="W1837" s="81" t="s">
        <v>48</v>
      </c>
      <c r="X1837" s="81" t="s">
        <v>48</v>
      </c>
      <c r="Y1837" s="81" t="s">
        <v>48</v>
      </c>
    </row>
    <row r="1838" spans="1:25" x14ac:dyDescent="0.3">
      <c r="A1838" s="16">
        <v>7501125100864</v>
      </c>
      <c r="B1838" s="81" t="s">
        <v>43</v>
      </c>
      <c r="C1838" s="81" t="s">
        <v>4226</v>
      </c>
      <c r="D1838" s="81" t="s">
        <v>45</v>
      </c>
      <c r="E1838" s="81" t="s">
        <v>2227</v>
      </c>
      <c r="F1838" s="81" t="s">
        <v>2227</v>
      </c>
      <c r="G1838" s="81" t="s">
        <v>3945</v>
      </c>
      <c r="H1838" s="81" t="s">
        <v>2193</v>
      </c>
      <c r="I1838" s="81" t="s">
        <v>5636</v>
      </c>
      <c r="J1838" s="81" t="s">
        <v>2186</v>
      </c>
      <c r="K1838" s="81" t="s">
        <v>5636</v>
      </c>
      <c r="L1838" s="81" t="s">
        <v>2392</v>
      </c>
      <c r="M1838" s="81" t="s">
        <v>5636</v>
      </c>
      <c r="N1838" s="81" t="s">
        <v>2231</v>
      </c>
      <c r="O1838" s="81" t="s">
        <v>2187</v>
      </c>
      <c r="P1838" s="81" t="s">
        <v>2187</v>
      </c>
      <c r="Q1838" s="81" t="s">
        <v>43</v>
      </c>
      <c r="R1838" s="81" t="s">
        <v>122</v>
      </c>
      <c r="S1838" s="81" t="s">
        <v>122</v>
      </c>
      <c r="T1838" s="81" t="s">
        <v>48</v>
      </c>
      <c r="U1838" s="81" t="s">
        <v>48</v>
      </c>
      <c r="V1838" s="81" t="s">
        <v>48</v>
      </c>
      <c r="W1838" s="81" t="s">
        <v>49</v>
      </c>
      <c r="X1838" s="81" t="s">
        <v>48</v>
      </c>
      <c r="Y1838" s="81" t="s">
        <v>48</v>
      </c>
    </row>
    <row r="1839" spans="1:25" x14ac:dyDescent="0.3">
      <c r="A1839" s="16">
        <v>4968420731422</v>
      </c>
      <c r="B1839" s="81" t="s">
        <v>43</v>
      </c>
      <c r="C1839" s="81" t="s">
        <v>4227</v>
      </c>
      <c r="D1839" s="81" t="s">
        <v>45</v>
      </c>
      <c r="E1839" s="81" t="s">
        <v>2227</v>
      </c>
      <c r="F1839" s="81" t="s">
        <v>2227</v>
      </c>
      <c r="G1839" s="81" t="s">
        <v>4222</v>
      </c>
      <c r="H1839" s="81" t="s">
        <v>3492</v>
      </c>
      <c r="I1839" s="81" t="s">
        <v>4228</v>
      </c>
      <c r="J1839" s="81" t="s">
        <v>2186</v>
      </c>
      <c r="K1839" s="81" t="s">
        <v>4224</v>
      </c>
      <c r="L1839" s="81" t="s">
        <v>2392</v>
      </c>
      <c r="M1839" s="81" t="s">
        <v>4225</v>
      </c>
      <c r="N1839" s="81" t="s">
        <v>2231</v>
      </c>
      <c r="O1839" s="81" t="s">
        <v>2187</v>
      </c>
      <c r="P1839" s="81" t="s">
        <v>2187</v>
      </c>
      <c r="Q1839" s="81" t="s">
        <v>43</v>
      </c>
      <c r="R1839" s="81" t="s">
        <v>122</v>
      </c>
      <c r="S1839" s="81" t="s">
        <v>122</v>
      </c>
      <c r="T1839" s="81" t="s">
        <v>48</v>
      </c>
      <c r="U1839" s="81" t="s">
        <v>48</v>
      </c>
      <c r="V1839" s="81" t="s">
        <v>49</v>
      </c>
      <c r="W1839" s="81" t="s">
        <v>48</v>
      </c>
      <c r="X1839" s="81" t="s">
        <v>48</v>
      </c>
      <c r="Y1839" s="81" t="s">
        <v>48</v>
      </c>
    </row>
    <row r="1840" spans="1:25" x14ac:dyDescent="0.3">
      <c r="A1840" s="16">
        <v>7502224245913</v>
      </c>
      <c r="B1840" s="81" t="s">
        <v>43</v>
      </c>
      <c r="C1840" s="81" t="s">
        <v>4229</v>
      </c>
      <c r="D1840" s="81" t="s">
        <v>45</v>
      </c>
      <c r="E1840" s="81" t="s">
        <v>2227</v>
      </c>
      <c r="F1840" s="81" t="s">
        <v>2227</v>
      </c>
      <c r="G1840" s="81" t="s">
        <v>4230</v>
      </c>
      <c r="H1840" s="81" t="s">
        <v>6972</v>
      </c>
      <c r="I1840" s="81" t="s">
        <v>4911</v>
      </c>
      <c r="J1840" s="81" t="s">
        <v>2186</v>
      </c>
      <c r="K1840" s="81" t="s">
        <v>4911</v>
      </c>
      <c r="L1840" s="81" t="s">
        <v>2392</v>
      </c>
      <c r="M1840" s="81" t="s">
        <v>4911</v>
      </c>
      <c r="N1840" s="81" t="s">
        <v>2231</v>
      </c>
      <c r="O1840" s="81" t="s">
        <v>2187</v>
      </c>
      <c r="P1840" s="81" t="s">
        <v>2187</v>
      </c>
      <c r="Q1840" s="81" t="s">
        <v>43</v>
      </c>
      <c r="R1840" s="81" t="s">
        <v>122</v>
      </c>
      <c r="S1840" s="81" t="s">
        <v>122</v>
      </c>
      <c r="T1840" s="81" t="s">
        <v>48</v>
      </c>
      <c r="U1840" s="81" t="s">
        <v>48</v>
      </c>
      <c r="V1840" s="81" t="s">
        <v>49</v>
      </c>
      <c r="W1840" s="81" t="s">
        <v>48</v>
      </c>
      <c r="X1840" s="81" t="s">
        <v>48</v>
      </c>
      <c r="Y1840" s="81" t="s">
        <v>48</v>
      </c>
    </row>
    <row r="1841" spans="1:25" x14ac:dyDescent="0.3">
      <c r="A1841" s="16">
        <v>8296640321328</v>
      </c>
      <c r="B1841" s="81" t="s">
        <v>43</v>
      </c>
      <c r="C1841" s="81" t="s">
        <v>4231</v>
      </c>
      <c r="D1841" s="81" t="s">
        <v>45</v>
      </c>
      <c r="E1841" s="81" t="s">
        <v>2227</v>
      </c>
      <c r="F1841" s="81" t="s">
        <v>2227</v>
      </c>
      <c r="G1841" s="81" t="s">
        <v>4222</v>
      </c>
      <c r="H1841" s="81" t="s">
        <v>3492</v>
      </c>
      <c r="I1841" s="81" t="s">
        <v>4228</v>
      </c>
      <c r="J1841" s="81" t="s">
        <v>2186</v>
      </c>
      <c r="K1841" s="81" t="s">
        <v>4224</v>
      </c>
      <c r="L1841" s="81" t="s">
        <v>2392</v>
      </c>
      <c r="M1841" s="81" t="s">
        <v>4225</v>
      </c>
      <c r="N1841" s="81" t="s">
        <v>2231</v>
      </c>
      <c r="O1841" s="81" t="s">
        <v>2187</v>
      </c>
      <c r="P1841" s="81" t="s">
        <v>2187</v>
      </c>
      <c r="Q1841" s="81" t="s">
        <v>43</v>
      </c>
      <c r="R1841" s="81" t="s">
        <v>122</v>
      </c>
      <c r="S1841" s="81" t="s">
        <v>122</v>
      </c>
      <c r="T1841" s="81" t="s">
        <v>48</v>
      </c>
      <c r="U1841" s="81" t="s">
        <v>48</v>
      </c>
      <c r="V1841" s="81" t="s">
        <v>49</v>
      </c>
      <c r="W1841" s="81" t="s">
        <v>48</v>
      </c>
      <c r="X1841" s="81" t="s">
        <v>48</v>
      </c>
      <c r="Y1841" s="81" t="s">
        <v>48</v>
      </c>
    </row>
    <row r="1842" spans="1:25" x14ac:dyDescent="0.3">
      <c r="A1842" s="16">
        <v>7501075711332</v>
      </c>
      <c r="B1842" s="81" t="s">
        <v>43</v>
      </c>
      <c r="C1842" s="81" t="s">
        <v>4232</v>
      </c>
      <c r="D1842" s="81" t="s">
        <v>45</v>
      </c>
      <c r="E1842" s="81" t="s">
        <v>2227</v>
      </c>
      <c r="F1842" s="81" t="s">
        <v>2227</v>
      </c>
      <c r="G1842" s="81" t="s">
        <v>3535</v>
      </c>
      <c r="H1842" s="81" t="s">
        <v>2237</v>
      </c>
      <c r="I1842" s="81" t="s">
        <v>6973</v>
      </c>
      <c r="J1842" s="81" t="s">
        <v>2186</v>
      </c>
      <c r="K1842" s="81" t="s">
        <v>6973</v>
      </c>
      <c r="L1842" s="81" t="s">
        <v>2392</v>
      </c>
      <c r="M1842" s="81" t="s">
        <v>6973</v>
      </c>
      <c r="N1842" s="81" t="s">
        <v>2231</v>
      </c>
      <c r="O1842" s="81" t="s">
        <v>2187</v>
      </c>
      <c r="P1842" s="81" t="s">
        <v>2187</v>
      </c>
      <c r="Q1842" s="81" t="s">
        <v>43</v>
      </c>
      <c r="R1842" s="81" t="s">
        <v>46</v>
      </c>
      <c r="S1842" s="81" t="s">
        <v>46</v>
      </c>
      <c r="T1842" s="81" t="s">
        <v>48</v>
      </c>
      <c r="U1842" s="81" t="s">
        <v>48</v>
      </c>
      <c r="V1842" s="81" t="s">
        <v>48</v>
      </c>
      <c r="W1842" s="81" t="s">
        <v>49</v>
      </c>
      <c r="X1842" s="81" t="s">
        <v>48</v>
      </c>
      <c r="Y1842" s="81" t="s">
        <v>48</v>
      </c>
    </row>
    <row r="1843" spans="1:25" x14ac:dyDescent="0.3">
      <c r="A1843" s="16">
        <v>7506022330598</v>
      </c>
      <c r="B1843" s="81" t="s">
        <v>43</v>
      </c>
      <c r="C1843" s="81" t="s">
        <v>4233</v>
      </c>
      <c r="D1843" s="81" t="s">
        <v>45</v>
      </c>
      <c r="E1843" s="81" t="s">
        <v>2227</v>
      </c>
      <c r="F1843" s="81" t="s">
        <v>2227</v>
      </c>
      <c r="G1843" s="81" t="s">
        <v>4480</v>
      </c>
      <c r="H1843" s="81" t="s">
        <v>2259</v>
      </c>
      <c r="I1843" s="81" t="s">
        <v>6615</v>
      </c>
      <c r="J1843" s="81" t="s">
        <v>2186</v>
      </c>
      <c r="K1843" s="81" t="s">
        <v>6615</v>
      </c>
      <c r="L1843" s="81" t="s">
        <v>2392</v>
      </c>
      <c r="M1843" s="81" t="s">
        <v>6615</v>
      </c>
      <c r="N1843" s="81" t="s">
        <v>2231</v>
      </c>
      <c r="O1843" s="81" t="s">
        <v>2187</v>
      </c>
      <c r="P1843" s="81" t="s">
        <v>2187</v>
      </c>
      <c r="Q1843" s="81" t="s">
        <v>43</v>
      </c>
      <c r="R1843" s="81" t="s">
        <v>374</v>
      </c>
      <c r="S1843" s="81" t="s">
        <v>374</v>
      </c>
      <c r="T1843" s="81" t="s">
        <v>48</v>
      </c>
      <c r="U1843" s="81" t="s">
        <v>48</v>
      </c>
      <c r="V1843" s="81" t="s">
        <v>48</v>
      </c>
      <c r="W1843" s="81" t="s">
        <v>49</v>
      </c>
      <c r="X1843" s="81" t="s">
        <v>48</v>
      </c>
      <c r="Y1843" s="81" t="s">
        <v>48</v>
      </c>
    </row>
    <row r="1844" spans="1:25" x14ac:dyDescent="0.3">
      <c r="A1844" s="16" t="s">
        <v>4234</v>
      </c>
      <c r="B1844" s="81" t="s">
        <v>43</v>
      </c>
      <c r="C1844" s="81" t="s">
        <v>4797</v>
      </c>
      <c r="D1844" s="81" t="s">
        <v>45</v>
      </c>
      <c r="E1844" s="81" t="s">
        <v>2465</v>
      </c>
      <c r="F1844" s="81" t="s">
        <v>2257</v>
      </c>
      <c r="G1844" s="81" t="s">
        <v>2983</v>
      </c>
      <c r="H1844" s="81" t="s">
        <v>2984</v>
      </c>
      <c r="I1844" s="81" t="s">
        <v>5883</v>
      </c>
      <c r="J1844" s="81" t="s">
        <v>2186</v>
      </c>
      <c r="K1844" s="81" t="s">
        <v>5883</v>
      </c>
      <c r="L1844" s="81" t="s">
        <v>2392</v>
      </c>
      <c r="M1844" s="81" t="s">
        <v>5883</v>
      </c>
      <c r="N1844" s="81" t="s">
        <v>2231</v>
      </c>
      <c r="O1844" s="81" t="s">
        <v>2187</v>
      </c>
      <c r="P1844" s="81" t="s">
        <v>2187</v>
      </c>
      <c r="Q1844" s="81" t="s">
        <v>43</v>
      </c>
      <c r="R1844" s="81" t="s">
        <v>122</v>
      </c>
      <c r="S1844" s="81" t="s">
        <v>123</v>
      </c>
      <c r="T1844" s="81" t="s">
        <v>48</v>
      </c>
      <c r="U1844" s="81" t="s">
        <v>48</v>
      </c>
      <c r="V1844" s="81" t="s">
        <v>49</v>
      </c>
      <c r="W1844" s="81" t="s">
        <v>48</v>
      </c>
      <c r="X1844" s="81" t="s">
        <v>48</v>
      </c>
      <c r="Y1844" s="81" t="s">
        <v>48</v>
      </c>
    </row>
    <row r="1845" spans="1:25" x14ac:dyDescent="0.3">
      <c r="A1845" s="16" t="s">
        <v>4235</v>
      </c>
      <c r="B1845" s="81" t="s">
        <v>43</v>
      </c>
      <c r="C1845" s="81" t="s">
        <v>4236</v>
      </c>
      <c r="D1845" s="81" t="s">
        <v>45</v>
      </c>
      <c r="E1845" s="81" t="s">
        <v>2442</v>
      </c>
      <c r="F1845" s="81" t="s">
        <v>2620</v>
      </c>
      <c r="G1845" s="81" t="s">
        <v>4237</v>
      </c>
      <c r="H1845" s="81" t="s">
        <v>2652</v>
      </c>
      <c r="I1845" s="81" t="s">
        <v>5714</v>
      </c>
      <c r="J1845" s="81" t="s">
        <v>2186</v>
      </c>
      <c r="K1845" s="81" t="s">
        <v>5714</v>
      </c>
      <c r="L1845" s="81" t="s">
        <v>2392</v>
      </c>
      <c r="M1845" s="81" t="s">
        <v>5714</v>
      </c>
      <c r="N1845" s="81" t="s">
        <v>2231</v>
      </c>
      <c r="O1845" s="81" t="s">
        <v>2187</v>
      </c>
      <c r="P1845" s="81" t="s">
        <v>2187</v>
      </c>
      <c r="Q1845" s="81" t="s">
        <v>354</v>
      </c>
      <c r="R1845" s="81" t="s">
        <v>203</v>
      </c>
      <c r="S1845" s="81" t="s">
        <v>73</v>
      </c>
      <c r="T1845" s="81" t="s">
        <v>48</v>
      </c>
      <c r="U1845" s="81" t="s">
        <v>48</v>
      </c>
      <c r="V1845" s="81" t="s">
        <v>48</v>
      </c>
      <c r="W1845" s="81" t="s">
        <v>49</v>
      </c>
      <c r="X1845" s="81" t="s">
        <v>48</v>
      </c>
      <c r="Y1845" s="81" t="s">
        <v>48</v>
      </c>
    </row>
    <row r="1846" spans="1:25" x14ac:dyDescent="0.3">
      <c r="A1846" s="16" t="s">
        <v>4238</v>
      </c>
      <c r="B1846" s="81" t="s">
        <v>43</v>
      </c>
      <c r="C1846" s="81" t="s">
        <v>4239</v>
      </c>
      <c r="D1846" s="81" t="s">
        <v>45</v>
      </c>
      <c r="E1846" s="81" t="s">
        <v>2442</v>
      </c>
      <c r="F1846" s="81" t="s">
        <v>2620</v>
      </c>
      <c r="G1846" s="81" t="s">
        <v>4237</v>
      </c>
      <c r="H1846" s="81" t="s">
        <v>2652</v>
      </c>
      <c r="I1846" s="81" t="s">
        <v>5714</v>
      </c>
      <c r="J1846" s="81" t="s">
        <v>2186</v>
      </c>
      <c r="K1846" s="81" t="s">
        <v>5714</v>
      </c>
      <c r="L1846" s="81" t="s">
        <v>2392</v>
      </c>
      <c r="M1846" s="81" t="s">
        <v>5714</v>
      </c>
      <c r="N1846" s="81" t="s">
        <v>2231</v>
      </c>
      <c r="O1846" s="81" t="s">
        <v>2187</v>
      </c>
      <c r="P1846" s="81" t="s">
        <v>2187</v>
      </c>
      <c r="Q1846" s="81" t="s">
        <v>354</v>
      </c>
      <c r="R1846" s="81" t="s">
        <v>203</v>
      </c>
      <c r="S1846" s="81" t="s">
        <v>73</v>
      </c>
      <c r="T1846" s="81" t="s">
        <v>48</v>
      </c>
      <c r="U1846" s="81" t="s">
        <v>48</v>
      </c>
      <c r="V1846" s="81" t="s">
        <v>48</v>
      </c>
      <c r="W1846" s="81" t="s">
        <v>49</v>
      </c>
      <c r="X1846" s="81" t="s">
        <v>48</v>
      </c>
      <c r="Y1846" s="81" t="s">
        <v>48</v>
      </c>
    </row>
    <row r="1847" spans="1:25" x14ac:dyDescent="0.3">
      <c r="A1847" s="16" t="s">
        <v>4240</v>
      </c>
      <c r="B1847" s="81" t="s">
        <v>43</v>
      </c>
      <c r="C1847" s="81" t="s">
        <v>4241</v>
      </c>
      <c r="D1847" s="81" t="s">
        <v>45</v>
      </c>
      <c r="E1847" s="81" t="s">
        <v>2442</v>
      </c>
      <c r="F1847" s="81" t="s">
        <v>2620</v>
      </c>
      <c r="G1847" s="81" t="s">
        <v>4237</v>
      </c>
      <c r="H1847" s="81" t="s">
        <v>2322</v>
      </c>
      <c r="I1847" s="81" t="s">
        <v>5714</v>
      </c>
      <c r="J1847" s="81" t="s">
        <v>2186</v>
      </c>
      <c r="K1847" s="81" t="s">
        <v>5714</v>
      </c>
      <c r="L1847" s="81" t="s">
        <v>2392</v>
      </c>
      <c r="M1847" s="81" t="s">
        <v>5714</v>
      </c>
      <c r="N1847" s="81" t="s">
        <v>2231</v>
      </c>
      <c r="O1847" s="81" t="s">
        <v>2187</v>
      </c>
      <c r="P1847" s="81" t="s">
        <v>2187</v>
      </c>
      <c r="Q1847" s="81" t="s">
        <v>354</v>
      </c>
      <c r="R1847" s="81" t="s">
        <v>203</v>
      </c>
      <c r="S1847" s="81" t="s">
        <v>73</v>
      </c>
      <c r="T1847" s="81" t="s">
        <v>48</v>
      </c>
      <c r="U1847" s="81" t="s">
        <v>48</v>
      </c>
      <c r="V1847" s="81" t="s">
        <v>48</v>
      </c>
      <c r="W1847" s="81" t="s">
        <v>49</v>
      </c>
      <c r="X1847" s="81" t="s">
        <v>48</v>
      </c>
      <c r="Y1847" s="81" t="s">
        <v>48</v>
      </c>
    </row>
    <row r="1848" spans="1:25" x14ac:dyDescent="0.3">
      <c r="A1848" s="16" t="s">
        <v>4242</v>
      </c>
      <c r="B1848" s="81" t="s">
        <v>43</v>
      </c>
      <c r="C1848" s="81" t="s">
        <v>4243</v>
      </c>
      <c r="D1848" s="81" t="s">
        <v>45</v>
      </c>
      <c r="E1848" s="81" t="s">
        <v>2442</v>
      </c>
      <c r="F1848" s="81" t="s">
        <v>2620</v>
      </c>
      <c r="G1848" s="81" t="s">
        <v>4237</v>
      </c>
      <c r="H1848" s="81" t="s">
        <v>2322</v>
      </c>
      <c r="I1848" s="81" t="s">
        <v>5714</v>
      </c>
      <c r="J1848" s="81" t="s">
        <v>2186</v>
      </c>
      <c r="K1848" s="81" t="s">
        <v>5714</v>
      </c>
      <c r="L1848" s="81" t="s">
        <v>2392</v>
      </c>
      <c r="M1848" s="81" t="s">
        <v>5714</v>
      </c>
      <c r="N1848" s="81" t="s">
        <v>2231</v>
      </c>
      <c r="O1848" s="81" t="s">
        <v>2187</v>
      </c>
      <c r="P1848" s="81" t="s">
        <v>2187</v>
      </c>
      <c r="Q1848" s="81" t="s">
        <v>354</v>
      </c>
      <c r="R1848" s="81" t="s">
        <v>203</v>
      </c>
      <c r="S1848" s="81" t="s">
        <v>73</v>
      </c>
      <c r="T1848" s="81" t="s">
        <v>48</v>
      </c>
      <c r="U1848" s="81" t="s">
        <v>48</v>
      </c>
      <c r="V1848" s="81" t="s">
        <v>48</v>
      </c>
      <c r="W1848" s="81" t="s">
        <v>49</v>
      </c>
      <c r="X1848" s="81" t="s">
        <v>48</v>
      </c>
      <c r="Y1848" s="81" t="s">
        <v>48</v>
      </c>
    </row>
    <row r="1849" spans="1:25" x14ac:dyDescent="0.3">
      <c r="A1849" s="16" t="s">
        <v>4244</v>
      </c>
      <c r="B1849" s="81" t="s">
        <v>43</v>
      </c>
      <c r="C1849" s="81" t="s">
        <v>4245</v>
      </c>
      <c r="D1849" s="81" t="s">
        <v>45</v>
      </c>
      <c r="E1849" s="81" t="s">
        <v>2362</v>
      </c>
      <c r="F1849" s="81" t="s">
        <v>2274</v>
      </c>
      <c r="G1849" s="81" t="s">
        <v>3869</v>
      </c>
      <c r="H1849" s="81" t="s">
        <v>2193</v>
      </c>
      <c r="I1849" s="81" t="s">
        <v>2213</v>
      </c>
      <c r="J1849" s="81" t="s">
        <v>2186</v>
      </c>
      <c r="K1849" s="81" t="s">
        <v>2393</v>
      </c>
      <c r="L1849" s="81" t="s">
        <v>2392</v>
      </c>
      <c r="M1849" s="81" t="s">
        <v>2259</v>
      </c>
      <c r="N1849" s="81" t="s">
        <v>2231</v>
      </c>
      <c r="O1849" s="81" t="s">
        <v>2187</v>
      </c>
      <c r="P1849" s="81" t="s">
        <v>2187</v>
      </c>
      <c r="Q1849" s="81" t="s">
        <v>43</v>
      </c>
      <c r="R1849" s="81" t="s">
        <v>203</v>
      </c>
      <c r="S1849" s="81" t="s">
        <v>47</v>
      </c>
      <c r="T1849" s="81" t="s">
        <v>48</v>
      </c>
      <c r="U1849" s="81" t="s">
        <v>48</v>
      </c>
      <c r="V1849" s="81" t="s">
        <v>48</v>
      </c>
      <c r="W1849" s="81" t="s">
        <v>49</v>
      </c>
      <c r="X1849" s="81" t="s">
        <v>48</v>
      </c>
      <c r="Y1849" s="81" t="s">
        <v>48</v>
      </c>
    </row>
    <row r="1850" spans="1:25" x14ac:dyDescent="0.3">
      <c r="A1850" s="16" t="s">
        <v>4246</v>
      </c>
      <c r="B1850" s="81" t="s">
        <v>43</v>
      </c>
      <c r="C1850" s="81" t="s">
        <v>4247</v>
      </c>
      <c r="D1850" s="81" t="s">
        <v>45</v>
      </c>
      <c r="E1850" s="81" t="s">
        <v>2227</v>
      </c>
      <c r="F1850" s="81" t="s">
        <v>2227</v>
      </c>
      <c r="G1850" s="81" t="s">
        <v>3867</v>
      </c>
      <c r="H1850" s="81" t="s">
        <v>3241</v>
      </c>
      <c r="I1850" s="81" t="s">
        <v>6069</v>
      </c>
      <c r="J1850" s="81" t="s">
        <v>2186</v>
      </c>
      <c r="K1850" s="81" t="s">
        <v>6069</v>
      </c>
      <c r="L1850" s="81" t="s">
        <v>2392</v>
      </c>
      <c r="M1850" s="81" t="s">
        <v>6069</v>
      </c>
      <c r="N1850" s="81" t="s">
        <v>2231</v>
      </c>
      <c r="O1850" s="81" t="s">
        <v>2187</v>
      </c>
      <c r="P1850" s="81" t="s">
        <v>2187</v>
      </c>
      <c r="Q1850" s="81" t="s">
        <v>43</v>
      </c>
      <c r="R1850" s="81" t="s">
        <v>203</v>
      </c>
      <c r="S1850" s="81" t="s">
        <v>203</v>
      </c>
      <c r="T1850" s="81" t="s">
        <v>48</v>
      </c>
      <c r="U1850" s="81" t="s">
        <v>48</v>
      </c>
      <c r="V1850" s="81" t="s">
        <v>49</v>
      </c>
      <c r="W1850" s="81" t="s">
        <v>48</v>
      </c>
      <c r="X1850" s="81" t="s">
        <v>48</v>
      </c>
      <c r="Y1850" s="81" t="s">
        <v>48</v>
      </c>
    </row>
    <row r="1851" spans="1:25" x14ac:dyDescent="0.3">
      <c r="A1851" s="16">
        <v>7501537100841</v>
      </c>
      <c r="B1851" s="81" t="s">
        <v>43</v>
      </c>
      <c r="C1851" s="81" t="s">
        <v>4248</v>
      </c>
      <c r="D1851" s="81" t="s">
        <v>45</v>
      </c>
      <c r="E1851" s="81" t="s">
        <v>2227</v>
      </c>
      <c r="F1851" s="81" t="s">
        <v>2227</v>
      </c>
      <c r="G1851" s="81" t="s">
        <v>4249</v>
      </c>
      <c r="H1851" s="81" t="s">
        <v>4250</v>
      </c>
      <c r="I1851" s="81" t="s">
        <v>6974</v>
      </c>
      <c r="J1851" s="81" t="s">
        <v>2186</v>
      </c>
      <c r="K1851" s="81" t="s">
        <v>6974</v>
      </c>
      <c r="L1851" s="81" t="s">
        <v>2392</v>
      </c>
      <c r="M1851" s="81" t="s">
        <v>6974</v>
      </c>
      <c r="N1851" s="81" t="s">
        <v>2231</v>
      </c>
      <c r="O1851" s="81" t="s">
        <v>2187</v>
      </c>
      <c r="P1851" s="81" t="s">
        <v>2187</v>
      </c>
      <c r="Q1851" s="81" t="s">
        <v>43</v>
      </c>
      <c r="R1851" s="81" t="s">
        <v>46</v>
      </c>
      <c r="S1851" s="81" t="s">
        <v>46</v>
      </c>
      <c r="T1851" s="81" t="s">
        <v>48</v>
      </c>
      <c r="U1851" s="81" t="s">
        <v>48</v>
      </c>
      <c r="V1851" s="81" t="s">
        <v>48</v>
      </c>
      <c r="W1851" s="81" t="s">
        <v>49</v>
      </c>
      <c r="X1851" s="81" t="s">
        <v>48</v>
      </c>
      <c r="Y1851" s="81" t="s">
        <v>48</v>
      </c>
    </row>
    <row r="1852" spans="1:25" x14ac:dyDescent="0.3">
      <c r="A1852" s="16">
        <v>7502227875360</v>
      </c>
      <c r="B1852" s="81" t="s">
        <v>43</v>
      </c>
      <c r="C1852" s="81" t="s">
        <v>4251</v>
      </c>
      <c r="D1852" s="81" t="s">
        <v>45</v>
      </c>
      <c r="E1852" s="81" t="s">
        <v>2227</v>
      </c>
      <c r="F1852" s="81" t="s">
        <v>2227</v>
      </c>
      <c r="G1852" s="81" t="s">
        <v>4252</v>
      </c>
      <c r="H1852" s="81" t="s">
        <v>2417</v>
      </c>
      <c r="I1852" s="81" t="s">
        <v>3040</v>
      </c>
      <c r="J1852" s="81" t="s">
        <v>2186</v>
      </c>
      <c r="K1852" s="81" t="s">
        <v>3040</v>
      </c>
      <c r="L1852" s="81" t="s">
        <v>2392</v>
      </c>
      <c r="M1852" s="81" t="s">
        <v>3040</v>
      </c>
      <c r="N1852" s="81" t="s">
        <v>2231</v>
      </c>
      <c r="O1852" s="81" t="s">
        <v>2187</v>
      </c>
      <c r="P1852" s="81" t="s">
        <v>2187</v>
      </c>
      <c r="Q1852" s="81" t="s">
        <v>43</v>
      </c>
      <c r="R1852" s="81" t="s">
        <v>46</v>
      </c>
      <c r="S1852" s="81" t="s">
        <v>46</v>
      </c>
      <c r="T1852" s="81" t="s">
        <v>48</v>
      </c>
      <c r="U1852" s="81" t="s">
        <v>48</v>
      </c>
      <c r="V1852" s="81" t="s">
        <v>48</v>
      </c>
      <c r="W1852" s="81" t="s">
        <v>49</v>
      </c>
      <c r="X1852" s="81" t="s">
        <v>48</v>
      </c>
      <c r="Y1852" s="81" t="s">
        <v>48</v>
      </c>
    </row>
    <row r="1853" spans="1:25" x14ac:dyDescent="0.3">
      <c r="A1853" s="16">
        <v>7501825304142</v>
      </c>
      <c r="B1853" s="81" t="s">
        <v>43</v>
      </c>
      <c r="C1853" s="81" t="s">
        <v>4253</v>
      </c>
      <c r="D1853" s="81" t="s">
        <v>45</v>
      </c>
      <c r="E1853" s="81" t="s">
        <v>2227</v>
      </c>
      <c r="F1853" s="81" t="s">
        <v>2227</v>
      </c>
      <c r="G1853" s="81" t="s">
        <v>4254</v>
      </c>
      <c r="H1853" s="81" t="s">
        <v>2264</v>
      </c>
      <c r="I1853" s="81" t="s">
        <v>6975</v>
      </c>
      <c r="J1853" s="81" t="s">
        <v>2186</v>
      </c>
      <c r="K1853" s="81" t="s">
        <v>6975</v>
      </c>
      <c r="L1853" s="81" t="s">
        <v>2392</v>
      </c>
      <c r="M1853" s="81" t="s">
        <v>6975</v>
      </c>
      <c r="N1853" s="81" t="s">
        <v>2231</v>
      </c>
      <c r="O1853" s="81" t="s">
        <v>2187</v>
      </c>
      <c r="P1853" s="81" t="s">
        <v>2187</v>
      </c>
      <c r="Q1853" s="81" t="s">
        <v>43</v>
      </c>
      <c r="R1853" s="81" t="s">
        <v>46</v>
      </c>
      <c r="S1853" s="81" t="s">
        <v>46</v>
      </c>
      <c r="T1853" s="81" t="s">
        <v>48</v>
      </c>
      <c r="U1853" s="81" t="s">
        <v>48</v>
      </c>
      <c r="V1853" s="81" t="s">
        <v>48</v>
      </c>
      <c r="W1853" s="81" t="s">
        <v>49</v>
      </c>
      <c r="X1853" s="81" t="s">
        <v>48</v>
      </c>
      <c r="Y1853" s="81" t="s">
        <v>48</v>
      </c>
    </row>
    <row r="1854" spans="1:25" x14ac:dyDescent="0.3">
      <c r="A1854" s="16">
        <v>7501109762798</v>
      </c>
      <c r="B1854" s="81" t="s">
        <v>43</v>
      </c>
      <c r="C1854" s="81" t="s">
        <v>4255</v>
      </c>
      <c r="D1854" s="81" t="s">
        <v>45</v>
      </c>
      <c r="E1854" s="81" t="s">
        <v>2227</v>
      </c>
      <c r="F1854" s="81" t="s">
        <v>2227</v>
      </c>
      <c r="G1854" s="81" t="s">
        <v>5002</v>
      </c>
      <c r="H1854" s="81" t="s">
        <v>2268</v>
      </c>
      <c r="I1854" s="81" t="s">
        <v>6976</v>
      </c>
      <c r="J1854" s="81" t="s">
        <v>2186</v>
      </c>
      <c r="K1854" s="81" t="s">
        <v>6976</v>
      </c>
      <c r="L1854" s="81" t="s">
        <v>2392</v>
      </c>
      <c r="M1854" s="81" t="s">
        <v>6976</v>
      </c>
      <c r="N1854" s="81" t="s">
        <v>2231</v>
      </c>
      <c r="O1854" s="81" t="s">
        <v>2187</v>
      </c>
      <c r="P1854" s="81" t="s">
        <v>2187</v>
      </c>
      <c r="Q1854" s="81" t="s">
        <v>43</v>
      </c>
      <c r="R1854" s="81" t="s">
        <v>46</v>
      </c>
      <c r="S1854" s="81" t="s">
        <v>47</v>
      </c>
      <c r="T1854" s="81" t="s">
        <v>48</v>
      </c>
      <c r="U1854" s="81" t="s">
        <v>48</v>
      </c>
      <c r="V1854" s="81" t="s">
        <v>48</v>
      </c>
      <c r="W1854" s="81" t="s">
        <v>49</v>
      </c>
      <c r="X1854" s="81" t="s">
        <v>48</v>
      </c>
      <c r="Y1854" s="81" t="s">
        <v>48</v>
      </c>
    </row>
    <row r="1855" spans="1:25" x14ac:dyDescent="0.3">
      <c r="A1855" s="16">
        <v>7501128161312</v>
      </c>
      <c r="B1855" s="81" t="s">
        <v>43</v>
      </c>
      <c r="C1855" s="81" t="s">
        <v>4256</v>
      </c>
      <c r="D1855" s="81" t="s">
        <v>45</v>
      </c>
      <c r="E1855" s="81" t="s">
        <v>2227</v>
      </c>
      <c r="F1855" s="81" t="s">
        <v>2227</v>
      </c>
      <c r="G1855" s="81" t="s">
        <v>3240</v>
      </c>
      <c r="H1855" s="81" t="s">
        <v>3192</v>
      </c>
      <c r="I1855" s="81" t="s">
        <v>6977</v>
      </c>
      <c r="J1855" s="81" t="s">
        <v>2186</v>
      </c>
      <c r="K1855" s="81" t="s">
        <v>6977</v>
      </c>
      <c r="L1855" s="81" t="s">
        <v>2392</v>
      </c>
      <c r="M1855" s="81" t="s">
        <v>6977</v>
      </c>
      <c r="N1855" s="81" t="s">
        <v>2231</v>
      </c>
      <c r="O1855" s="81" t="s">
        <v>2187</v>
      </c>
      <c r="P1855" s="81" t="s">
        <v>2187</v>
      </c>
      <c r="Q1855" s="81" t="s">
        <v>43</v>
      </c>
      <c r="R1855" s="81" t="s">
        <v>122</v>
      </c>
      <c r="S1855" s="81" t="s">
        <v>122</v>
      </c>
      <c r="T1855" s="81" t="s">
        <v>48</v>
      </c>
      <c r="U1855" s="81" t="s">
        <v>48</v>
      </c>
      <c r="V1855" s="81" t="s">
        <v>49</v>
      </c>
      <c r="W1855" s="81" t="s">
        <v>48</v>
      </c>
      <c r="X1855" s="81" t="s">
        <v>48</v>
      </c>
      <c r="Y1855" s="81" t="s">
        <v>48</v>
      </c>
    </row>
    <row r="1856" spans="1:25" x14ac:dyDescent="0.3">
      <c r="A1856" s="16">
        <v>51131641136</v>
      </c>
      <c r="B1856" s="81" t="s">
        <v>43</v>
      </c>
      <c r="C1856" s="81" t="s">
        <v>4257</v>
      </c>
      <c r="D1856" s="81" t="s">
        <v>45</v>
      </c>
      <c r="E1856" s="81" t="s">
        <v>2227</v>
      </c>
      <c r="F1856" s="81" t="s">
        <v>2227</v>
      </c>
      <c r="G1856" s="81" t="s">
        <v>4258</v>
      </c>
      <c r="H1856" s="81" t="s">
        <v>4259</v>
      </c>
      <c r="I1856" s="81" t="s">
        <v>6978</v>
      </c>
      <c r="J1856" s="81" t="s">
        <v>2186</v>
      </c>
      <c r="K1856" s="81" t="s">
        <v>6978</v>
      </c>
      <c r="L1856" s="81" t="s">
        <v>2392</v>
      </c>
      <c r="M1856" s="81" t="s">
        <v>6978</v>
      </c>
      <c r="N1856" s="81" t="s">
        <v>2231</v>
      </c>
      <c r="O1856" s="81" t="s">
        <v>2187</v>
      </c>
      <c r="P1856" s="81" t="s">
        <v>2187</v>
      </c>
      <c r="Q1856" s="81" t="s">
        <v>43</v>
      </c>
      <c r="R1856" s="81" t="s">
        <v>1191</v>
      </c>
      <c r="S1856" s="81" t="s">
        <v>1192</v>
      </c>
      <c r="T1856" s="81" t="s">
        <v>48</v>
      </c>
      <c r="U1856" s="81" t="s">
        <v>48</v>
      </c>
      <c r="V1856" s="81" t="s">
        <v>49</v>
      </c>
      <c r="W1856" s="81" t="s">
        <v>48</v>
      </c>
      <c r="X1856" s="81" t="s">
        <v>48</v>
      </c>
      <c r="Y1856" s="81" t="s">
        <v>48</v>
      </c>
    </row>
    <row r="1857" spans="1:25" x14ac:dyDescent="0.3">
      <c r="A1857" s="16">
        <v>7506442705365</v>
      </c>
      <c r="B1857" s="81" t="s">
        <v>43</v>
      </c>
      <c r="C1857" s="81" t="s">
        <v>4260</v>
      </c>
      <c r="D1857" s="81" t="s">
        <v>45</v>
      </c>
      <c r="E1857" s="81" t="s">
        <v>2227</v>
      </c>
      <c r="F1857" s="81" t="s">
        <v>2227</v>
      </c>
      <c r="G1857" s="81" t="s">
        <v>4261</v>
      </c>
      <c r="H1857" s="81" t="s">
        <v>2973</v>
      </c>
      <c r="I1857" s="81" t="s">
        <v>6979</v>
      </c>
      <c r="J1857" s="81" t="s">
        <v>2186</v>
      </c>
      <c r="K1857" s="81" t="s">
        <v>6979</v>
      </c>
      <c r="L1857" s="81" t="s">
        <v>2392</v>
      </c>
      <c r="M1857" s="81" t="s">
        <v>6979</v>
      </c>
      <c r="N1857" s="81" t="s">
        <v>2231</v>
      </c>
      <c r="O1857" s="81" t="s">
        <v>2187</v>
      </c>
      <c r="P1857" s="81" t="s">
        <v>2187</v>
      </c>
      <c r="Q1857" s="81" t="s">
        <v>43</v>
      </c>
      <c r="R1857" s="81" t="s">
        <v>374</v>
      </c>
      <c r="S1857" s="81" t="s">
        <v>374</v>
      </c>
      <c r="T1857" s="81" t="s">
        <v>48</v>
      </c>
      <c r="U1857" s="81" t="s">
        <v>48</v>
      </c>
      <c r="V1857" s="81" t="s">
        <v>48</v>
      </c>
      <c r="W1857" s="81" t="s">
        <v>49</v>
      </c>
      <c r="X1857" s="81" t="s">
        <v>48</v>
      </c>
      <c r="Y1857" s="81" t="s">
        <v>48</v>
      </c>
    </row>
    <row r="1858" spans="1:25" x14ac:dyDescent="0.3">
      <c r="A1858" s="16">
        <v>4895225300570</v>
      </c>
      <c r="B1858" s="81" t="s">
        <v>43</v>
      </c>
      <c r="C1858" s="81" t="s">
        <v>4262</v>
      </c>
      <c r="D1858" s="81" t="s">
        <v>45</v>
      </c>
      <c r="E1858" s="81" t="s">
        <v>2227</v>
      </c>
      <c r="F1858" s="81" t="s">
        <v>2227</v>
      </c>
      <c r="G1858" s="81" t="s">
        <v>2452</v>
      </c>
      <c r="H1858" s="81" t="s">
        <v>3134</v>
      </c>
      <c r="I1858" s="81" t="s">
        <v>5265</v>
      </c>
      <c r="J1858" s="81" t="s">
        <v>2186</v>
      </c>
      <c r="K1858" s="81" t="s">
        <v>5265</v>
      </c>
      <c r="L1858" s="81" t="s">
        <v>2392</v>
      </c>
      <c r="M1858" s="81" t="s">
        <v>5265</v>
      </c>
      <c r="N1858" s="81" t="s">
        <v>2231</v>
      </c>
      <c r="O1858" s="81" t="s">
        <v>2187</v>
      </c>
      <c r="P1858" s="81" t="s">
        <v>2187</v>
      </c>
      <c r="Q1858" s="81" t="s">
        <v>43</v>
      </c>
      <c r="R1858" s="81" t="s">
        <v>122</v>
      </c>
      <c r="S1858" s="81" t="s">
        <v>122</v>
      </c>
      <c r="T1858" s="81" t="s">
        <v>48</v>
      </c>
      <c r="U1858" s="81" t="s">
        <v>48</v>
      </c>
      <c r="V1858" s="81" t="s">
        <v>49</v>
      </c>
      <c r="W1858" s="81" t="s">
        <v>48</v>
      </c>
      <c r="X1858" s="81" t="s">
        <v>48</v>
      </c>
      <c r="Y1858" s="81" t="s">
        <v>48</v>
      </c>
    </row>
    <row r="1859" spans="1:25" x14ac:dyDescent="0.3">
      <c r="A1859" s="16" t="s">
        <v>4263</v>
      </c>
      <c r="B1859" s="81" t="s">
        <v>43</v>
      </c>
      <c r="C1859" s="81" t="s">
        <v>4264</v>
      </c>
      <c r="D1859" s="81" t="s">
        <v>45</v>
      </c>
      <c r="E1859" s="81" t="s">
        <v>2227</v>
      </c>
      <c r="F1859" s="81" t="s">
        <v>2227</v>
      </c>
      <c r="G1859" s="81" t="s">
        <v>3522</v>
      </c>
      <c r="H1859" s="81" t="s">
        <v>2343</v>
      </c>
      <c r="I1859" s="81" t="s">
        <v>2429</v>
      </c>
      <c r="J1859" s="81" t="s">
        <v>2186</v>
      </c>
      <c r="K1859" s="81" t="s">
        <v>2429</v>
      </c>
      <c r="L1859" s="81" t="s">
        <v>2392</v>
      </c>
      <c r="M1859" s="81" t="s">
        <v>2429</v>
      </c>
      <c r="N1859" s="81" t="s">
        <v>2231</v>
      </c>
      <c r="O1859" s="81" t="s">
        <v>2187</v>
      </c>
      <c r="P1859" s="81" t="s">
        <v>2187</v>
      </c>
      <c r="Q1859" s="81" t="s">
        <v>43</v>
      </c>
      <c r="R1859" s="81" t="s">
        <v>46</v>
      </c>
      <c r="S1859" s="81" t="s">
        <v>46</v>
      </c>
      <c r="T1859" s="81" t="s">
        <v>48</v>
      </c>
      <c r="U1859" s="81" t="s">
        <v>48</v>
      </c>
      <c r="V1859" s="81" t="s">
        <v>48</v>
      </c>
      <c r="W1859" s="81" t="s">
        <v>49</v>
      </c>
      <c r="X1859" s="81" t="s">
        <v>48</v>
      </c>
      <c r="Y1859" s="81" t="s">
        <v>48</v>
      </c>
    </row>
    <row r="1860" spans="1:25" x14ac:dyDescent="0.3">
      <c r="A1860" s="16" t="s">
        <v>4265</v>
      </c>
      <c r="B1860" s="81" t="s">
        <v>43</v>
      </c>
      <c r="C1860" s="81" t="s">
        <v>4266</v>
      </c>
      <c r="D1860" s="81" t="s">
        <v>45</v>
      </c>
      <c r="E1860" s="81" t="s">
        <v>2227</v>
      </c>
      <c r="F1860" s="81" t="s">
        <v>2227</v>
      </c>
      <c r="G1860" s="81" t="s">
        <v>2972</v>
      </c>
      <c r="H1860" s="81" t="s">
        <v>2850</v>
      </c>
      <c r="I1860" s="81" t="s">
        <v>5876</v>
      </c>
      <c r="J1860" s="81" t="s">
        <v>2186</v>
      </c>
      <c r="K1860" s="81" t="s">
        <v>5876</v>
      </c>
      <c r="L1860" s="81" t="s">
        <v>2392</v>
      </c>
      <c r="M1860" s="81" t="s">
        <v>5876</v>
      </c>
      <c r="N1860" s="81" t="s">
        <v>2231</v>
      </c>
      <c r="O1860" s="81" t="s">
        <v>2187</v>
      </c>
      <c r="P1860" s="81" t="s">
        <v>2187</v>
      </c>
      <c r="Q1860" s="81" t="s">
        <v>43</v>
      </c>
      <c r="R1860" s="81" t="s">
        <v>203</v>
      </c>
      <c r="S1860" s="81" t="s">
        <v>203</v>
      </c>
      <c r="T1860" s="81" t="s">
        <v>48</v>
      </c>
      <c r="U1860" s="81" t="s">
        <v>48</v>
      </c>
      <c r="V1860" s="81" t="s">
        <v>48</v>
      </c>
      <c r="W1860" s="81" t="s">
        <v>49</v>
      </c>
      <c r="X1860" s="81" t="s">
        <v>48</v>
      </c>
      <c r="Y1860" s="81" t="s">
        <v>48</v>
      </c>
    </row>
    <row r="1861" spans="1:25" x14ac:dyDescent="0.3">
      <c r="A1861" s="16">
        <v>7501868950023</v>
      </c>
      <c r="B1861" s="81" t="s">
        <v>43</v>
      </c>
      <c r="C1861" s="81" t="s">
        <v>4267</v>
      </c>
      <c r="D1861" s="81" t="s">
        <v>45</v>
      </c>
      <c r="E1861" s="81" t="s">
        <v>2227</v>
      </c>
      <c r="F1861" s="81" t="s">
        <v>2227</v>
      </c>
      <c r="G1861" s="81" t="s">
        <v>4268</v>
      </c>
      <c r="H1861" s="81" t="s">
        <v>2950</v>
      </c>
      <c r="I1861" s="81" t="s">
        <v>6980</v>
      </c>
      <c r="J1861" s="81" t="s">
        <v>2186</v>
      </c>
      <c r="K1861" s="81" t="s">
        <v>6980</v>
      </c>
      <c r="L1861" s="81" t="s">
        <v>2392</v>
      </c>
      <c r="M1861" s="81" t="s">
        <v>6980</v>
      </c>
      <c r="N1861" s="81" t="s">
        <v>2231</v>
      </c>
      <c r="O1861" s="81" t="s">
        <v>2187</v>
      </c>
      <c r="P1861" s="81" t="s">
        <v>2187</v>
      </c>
      <c r="Q1861" s="81" t="s">
        <v>43</v>
      </c>
      <c r="R1861" s="81" t="s">
        <v>203</v>
      </c>
      <c r="S1861" s="81" t="s">
        <v>203</v>
      </c>
      <c r="T1861" s="81" t="s">
        <v>48</v>
      </c>
      <c r="U1861" s="81" t="s">
        <v>48</v>
      </c>
      <c r="V1861" s="81" t="s">
        <v>49</v>
      </c>
      <c r="W1861" s="81" t="s">
        <v>48</v>
      </c>
      <c r="X1861" s="81" t="s">
        <v>48</v>
      </c>
      <c r="Y1861" s="81" t="s">
        <v>48</v>
      </c>
    </row>
    <row r="1862" spans="1:25" x14ac:dyDescent="0.3">
      <c r="A1862" s="16">
        <v>7501868950030</v>
      </c>
      <c r="B1862" s="81" t="s">
        <v>43</v>
      </c>
      <c r="C1862" s="81" t="s">
        <v>4269</v>
      </c>
      <c r="D1862" s="81" t="s">
        <v>45</v>
      </c>
      <c r="E1862" s="81" t="s">
        <v>2227</v>
      </c>
      <c r="F1862" s="81" t="s">
        <v>2227</v>
      </c>
      <c r="G1862" s="81" t="s">
        <v>2692</v>
      </c>
      <c r="H1862" s="81" t="s">
        <v>3193</v>
      </c>
      <c r="I1862" s="81" t="s">
        <v>6981</v>
      </c>
      <c r="J1862" s="81" t="s">
        <v>2186</v>
      </c>
      <c r="K1862" s="81" t="s">
        <v>6981</v>
      </c>
      <c r="L1862" s="81" t="s">
        <v>2392</v>
      </c>
      <c r="M1862" s="81" t="s">
        <v>6981</v>
      </c>
      <c r="N1862" s="81" t="s">
        <v>2231</v>
      </c>
      <c r="O1862" s="81" t="s">
        <v>2187</v>
      </c>
      <c r="P1862" s="81" t="s">
        <v>2187</v>
      </c>
      <c r="Q1862" s="81" t="s">
        <v>43</v>
      </c>
      <c r="R1862" s="81" t="s">
        <v>203</v>
      </c>
      <c r="S1862" s="81" t="s">
        <v>203</v>
      </c>
      <c r="T1862" s="81" t="s">
        <v>48</v>
      </c>
      <c r="U1862" s="81" t="s">
        <v>48</v>
      </c>
      <c r="V1862" s="81" t="s">
        <v>49</v>
      </c>
      <c r="W1862" s="81" t="s">
        <v>48</v>
      </c>
      <c r="X1862" s="81" t="s">
        <v>48</v>
      </c>
      <c r="Y1862" s="81" t="s">
        <v>48</v>
      </c>
    </row>
    <row r="1863" spans="1:25" x14ac:dyDescent="0.3">
      <c r="A1863" s="16">
        <v>7506442704771</v>
      </c>
      <c r="B1863" s="81" t="s">
        <v>43</v>
      </c>
      <c r="C1863" s="81" t="s">
        <v>4270</v>
      </c>
      <c r="D1863" s="81" t="s">
        <v>45</v>
      </c>
      <c r="E1863" s="81" t="s">
        <v>2227</v>
      </c>
      <c r="F1863" s="81" t="s">
        <v>2227</v>
      </c>
      <c r="G1863" s="81" t="s">
        <v>4271</v>
      </c>
      <c r="H1863" s="81" t="s">
        <v>2998</v>
      </c>
      <c r="I1863" s="81" t="s">
        <v>6982</v>
      </c>
      <c r="J1863" s="81" t="s">
        <v>2186</v>
      </c>
      <c r="K1863" s="81" t="s">
        <v>6982</v>
      </c>
      <c r="L1863" s="81" t="s">
        <v>2392</v>
      </c>
      <c r="M1863" s="81" t="s">
        <v>6982</v>
      </c>
      <c r="N1863" s="81" t="s">
        <v>2231</v>
      </c>
      <c r="O1863" s="81" t="s">
        <v>2187</v>
      </c>
      <c r="P1863" s="81" t="s">
        <v>2187</v>
      </c>
      <c r="Q1863" s="81" t="s">
        <v>43</v>
      </c>
      <c r="R1863" s="81" t="s">
        <v>203</v>
      </c>
      <c r="S1863" s="81" t="s">
        <v>203</v>
      </c>
      <c r="T1863" s="81" t="s">
        <v>48</v>
      </c>
      <c r="U1863" s="81" t="s">
        <v>48</v>
      </c>
      <c r="V1863" s="81" t="s">
        <v>48</v>
      </c>
      <c r="W1863" s="81" t="s">
        <v>49</v>
      </c>
      <c r="X1863" s="81" t="s">
        <v>48</v>
      </c>
      <c r="Y1863" s="81" t="s">
        <v>48</v>
      </c>
    </row>
    <row r="1864" spans="1:25" x14ac:dyDescent="0.3">
      <c r="A1864" s="16" t="s">
        <v>4272</v>
      </c>
      <c r="B1864" s="81" t="s">
        <v>43</v>
      </c>
      <c r="C1864" s="81" t="s">
        <v>4273</v>
      </c>
      <c r="D1864" s="81" t="s">
        <v>45</v>
      </c>
      <c r="E1864" s="81" t="s">
        <v>2227</v>
      </c>
      <c r="F1864" s="81" t="s">
        <v>2227</v>
      </c>
      <c r="G1864" s="81" t="s">
        <v>2979</v>
      </c>
      <c r="H1864" s="81" t="s">
        <v>4477</v>
      </c>
      <c r="I1864" s="81" t="s">
        <v>5882</v>
      </c>
      <c r="J1864" s="81" t="s">
        <v>2186</v>
      </c>
      <c r="K1864" s="81" t="s">
        <v>5882</v>
      </c>
      <c r="L1864" s="81" t="s">
        <v>2392</v>
      </c>
      <c r="M1864" s="81" t="s">
        <v>5882</v>
      </c>
      <c r="N1864" s="81" t="s">
        <v>2231</v>
      </c>
      <c r="O1864" s="81" t="s">
        <v>2187</v>
      </c>
      <c r="P1864" s="81" t="s">
        <v>2187</v>
      </c>
      <c r="Q1864" s="81" t="s">
        <v>43</v>
      </c>
      <c r="R1864" s="81" t="s">
        <v>203</v>
      </c>
      <c r="S1864" s="81" t="s">
        <v>203</v>
      </c>
      <c r="T1864" s="81" t="s">
        <v>48</v>
      </c>
      <c r="U1864" s="81" t="s">
        <v>48</v>
      </c>
      <c r="V1864" s="81" t="s">
        <v>49</v>
      </c>
      <c r="W1864" s="81" t="s">
        <v>48</v>
      </c>
      <c r="X1864" s="81" t="s">
        <v>48</v>
      </c>
      <c r="Y1864" s="81" t="s">
        <v>48</v>
      </c>
    </row>
    <row r="1865" spans="1:25" x14ac:dyDescent="0.3">
      <c r="A1865" s="16" t="s">
        <v>4274</v>
      </c>
      <c r="B1865" s="81" t="s">
        <v>43</v>
      </c>
      <c r="C1865" s="81" t="s">
        <v>4275</v>
      </c>
      <c r="D1865" s="81" t="s">
        <v>45</v>
      </c>
      <c r="E1865" s="81" t="s">
        <v>2227</v>
      </c>
      <c r="F1865" s="81" t="s">
        <v>2227</v>
      </c>
      <c r="G1865" s="81" t="s">
        <v>3754</v>
      </c>
      <c r="H1865" s="81" t="s">
        <v>3738</v>
      </c>
      <c r="I1865" s="81" t="s">
        <v>3755</v>
      </c>
      <c r="J1865" s="81" t="s">
        <v>2186</v>
      </c>
      <c r="K1865" s="81" t="s">
        <v>3755</v>
      </c>
      <c r="L1865" s="81" t="s">
        <v>2392</v>
      </c>
      <c r="M1865" s="81" t="s">
        <v>3755</v>
      </c>
      <c r="N1865" s="81" t="s">
        <v>2231</v>
      </c>
      <c r="O1865" s="81" t="s">
        <v>2187</v>
      </c>
      <c r="P1865" s="81" t="s">
        <v>2187</v>
      </c>
      <c r="Q1865" s="81" t="s">
        <v>1168</v>
      </c>
      <c r="R1865" s="81" t="s">
        <v>122</v>
      </c>
      <c r="S1865" s="81" t="s">
        <v>122</v>
      </c>
      <c r="T1865" s="81" t="s">
        <v>48</v>
      </c>
      <c r="U1865" s="81" t="s">
        <v>48</v>
      </c>
      <c r="V1865" s="81" t="s">
        <v>49</v>
      </c>
      <c r="W1865" s="81" t="s">
        <v>48</v>
      </c>
      <c r="X1865" s="81" t="s">
        <v>48</v>
      </c>
      <c r="Y1865" s="81" t="s">
        <v>48</v>
      </c>
    </row>
    <row r="1866" spans="1:25" x14ac:dyDescent="0.3">
      <c r="A1866" s="16" t="s">
        <v>4276</v>
      </c>
      <c r="B1866" s="81" t="s">
        <v>43</v>
      </c>
      <c r="C1866" s="81" t="s">
        <v>4277</v>
      </c>
      <c r="D1866" s="81" t="s">
        <v>45</v>
      </c>
      <c r="E1866" s="81" t="s">
        <v>2227</v>
      </c>
      <c r="F1866" s="81" t="s">
        <v>2227</v>
      </c>
      <c r="G1866" s="81" t="s">
        <v>3704</v>
      </c>
      <c r="H1866" s="81" t="s">
        <v>2993</v>
      </c>
      <c r="I1866" s="81" t="s">
        <v>4501</v>
      </c>
      <c r="J1866" s="81" t="s">
        <v>2186</v>
      </c>
      <c r="K1866" s="81" t="s">
        <v>4497</v>
      </c>
      <c r="L1866" s="81" t="s">
        <v>2392</v>
      </c>
      <c r="M1866" s="81" t="s">
        <v>4498</v>
      </c>
      <c r="N1866" s="81" t="s">
        <v>2231</v>
      </c>
      <c r="O1866" s="81" t="s">
        <v>2187</v>
      </c>
      <c r="P1866" s="81" t="s">
        <v>2187</v>
      </c>
      <c r="Q1866" s="81" t="s">
        <v>43</v>
      </c>
      <c r="R1866" s="81" t="s">
        <v>203</v>
      </c>
      <c r="S1866" s="81" t="s">
        <v>203</v>
      </c>
      <c r="T1866" s="81" t="s">
        <v>48</v>
      </c>
      <c r="U1866" s="81" t="s">
        <v>48</v>
      </c>
      <c r="V1866" s="81" t="s">
        <v>48</v>
      </c>
      <c r="W1866" s="81" t="s">
        <v>49</v>
      </c>
      <c r="X1866" s="81" t="s">
        <v>48</v>
      </c>
      <c r="Y1866" s="81" t="s">
        <v>48</v>
      </c>
    </row>
    <row r="1867" spans="1:25" x14ac:dyDescent="0.3">
      <c r="A1867" s="16" t="s">
        <v>4278</v>
      </c>
      <c r="B1867" s="81" t="s">
        <v>43</v>
      </c>
      <c r="C1867" s="81" t="s">
        <v>4279</v>
      </c>
      <c r="D1867" s="81" t="s">
        <v>45</v>
      </c>
      <c r="E1867" s="81" t="s">
        <v>2458</v>
      </c>
      <c r="F1867" s="81" t="s">
        <v>2439</v>
      </c>
      <c r="G1867" s="81" t="s">
        <v>3016</v>
      </c>
      <c r="H1867" s="81" t="s">
        <v>2905</v>
      </c>
      <c r="I1867" s="81" t="s">
        <v>6983</v>
      </c>
      <c r="J1867" s="81" t="s">
        <v>2186</v>
      </c>
      <c r="K1867" s="81" t="s">
        <v>6983</v>
      </c>
      <c r="L1867" s="81" t="s">
        <v>2392</v>
      </c>
      <c r="M1867" s="81" t="s">
        <v>6983</v>
      </c>
      <c r="N1867" s="81" t="s">
        <v>2231</v>
      </c>
      <c r="O1867" s="81" t="s">
        <v>2187</v>
      </c>
      <c r="P1867" s="81" t="s">
        <v>2187</v>
      </c>
      <c r="Q1867" s="81" t="s">
        <v>43</v>
      </c>
      <c r="R1867" s="81" t="s">
        <v>203</v>
      </c>
      <c r="S1867" s="81" t="s">
        <v>203</v>
      </c>
      <c r="T1867" s="81" t="s">
        <v>48</v>
      </c>
      <c r="U1867" s="81" t="s">
        <v>48</v>
      </c>
      <c r="V1867" s="81" t="s">
        <v>48</v>
      </c>
      <c r="W1867" s="81" t="s">
        <v>49</v>
      </c>
      <c r="X1867" s="81" t="s">
        <v>48</v>
      </c>
      <c r="Y1867" s="81" t="s">
        <v>48</v>
      </c>
    </row>
    <row r="1868" spans="1:25" x14ac:dyDescent="0.3">
      <c r="A1868" s="16" t="s">
        <v>4280</v>
      </c>
      <c r="B1868" s="81" t="s">
        <v>43</v>
      </c>
      <c r="C1868" s="81" t="s">
        <v>4281</v>
      </c>
      <c r="D1868" s="81" t="s">
        <v>45</v>
      </c>
      <c r="E1868" s="81" t="s">
        <v>2443</v>
      </c>
      <c r="F1868" s="81" t="s">
        <v>2512</v>
      </c>
      <c r="G1868" s="81" t="s">
        <v>2664</v>
      </c>
      <c r="H1868" s="81" t="s">
        <v>2665</v>
      </c>
      <c r="I1868" s="81" t="s">
        <v>4038</v>
      </c>
      <c r="J1868" s="81" t="s">
        <v>2186</v>
      </c>
      <c r="K1868" s="81" t="s">
        <v>4038</v>
      </c>
      <c r="L1868" s="81" t="s">
        <v>2392</v>
      </c>
      <c r="M1868" s="81" t="s">
        <v>4038</v>
      </c>
      <c r="N1868" s="81" t="s">
        <v>2231</v>
      </c>
      <c r="O1868" s="81" t="s">
        <v>2187</v>
      </c>
      <c r="P1868" s="81" t="s">
        <v>2187</v>
      </c>
      <c r="Q1868" s="81" t="s">
        <v>43</v>
      </c>
      <c r="R1868" s="81" t="s">
        <v>203</v>
      </c>
      <c r="S1868" s="81" t="s">
        <v>203</v>
      </c>
      <c r="T1868" s="81" t="s">
        <v>48</v>
      </c>
      <c r="U1868" s="81" t="s">
        <v>48</v>
      </c>
      <c r="V1868" s="81" t="s">
        <v>48</v>
      </c>
      <c r="W1868" s="81" t="s">
        <v>49</v>
      </c>
      <c r="X1868" s="81" t="s">
        <v>48</v>
      </c>
      <c r="Y1868" s="81" t="s">
        <v>48</v>
      </c>
    </row>
    <row r="1869" spans="1:25" x14ac:dyDescent="0.3">
      <c r="A1869" s="16" t="s">
        <v>4282</v>
      </c>
      <c r="B1869" s="81" t="s">
        <v>43</v>
      </c>
      <c r="C1869" s="81" t="s">
        <v>4283</v>
      </c>
      <c r="D1869" s="81" t="s">
        <v>45</v>
      </c>
      <c r="E1869" s="81" t="s">
        <v>2191</v>
      </c>
      <c r="F1869" s="81" t="s">
        <v>2192</v>
      </c>
      <c r="G1869" s="81" t="s">
        <v>3265</v>
      </c>
      <c r="H1869" s="81" t="s">
        <v>3266</v>
      </c>
      <c r="I1869" s="81" t="s">
        <v>6984</v>
      </c>
      <c r="J1869" s="81" t="s">
        <v>2186</v>
      </c>
      <c r="K1869" s="81" t="s">
        <v>6984</v>
      </c>
      <c r="L1869" s="81" t="s">
        <v>2392</v>
      </c>
      <c r="M1869" s="81" t="s">
        <v>6984</v>
      </c>
      <c r="N1869" s="81" t="s">
        <v>2231</v>
      </c>
      <c r="O1869" s="81" t="s">
        <v>2187</v>
      </c>
      <c r="P1869" s="81" t="s">
        <v>2187</v>
      </c>
      <c r="Q1869" s="81" t="s">
        <v>43</v>
      </c>
      <c r="R1869" s="81" t="s">
        <v>203</v>
      </c>
      <c r="S1869" s="81" t="s">
        <v>47</v>
      </c>
      <c r="T1869" s="81" t="s">
        <v>48</v>
      </c>
      <c r="U1869" s="81" t="s">
        <v>48</v>
      </c>
      <c r="V1869" s="81" t="s">
        <v>48</v>
      </c>
      <c r="W1869" s="81" t="s">
        <v>49</v>
      </c>
      <c r="X1869" s="81" t="s">
        <v>48</v>
      </c>
      <c r="Y1869" s="81" t="s">
        <v>48</v>
      </c>
    </row>
    <row r="1870" spans="1:25" x14ac:dyDescent="0.3">
      <c r="A1870" s="16">
        <v>7503006388101</v>
      </c>
      <c r="B1870" s="81" t="s">
        <v>43</v>
      </c>
      <c r="C1870" s="81" t="s">
        <v>4653</v>
      </c>
      <c r="D1870" s="81" t="s">
        <v>45</v>
      </c>
      <c r="E1870" s="81" t="s">
        <v>2227</v>
      </c>
      <c r="F1870" s="81" t="s">
        <v>2227</v>
      </c>
      <c r="G1870" s="81" t="s">
        <v>4284</v>
      </c>
      <c r="H1870" s="81" t="s">
        <v>3041</v>
      </c>
      <c r="I1870" s="81" t="s">
        <v>6985</v>
      </c>
      <c r="J1870" s="81" t="s">
        <v>2186</v>
      </c>
      <c r="K1870" s="81" t="s">
        <v>6985</v>
      </c>
      <c r="L1870" s="81" t="s">
        <v>2392</v>
      </c>
      <c r="M1870" s="81" t="s">
        <v>6985</v>
      </c>
      <c r="N1870" s="81" t="s">
        <v>2231</v>
      </c>
      <c r="O1870" s="81" t="s">
        <v>2187</v>
      </c>
      <c r="P1870" s="81" t="s">
        <v>2187</v>
      </c>
      <c r="Q1870" s="81" t="s">
        <v>43</v>
      </c>
      <c r="R1870" s="81" t="s">
        <v>122</v>
      </c>
      <c r="S1870" s="81" t="s">
        <v>123</v>
      </c>
      <c r="T1870" s="81" t="s">
        <v>48</v>
      </c>
      <c r="U1870" s="81" t="s">
        <v>48</v>
      </c>
      <c r="V1870" s="81" t="s">
        <v>49</v>
      </c>
      <c r="W1870" s="81" t="s">
        <v>48</v>
      </c>
      <c r="X1870" s="81" t="s">
        <v>48</v>
      </c>
      <c r="Y1870" s="81" t="s">
        <v>48</v>
      </c>
    </row>
    <row r="1871" spans="1:25" x14ac:dyDescent="0.3">
      <c r="A1871" s="16">
        <v>7503006388989</v>
      </c>
      <c r="B1871" s="81" t="s">
        <v>43</v>
      </c>
      <c r="C1871" s="81" t="s">
        <v>4654</v>
      </c>
      <c r="D1871" s="81" t="s">
        <v>45</v>
      </c>
      <c r="E1871" s="81" t="s">
        <v>2227</v>
      </c>
      <c r="F1871" s="81" t="s">
        <v>2227</v>
      </c>
      <c r="G1871" s="81" t="s">
        <v>4284</v>
      </c>
      <c r="H1871" s="81" t="s">
        <v>3041</v>
      </c>
      <c r="I1871" s="81" t="s">
        <v>6985</v>
      </c>
      <c r="J1871" s="81" t="s">
        <v>2186</v>
      </c>
      <c r="K1871" s="81" t="s">
        <v>6985</v>
      </c>
      <c r="L1871" s="81" t="s">
        <v>2392</v>
      </c>
      <c r="M1871" s="81" t="s">
        <v>6985</v>
      </c>
      <c r="N1871" s="81" t="s">
        <v>2231</v>
      </c>
      <c r="O1871" s="81" t="s">
        <v>2187</v>
      </c>
      <c r="P1871" s="81" t="s">
        <v>2187</v>
      </c>
      <c r="Q1871" s="81" t="s">
        <v>43</v>
      </c>
      <c r="R1871" s="81" t="s">
        <v>122</v>
      </c>
      <c r="S1871" s="81" t="s">
        <v>123</v>
      </c>
      <c r="T1871" s="81" t="s">
        <v>48</v>
      </c>
      <c r="U1871" s="81" t="s">
        <v>48</v>
      </c>
      <c r="V1871" s="81" t="s">
        <v>49</v>
      </c>
      <c r="W1871" s="81" t="s">
        <v>48</v>
      </c>
      <c r="X1871" s="81" t="s">
        <v>48</v>
      </c>
      <c r="Y1871" s="81" t="s">
        <v>48</v>
      </c>
    </row>
    <row r="1872" spans="1:25" x14ac:dyDescent="0.3">
      <c r="A1872" s="16">
        <v>7503006388972</v>
      </c>
      <c r="B1872" s="81" t="s">
        <v>43</v>
      </c>
      <c r="C1872" s="81" t="s">
        <v>4655</v>
      </c>
      <c r="D1872" s="81" t="s">
        <v>45</v>
      </c>
      <c r="E1872" s="81" t="s">
        <v>2227</v>
      </c>
      <c r="F1872" s="81" t="s">
        <v>2227</v>
      </c>
      <c r="G1872" s="81" t="s">
        <v>4285</v>
      </c>
      <c r="H1872" s="81" t="s">
        <v>6986</v>
      </c>
      <c r="I1872" s="81" t="s">
        <v>6987</v>
      </c>
      <c r="J1872" s="81" t="s">
        <v>2186</v>
      </c>
      <c r="K1872" s="81" t="s">
        <v>6987</v>
      </c>
      <c r="L1872" s="81" t="s">
        <v>2392</v>
      </c>
      <c r="M1872" s="81" t="s">
        <v>6987</v>
      </c>
      <c r="N1872" s="81" t="s">
        <v>2231</v>
      </c>
      <c r="O1872" s="81" t="s">
        <v>2187</v>
      </c>
      <c r="P1872" s="81" t="s">
        <v>2187</v>
      </c>
      <c r="Q1872" s="81" t="s">
        <v>43</v>
      </c>
      <c r="R1872" s="81" t="s">
        <v>122</v>
      </c>
      <c r="S1872" s="81" t="s">
        <v>123</v>
      </c>
      <c r="T1872" s="81" t="s">
        <v>48</v>
      </c>
      <c r="U1872" s="81" t="s">
        <v>48</v>
      </c>
      <c r="V1872" s="81" t="s">
        <v>49</v>
      </c>
      <c r="W1872" s="81" t="s">
        <v>48</v>
      </c>
      <c r="X1872" s="81" t="s">
        <v>48</v>
      </c>
      <c r="Y1872" s="81" t="s">
        <v>48</v>
      </c>
    </row>
    <row r="1873" spans="1:25" x14ac:dyDescent="0.3">
      <c r="A1873" s="16">
        <v>7503006388996</v>
      </c>
      <c r="B1873" s="81" t="s">
        <v>43</v>
      </c>
      <c r="C1873" s="81" t="s">
        <v>4656</v>
      </c>
      <c r="D1873" s="81" t="s">
        <v>45</v>
      </c>
      <c r="E1873" s="81" t="s">
        <v>2227</v>
      </c>
      <c r="F1873" s="81" t="s">
        <v>2227</v>
      </c>
      <c r="G1873" s="81" t="s">
        <v>4285</v>
      </c>
      <c r="H1873" s="81" t="s">
        <v>6988</v>
      </c>
      <c r="I1873" s="81" t="s">
        <v>6989</v>
      </c>
      <c r="J1873" s="81" t="s">
        <v>2186</v>
      </c>
      <c r="K1873" s="81" t="s">
        <v>6989</v>
      </c>
      <c r="L1873" s="81" t="s">
        <v>2392</v>
      </c>
      <c r="M1873" s="81" t="s">
        <v>6989</v>
      </c>
      <c r="N1873" s="81" t="s">
        <v>2231</v>
      </c>
      <c r="O1873" s="81" t="s">
        <v>2187</v>
      </c>
      <c r="P1873" s="81" t="s">
        <v>2187</v>
      </c>
      <c r="Q1873" s="81" t="s">
        <v>43</v>
      </c>
      <c r="R1873" s="81" t="s">
        <v>122</v>
      </c>
      <c r="S1873" s="81" t="s">
        <v>123</v>
      </c>
      <c r="T1873" s="81" t="s">
        <v>48</v>
      </c>
      <c r="U1873" s="81" t="s">
        <v>48</v>
      </c>
      <c r="V1873" s="81" t="s">
        <v>49</v>
      </c>
      <c r="W1873" s="81" t="s">
        <v>48</v>
      </c>
      <c r="X1873" s="81" t="s">
        <v>48</v>
      </c>
      <c r="Y1873" s="81" t="s">
        <v>48</v>
      </c>
    </row>
    <row r="1874" spans="1:25" x14ac:dyDescent="0.3">
      <c r="A1874" s="16">
        <v>7503001627038</v>
      </c>
      <c r="B1874" s="81" t="s">
        <v>43</v>
      </c>
      <c r="C1874" s="81" t="s">
        <v>4286</v>
      </c>
      <c r="D1874" s="81" t="s">
        <v>45</v>
      </c>
      <c r="E1874" s="81" t="s">
        <v>2227</v>
      </c>
      <c r="F1874" s="81" t="s">
        <v>2227</v>
      </c>
      <c r="G1874" s="81" t="s">
        <v>4976</v>
      </c>
      <c r="H1874" s="81" t="s">
        <v>3041</v>
      </c>
      <c r="I1874" s="81" t="s">
        <v>4911</v>
      </c>
      <c r="J1874" s="81" t="s">
        <v>2186</v>
      </c>
      <c r="K1874" s="81" t="s">
        <v>4911</v>
      </c>
      <c r="L1874" s="81" t="s">
        <v>2392</v>
      </c>
      <c r="M1874" s="81" t="s">
        <v>4911</v>
      </c>
      <c r="N1874" s="81" t="s">
        <v>2231</v>
      </c>
      <c r="O1874" s="81" t="s">
        <v>2187</v>
      </c>
      <c r="P1874" s="81" t="s">
        <v>2187</v>
      </c>
      <c r="Q1874" s="81" t="s">
        <v>43</v>
      </c>
      <c r="R1874" s="81" t="s">
        <v>203</v>
      </c>
      <c r="S1874" s="81" t="s">
        <v>203</v>
      </c>
      <c r="T1874" s="81" t="s">
        <v>48</v>
      </c>
      <c r="U1874" s="81" t="s">
        <v>48</v>
      </c>
      <c r="V1874" s="81" t="s">
        <v>49</v>
      </c>
      <c r="W1874" s="81" t="s">
        <v>48</v>
      </c>
      <c r="X1874" s="81" t="s">
        <v>48</v>
      </c>
      <c r="Y1874" s="81" t="s">
        <v>48</v>
      </c>
    </row>
    <row r="1875" spans="1:25" x14ac:dyDescent="0.3">
      <c r="A1875" s="16">
        <v>7503002615645</v>
      </c>
      <c r="B1875" s="81" t="s">
        <v>43</v>
      </c>
      <c r="C1875" s="81" t="s">
        <v>4287</v>
      </c>
      <c r="D1875" s="81" t="s">
        <v>45</v>
      </c>
      <c r="E1875" s="81" t="s">
        <v>2227</v>
      </c>
      <c r="F1875" s="81" t="s">
        <v>2227</v>
      </c>
      <c r="G1875" s="81" t="s">
        <v>4288</v>
      </c>
      <c r="H1875" s="81" t="s">
        <v>6990</v>
      </c>
      <c r="I1875" s="81" t="s">
        <v>6991</v>
      </c>
      <c r="J1875" s="81" t="s">
        <v>2186</v>
      </c>
      <c r="K1875" s="81" t="s">
        <v>6991</v>
      </c>
      <c r="L1875" s="81" t="s">
        <v>2392</v>
      </c>
      <c r="M1875" s="81" t="s">
        <v>6991</v>
      </c>
      <c r="N1875" s="81" t="s">
        <v>2231</v>
      </c>
      <c r="O1875" s="81" t="s">
        <v>2187</v>
      </c>
      <c r="P1875" s="81" t="s">
        <v>2187</v>
      </c>
      <c r="Q1875" s="81" t="s">
        <v>43</v>
      </c>
      <c r="R1875" s="81" t="s">
        <v>46</v>
      </c>
      <c r="S1875" s="81" t="s">
        <v>46</v>
      </c>
      <c r="T1875" s="81" t="s">
        <v>48</v>
      </c>
      <c r="U1875" s="81" t="s">
        <v>48</v>
      </c>
      <c r="V1875" s="81" t="s">
        <v>48</v>
      </c>
      <c r="W1875" s="81" t="s">
        <v>49</v>
      </c>
      <c r="X1875" s="81" t="s">
        <v>48</v>
      </c>
      <c r="Y1875" s="81" t="s">
        <v>48</v>
      </c>
    </row>
    <row r="1876" spans="1:25" x14ac:dyDescent="0.3">
      <c r="A1876" s="16">
        <v>7502250340538</v>
      </c>
      <c r="B1876" s="81" t="s">
        <v>43</v>
      </c>
      <c r="C1876" s="81" t="s">
        <v>4289</v>
      </c>
      <c r="D1876" s="81" t="s">
        <v>45</v>
      </c>
      <c r="E1876" s="81" t="s">
        <v>2227</v>
      </c>
      <c r="F1876" s="81" t="s">
        <v>2227</v>
      </c>
      <c r="G1876" s="81" t="s">
        <v>5130</v>
      </c>
      <c r="H1876" s="81" t="s">
        <v>2244</v>
      </c>
      <c r="I1876" s="81" t="s">
        <v>3327</v>
      </c>
      <c r="J1876" s="81" t="s">
        <v>2186</v>
      </c>
      <c r="K1876" s="81" t="s">
        <v>3327</v>
      </c>
      <c r="L1876" s="81" t="s">
        <v>2392</v>
      </c>
      <c r="M1876" s="81" t="s">
        <v>3327</v>
      </c>
      <c r="N1876" s="81" t="s">
        <v>2231</v>
      </c>
      <c r="O1876" s="81" t="s">
        <v>2187</v>
      </c>
      <c r="P1876" s="81" t="s">
        <v>2187</v>
      </c>
      <c r="Q1876" s="81" t="s">
        <v>43</v>
      </c>
      <c r="R1876" s="81" t="s">
        <v>203</v>
      </c>
      <c r="S1876" s="81" t="s">
        <v>203</v>
      </c>
      <c r="T1876" s="81" t="s">
        <v>48</v>
      </c>
      <c r="U1876" s="81" t="s">
        <v>48</v>
      </c>
      <c r="V1876" s="81" t="s">
        <v>48</v>
      </c>
      <c r="W1876" s="81" t="s">
        <v>49</v>
      </c>
      <c r="X1876" s="81" t="s">
        <v>48</v>
      </c>
      <c r="Y1876" s="81" t="s">
        <v>48</v>
      </c>
    </row>
    <row r="1877" spans="1:25" x14ac:dyDescent="0.3">
      <c r="A1877" s="16">
        <v>7501258215930</v>
      </c>
      <c r="B1877" s="81" t="s">
        <v>43</v>
      </c>
      <c r="C1877" s="81" t="s">
        <v>4290</v>
      </c>
      <c r="D1877" s="81" t="s">
        <v>45</v>
      </c>
      <c r="E1877" s="81" t="s">
        <v>2227</v>
      </c>
      <c r="F1877" s="81" t="s">
        <v>2227</v>
      </c>
      <c r="G1877" s="81" t="s">
        <v>4977</v>
      </c>
      <c r="H1877" s="81" t="s">
        <v>2807</v>
      </c>
      <c r="I1877" s="81" t="s">
        <v>6992</v>
      </c>
      <c r="J1877" s="81" t="s">
        <v>2186</v>
      </c>
      <c r="K1877" s="81" t="s">
        <v>6992</v>
      </c>
      <c r="L1877" s="81" t="s">
        <v>2392</v>
      </c>
      <c r="M1877" s="81" t="s">
        <v>6992</v>
      </c>
      <c r="N1877" s="81" t="s">
        <v>2231</v>
      </c>
      <c r="O1877" s="81" t="s">
        <v>2187</v>
      </c>
      <c r="P1877" s="81" t="s">
        <v>2187</v>
      </c>
      <c r="Q1877" s="81" t="s">
        <v>43</v>
      </c>
      <c r="R1877" s="81" t="s">
        <v>46</v>
      </c>
      <c r="S1877" s="81" t="s">
        <v>46</v>
      </c>
      <c r="T1877" s="81" t="s">
        <v>48</v>
      </c>
      <c r="U1877" s="81" t="s">
        <v>48</v>
      </c>
      <c r="V1877" s="81" t="s">
        <v>48</v>
      </c>
      <c r="W1877" s="81" t="s">
        <v>49</v>
      </c>
      <c r="X1877" s="81" t="s">
        <v>48</v>
      </c>
      <c r="Y1877" s="81" t="s">
        <v>48</v>
      </c>
    </row>
    <row r="1878" spans="1:25" x14ac:dyDescent="0.3">
      <c r="A1878" s="16">
        <v>7501537103545</v>
      </c>
      <c r="B1878" s="81" t="s">
        <v>43</v>
      </c>
      <c r="C1878" s="81" t="s">
        <v>4291</v>
      </c>
      <c r="D1878" s="81" t="s">
        <v>45</v>
      </c>
      <c r="E1878" s="81" t="s">
        <v>2227</v>
      </c>
      <c r="F1878" s="81" t="s">
        <v>2227</v>
      </c>
      <c r="G1878" s="81" t="s">
        <v>4292</v>
      </c>
      <c r="H1878" s="81" t="s">
        <v>2243</v>
      </c>
      <c r="I1878" s="81" t="s">
        <v>6993</v>
      </c>
      <c r="J1878" s="81" t="s">
        <v>2186</v>
      </c>
      <c r="K1878" s="81" t="s">
        <v>6993</v>
      </c>
      <c r="L1878" s="81" t="s">
        <v>2392</v>
      </c>
      <c r="M1878" s="81" t="s">
        <v>6993</v>
      </c>
      <c r="N1878" s="81" t="s">
        <v>2231</v>
      </c>
      <c r="O1878" s="81" t="s">
        <v>2187</v>
      </c>
      <c r="P1878" s="81" t="s">
        <v>2187</v>
      </c>
      <c r="Q1878" s="81" t="s">
        <v>43</v>
      </c>
      <c r="R1878" s="81" t="s">
        <v>46</v>
      </c>
      <c r="S1878" s="81" t="s">
        <v>164</v>
      </c>
      <c r="T1878" s="81" t="s">
        <v>48</v>
      </c>
      <c r="U1878" s="81" t="s">
        <v>48</v>
      </c>
      <c r="V1878" s="81" t="s">
        <v>48</v>
      </c>
      <c r="W1878" s="81" t="s">
        <v>49</v>
      </c>
      <c r="X1878" s="81" t="s">
        <v>48</v>
      </c>
      <c r="Y1878" s="81" t="s">
        <v>48</v>
      </c>
    </row>
    <row r="1879" spans="1:25" x14ac:dyDescent="0.3">
      <c r="A1879" s="16">
        <v>7501537103484</v>
      </c>
      <c r="B1879" s="81" t="s">
        <v>43</v>
      </c>
      <c r="C1879" s="81" t="s">
        <v>4293</v>
      </c>
      <c r="D1879" s="81" t="s">
        <v>45</v>
      </c>
      <c r="E1879" s="81" t="s">
        <v>2227</v>
      </c>
      <c r="F1879" s="81" t="s">
        <v>2227</v>
      </c>
      <c r="G1879" s="81" t="s">
        <v>4294</v>
      </c>
      <c r="H1879" s="81" t="s">
        <v>2243</v>
      </c>
      <c r="I1879" s="81" t="s">
        <v>6994</v>
      </c>
      <c r="J1879" s="81" t="s">
        <v>2186</v>
      </c>
      <c r="K1879" s="81" t="s">
        <v>6994</v>
      </c>
      <c r="L1879" s="81" t="s">
        <v>2392</v>
      </c>
      <c r="M1879" s="81" t="s">
        <v>6994</v>
      </c>
      <c r="N1879" s="81" t="s">
        <v>2231</v>
      </c>
      <c r="O1879" s="81" t="s">
        <v>2187</v>
      </c>
      <c r="P1879" s="81" t="s">
        <v>2187</v>
      </c>
      <c r="Q1879" s="81" t="s">
        <v>43</v>
      </c>
      <c r="R1879" s="81" t="s">
        <v>203</v>
      </c>
      <c r="S1879" s="81" t="s">
        <v>203</v>
      </c>
      <c r="T1879" s="81" t="s">
        <v>48</v>
      </c>
      <c r="U1879" s="81" t="s">
        <v>48</v>
      </c>
      <c r="V1879" s="81" t="s">
        <v>48</v>
      </c>
      <c r="W1879" s="81" t="s">
        <v>49</v>
      </c>
      <c r="X1879" s="81" t="s">
        <v>48</v>
      </c>
      <c r="Y1879" s="81" t="s">
        <v>48</v>
      </c>
    </row>
    <row r="1880" spans="1:25" x14ac:dyDescent="0.3">
      <c r="A1880" s="16">
        <v>7503000422498</v>
      </c>
      <c r="B1880" s="81" t="s">
        <v>43</v>
      </c>
      <c r="C1880" s="81" t="s">
        <v>4295</v>
      </c>
      <c r="D1880" s="81" t="s">
        <v>45</v>
      </c>
      <c r="E1880" s="81" t="s">
        <v>2227</v>
      </c>
      <c r="F1880" s="81" t="s">
        <v>2227</v>
      </c>
      <c r="G1880" s="81" t="s">
        <v>4296</v>
      </c>
      <c r="H1880" s="81" t="s">
        <v>2217</v>
      </c>
      <c r="I1880" s="81" t="s">
        <v>5556</v>
      </c>
      <c r="J1880" s="81" t="s">
        <v>2186</v>
      </c>
      <c r="K1880" s="81" t="s">
        <v>5556</v>
      </c>
      <c r="L1880" s="81" t="s">
        <v>2392</v>
      </c>
      <c r="M1880" s="81" t="s">
        <v>5556</v>
      </c>
      <c r="N1880" s="81" t="s">
        <v>2231</v>
      </c>
      <c r="O1880" s="81" t="s">
        <v>2187</v>
      </c>
      <c r="P1880" s="81" t="s">
        <v>2187</v>
      </c>
      <c r="Q1880" s="81" t="s">
        <v>43</v>
      </c>
      <c r="R1880" s="81" t="s">
        <v>46</v>
      </c>
      <c r="S1880" s="81" t="s">
        <v>47</v>
      </c>
      <c r="T1880" s="81" t="s">
        <v>48</v>
      </c>
      <c r="U1880" s="81" t="s">
        <v>48</v>
      </c>
      <c r="V1880" s="81" t="s">
        <v>48</v>
      </c>
      <c r="W1880" s="81" t="s">
        <v>49</v>
      </c>
      <c r="X1880" s="81" t="s">
        <v>48</v>
      </c>
      <c r="Y1880" s="81" t="s">
        <v>48</v>
      </c>
    </row>
    <row r="1881" spans="1:25" x14ac:dyDescent="0.3">
      <c r="A1881" s="16">
        <v>7502009745102</v>
      </c>
      <c r="B1881" s="81" t="s">
        <v>43</v>
      </c>
      <c r="C1881" s="81" t="s">
        <v>5522</v>
      </c>
      <c r="D1881" s="81" t="s">
        <v>45</v>
      </c>
      <c r="E1881" s="81" t="s">
        <v>2227</v>
      </c>
      <c r="F1881" s="81" t="s">
        <v>2227</v>
      </c>
      <c r="G1881" s="81" t="s">
        <v>5446</v>
      </c>
      <c r="H1881" s="81" t="s">
        <v>2209</v>
      </c>
      <c r="I1881" s="81" t="s">
        <v>6995</v>
      </c>
      <c r="J1881" s="81" t="s">
        <v>2186</v>
      </c>
      <c r="K1881" s="81" t="s">
        <v>6995</v>
      </c>
      <c r="L1881" s="81" t="s">
        <v>2392</v>
      </c>
      <c r="M1881" s="81" t="s">
        <v>6995</v>
      </c>
      <c r="N1881" s="81" t="s">
        <v>2231</v>
      </c>
      <c r="O1881" s="81" t="s">
        <v>2187</v>
      </c>
      <c r="P1881" s="81" t="s">
        <v>2187</v>
      </c>
      <c r="Q1881" s="81" t="s">
        <v>43</v>
      </c>
      <c r="R1881" s="81" t="s">
        <v>46</v>
      </c>
      <c r="S1881" s="81" t="s">
        <v>46</v>
      </c>
      <c r="T1881" s="81" t="s">
        <v>48</v>
      </c>
      <c r="U1881" s="81" t="s">
        <v>48</v>
      </c>
      <c r="V1881" s="81" t="s">
        <v>48</v>
      </c>
      <c r="W1881" s="81" t="s">
        <v>49</v>
      </c>
      <c r="X1881" s="81" t="s">
        <v>48</v>
      </c>
      <c r="Y1881" s="81" t="s">
        <v>48</v>
      </c>
    </row>
    <row r="1882" spans="1:25" x14ac:dyDescent="0.3">
      <c r="A1882" s="16">
        <v>7501054507901</v>
      </c>
      <c r="B1882" s="81" t="s">
        <v>43</v>
      </c>
      <c r="C1882" s="81" t="s">
        <v>4310</v>
      </c>
      <c r="D1882" s="81" t="s">
        <v>45</v>
      </c>
      <c r="E1882" s="81" t="s">
        <v>2227</v>
      </c>
      <c r="F1882" s="81" t="s">
        <v>2227</v>
      </c>
      <c r="G1882" s="81" t="s">
        <v>4733</v>
      </c>
      <c r="H1882" s="81" t="s">
        <v>2756</v>
      </c>
      <c r="I1882" s="81" t="s">
        <v>6996</v>
      </c>
      <c r="J1882" s="81" t="s">
        <v>2186</v>
      </c>
      <c r="K1882" s="81" t="s">
        <v>6996</v>
      </c>
      <c r="L1882" s="81" t="s">
        <v>2392</v>
      </c>
      <c r="M1882" s="81" t="s">
        <v>6996</v>
      </c>
      <c r="N1882" s="81" t="s">
        <v>2231</v>
      </c>
      <c r="O1882" s="81" t="s">
        <v>2187</v>
      </c>
      <c r="P1882" s="81" t="s">
        <v>2187</v>
      </c>
      <c r="Q1882" s="81" t="s">
        <v>43</v>
      </c>
      <c r="R1882" s="81" t="s">
        <v>203</v>
      </c>
      <c r="S1882" s="81" t="s">
        <v>203</v>
      </c>
      <c r="T1882" s="81" t="s">
        <v>48</v>
      </c>
      <c r="U1882" s="81" t="s">
        <v>48</v>
      </c>
      <c r="V1882" s="81" t="s">
        <v>49</v>
      </c>
      <c r="W1882" s="81" t="s">
        <v>48</v>
      </c>
      <c r="X1882" s="81" t="s">
        <v>48</v>
      </c>
      <c r="Y1882" s="81" t="s">
        <v>48</v>
      </c>
    </row>
    <row r="1883" spans="1:25" x14ac:dyDescent="0.3">
      <c r="A1883" s="16" t="s">
        <v>4311</v>
      </c>
      <c r="B1883" s="81" t="s">
        <v>43</v>
      </c>
      <c r="C1883" s="81" t="s">
        <v>4312</v>
      </c>
      <c r="D1883" s="81" t="s">
        <v>45</v>
      </c>
      <c r="E1883" s="81" t="s">
        <v>2227</v>
      </c>
      <c r="F1883" s="81" t="s">
        <v>2227</v>
      </c>
      <c r="G1883" s="81" t="s">
        <v>2330</v>
      </c>
      <c r="H1883" s="81" t="s">
        <v>2325</v>
      </c>
      <c r="I1883" s="81" t="s">
        <v>2331</v>
      </c>
      <c r="J1883" s="81" t="s">
        <v>2186</v>
      </c>
      <c r="K1883" s="81" t="s">
        <v>2331</v>
      </c>
      <c r="L1883" s="81" t="s">
        <v>2392</v>
      </c>
      <c r="M1883" s="81" t="s">
        <v>2331</v>
      </c>
      <c r="N1883" s="81" t="s">
        <v>2231</v>
      </c>
      <c r="O1883" s="81" t="s">
        <v>2187</v>
      </c>
      <c r="P1883" s="81" t="s">
        <v>2187</v>
      </c>
      <c r="Q1883" s="81" t="s">
        <v>43</v>
      </c>
      <c r="R1883" s="81" t="s">
        <v>462</v>
      </c>
      <c r="S1883" s="81" t="s">
        <v>462</v>
      </c>
      <c r="T1883" s="81" t="s">
        <v>48</v>
      </c>
      <c r="U1883" s="81" t="s">
        <v>48</v>
      </c>
      <c r="V1883" s="81" t="s">
        <v>48</v>
      </c>
      <c r="W1883" s="81" t="s">
        <v>49</v>
      </c>
      <c r="X1883" s="81" t="s">
        <v>48</v>
      </c>
      <c r="Y1883" s="81" t="s">
        <v>48</v>
      </c>
    </row>
    <row r="1884" spans="1:25" x14ac:dyDescent="0.3">
      <c r="A1884" s="16" t="s">
        <v>4313</v>
      </c>
      <c r="B1884" s="81" t="s">
        <v>43</v>
      </c>
      <c r="C1884" s="81" t="s">
        <v>4314</v>
      </c>
      <c r="D1884" s="81" t="s">
        <v>45</v>
      </c>
      <c r="E1884" s="81" t="s">
        <v>2227</v>
      </c>
      <c r="F1884" s="81" t="s">
        <v>2227</v>
      </c>
      <c r="G1884" s="81" t="s">
        <v>2330</v>
      </c>
      <c r="H1884" s="81" t="s">
        <v>2325</v>
      </c>
      <c r="I1884" s="81" t="s">
        <v>2331</v>
      </c>
      <c r="J1884" s="81" t="s">
        <v>2186</v>
      </c>
      <c r="K1884" s="81" t="s">
        <v>2331</v>
      </c>
      <c r="L1884" s="81" t="s">
        <v>2392</v>
      </c>
      <c r="M1884" s="81" t="s">
        <v>2331</v>
      </c>
      <c r="N1884" s="81" t="s">
        <v>2231</v>
      </c>
      <c r="O1884" s="81" t="s">
        <v>2187</v>
      </c>
      <c r="P1884" s="81" t="s">
        <v>2187</v>
      </c>
      <c r="Q1884" s="81" t="s">
        <v>43</v>
      </c>
      <c r="R1884" s="81" t="s">
        <v>462</v>
      </c>
      <c r="S1884" s="81" t="s">
        <v>462</v>
      </c>
      <c r="T1884" s="81" t="s">
        <v>48</v>
      </c>
      <c r="U1884" s="81" t="s">
        <v>48</v>
      </c>
      <c r="V1884" s="81" t="s">
        <v>48</v>
      </c>
      <c r="W1884" s="81" t="s">
        <v>49</v>
      </c>
      <c r="X1884" s="81" t="s">
        <v>48</v>
      </c>
      <c r="Y1884" s="81" t="s">
        <v>48</v>
      </c>
    </row>
    <row r="1885" spans="1:25" x14ac:dyDescent="0.3">
      <c r="A1885" s="16" t="s">
        <v>4319</v>
      </c>
      <c r="B1885" s="81" t="s">
        <v>43</v>
      </c>
      <c r="C1885" s="81" t="s">
        <v>4320</v>
      </c>
      <c r="D1885" s="81" t="s">
        <v>45</v>
      </c>
      <c r="E1885" s="81" t="s">
        <v>2227</v>
      </c>
      <c r="F1885" s="81" t="s">
        <v>2227</v>
      </c>
      <c r="G1885" s="81" t="s">
        <v>4373</v>
      </c>
      <c r="H1885" s="81" t="s">
        <v>2325</v>
      </c>
      <c r="I1885" s="81" t="s">
        <v>2331</v>
      </c>
      <c r="J1885" s="81" t="s">
        <v>2186</v>
      </c>
      <c r="K1885" s="81" t="s">
        <v>2331</v>
      </c>
      <c r="L1885" s="81" t="s">
        <v>2392</v>
      </c>
      <c r="M1885" s="81" t="s">
        <v>2331</v>
      </c>
      <c r="N1885" s="81" t="s">
        <v>2231</v>
      </c>
      <c r="O1885" s="81" t="s">
        <v>2187</v>
      </c>
      <c r="P1885" s="81" t="s">
        <v>2187</v>
      </c>
      <c r="Q1885" s="81" t="s">
        <v>43</v>
      </c>
      <c r="R1885" s="81" t="s">
        <v>122</v>
      </c>
      <c r="S1885" s="81" t="s">
        <v>123</v>
      </c>
      <c r="T1885" s="81" t="s">
        <v>48</v>
      </c>
      <c r="U1885" s="81" t="s">
        <v>48</v>
      </c>
      <c r="V1885" s="81" t="s">
        <v>48</v>
      </c>
      <c r="W1885" s="81" t="s">
        <v>49</v>
      </c>
      <c r="X1885" s="81" t="s">
        <v>48</v>
      </c>
      <c r="Y1885" s="81" t="s">
        <v>48</v>
      </c>
    </row>
    <row r="1886" spans="1:25" x14ac:dyDescent="0.3">
      <c r="A1886" s="16" t="s">
        <v>4321</v>
      </c>
      <c r="B1886" s="81" t="s">
        <v>43</v>
      </c>
      <c r="C1886" s="81" t="s">
        <v>4322</v>
      </c>
      <c r="D1886" s="81" t="s">
        <v>45</v>
      </c>
      <c r="E1886" s="81" t="s">
        <v>2227</v>
      </c>
      <c r="F1886" s="81" t="s">
        <v>2227</v>
      </c>
      <c r="G1886" s="81" t="s">
        <v>2330</v>
      </c>
      <c r="H1886" s="81" t="s">
        <v>2325</v>
      </c>
      <c r="I1886" s="81" t="s">
        <v>2331</v>
      </c>
      <c r="J1886" s="81" t="s">
        <v>2186</v>
      </c>
      <c r="K1886" s="81" t="s">
        <v>2331</v>
      </c>
      <c r="L1886" s="81" t="s">
        <v>2392</v>
      </c>
      <c r="M1886" s="81" t="s">
        <v>2331</v>
      </c>
      <c r="N1886" s="81" t="s">
        <v>2231</v>
      </c>
      <c r="O1886" s="81" t="s">
        <v>2187</v>
      </c>
      <c r="P1886" s="81" t="s">
        <v>2187</v>
      </c>
      <c r="Q1886" s="81" t="s">
        <v>43</v>
      </c>
      <c r="R1886" s="81" t="s">
        <v>203</v>
      </c>
      <c r="S1886" s="81" t="s">
        <v>203</v>
      </c>
      <c r="T1886" s="81" t="s">
        <v>48</v>
      </c>
      <c r="U1886" s="81" t="s">
        <v>48</v>
      </c>
      <c r="V1886" s="81" t="s">
        <v>48</v>
      </c>
      <c r="W1886" s="81" t="s">
        <v>49</v>
      </c>
      <c r="X1886" s="81" t="s">
        <v>48</v>
      </c>
      <c r="Y1886" s="81" t="s">
        <v>48</v>
      </c>
    </row>
    <row r="1887" spans="1:25" x14ac:dyDescent="0.3">
      <c r="A1887" s="16">
        <v>7501128105026</v>
      </c>
      <c r="B1887" s="81" t="s">
        <v>43</v>
      </c>
      <c r="C1887" s="81" t="s">
        <v>4332</v>
      </c>
      <c r="D1887" s="81" t="s">
        <v>45</v>
      </c>
      <c r="E1887" s="81" t="s">
        <v>2227</v>
      </c>
      <c r="F1887" s="81" t="s">
        <v>2227</v>
      </c>
      <c r="G1887" s="81" t="s">
        <v>4326</v>
      </c>
      <c r="H1887" s="81" t="s">
        <v>2351</v>
      </c>
      <c r="I1887" s="81" t="s">
        <v>2943</v>
      </c>
      <c r="J1887" s="81" t="s">
        <v>2186</v>
      </c>
      <c r="K1887" s="81" t="s">
        <v>2943</v>
      </c>
      <c r="L1887" s="81" t="s">
        <v>2392</v>
      </c>
      <c r="M1887" s="81" t="s">
        <v>2943</v>
      </c>
      <c r="N1887" s="81" t="s">
        <v>2231</v>
      </c>
      <c r="O1887" s="81" t="s">
        <v>2187</v>
      </c>
      <c r="P1887" s="81" t="s">
        <v>2187</v>
      </c>
      <c r="Q1887" s="81" t="s">
        <v>43</v>
      </c>
      <c r="R1887" s="81" t="s">
        <v>122</v>
      </c>
      <c r="S1887" s="81" t="s">
        <v>123</v>
      </c>
      <c r="T1887" s="81" t="s">
        <v>48</v>
      </c>
      <c r="U1887" s="81" t="s">
        <v>48</v>
      </c>
      <c r="V1887" s="81" t="s">
        <v>49</v>
      </c>
      <c r="W1887" s="81" t="s">
        <v>48</v>
      </c>
      <c r="X1887" s="81" t="s">
        <v>48</v>
      </c>
      <c r="Y1887" s="81" t="s">
        <v>48</v>
      </c>
    </row>
    <row r="1888" spans="1:25" x14ac:dyDescent="0.3">
      <c r="A1888" s="16">
        <v>7501128105057</v>
      </c>
      <c r="B1888" s="81" t="s">
        <v>43</v>
      </c>
      <c r="C1888" s="81" t="s">
        <v>4333</v>
      </c>
      <c r="D1888" s="81" t="s">
        <v>45</v>
      </c>
      <c r="E1888" s="81" t="s">
        <v>2227</v>
      </c>
      <c r="F1888" s="81" t="s">
        <v>2227</v>
      </c>
      <c r="G1888" s="81" t="s">
        <v>4326</v>
      </c>
      <c r="H1888" s="81" t="s">
        <v>2351</v>
      </c>
      <c r="I1888" s="81" t="s">
        <v>2943</v>
      </c>
      <c r="J1888" s="81" t="s">
        <v>2186</v>
      </c>
      <c r="K1888" s="81" t="s">
        <v>2943</v>
      </c>
      <c r="L1888" s="81" t="s">
        <v>2392</v>
      </c>
      <c r="M1888" s="81" t="s">
        <v>2943</v>
      </c>
      <c r="N1888" s="81" t="s">
        <v>2231</v>
      </c>
      <c r="O1888" s="81" t="s">
        <v>2187</v>
      </c>
      <c r="P1888" s="81" t="s">
        <v>2187</v>
      </c>
      <c r="Q1888" s="81" t="s">
        <v>43</v>
      </c>
      <c r="R1888" s="81" t="s">
        <v>122</v>
      </c>
      <c r="S1888" s="81" t="s">
        <v>122</v>
      </c>
      <c r="T1888" s="81" t="s">
        <v>48</v>
      </c>
      <c r="U1888" s="81" t="s">
        <v>48</v>
      </c>
      <c r="V1888" s="81" t="s">
        <v>49</v>
      </c>
      <c r="W1888" s="81" t="s">
        <v>48</v>
      </c>
      <c r="X1888" s="81" t="s">
        <v>48</v>
      </c>
      <c r="Y1888" s="81" t="s">
        <v>48</v>
      </c>
    </row>
    <row r="1889" spans="1:25" x14ac:dyDescent="0.3">
      <c r="A1889" s="16">
        <v>7501128105064</v>
      </c>
      <c r="B1889" s="81" t="s">
        <v>43</v>
      </c>
      <c r="C1889" s="81" t="s">
        <v>4334</v>
      </c>
      <c r="D1889" s="81" t="s">
        <v>45</v>
      </c>
      <c r="E1889" s="81" t="s">
        <v>2227</v>
      </c>
      <c r="F1889" s="81" t="s">
        <v>2227</v>
      </c>
      <c r="G1889" s="81" t="s">
        <v>4326</v>
      </c>
      <c r="H1889" s="81" t="s">
        <v>2351</v>
      </c>
      <c r="I1889" s="81" t="s">
        <v>2943</v>
      </c>
      <c r="J1889" s="81" t="s">
        <v>2186</v>
      </c>
      <c r="K1889" s="81" t="s">
        <v>2943</v>
      </c>
      <c r="L1889" s="81" t="s">
        <v>2392</v>
      </c>
      <c r="M1889" s="81" t="s">
        <v>2943</v>
      </c>
      <c r="N1889" s="81" t="s">
        <v>2231</v>
      </c>
      <c r="O1889" s="81" t="s">
        <v>2187</v>
      </c>
      <c r="P1889" s="81" t="s">
        <v>2187</v>
      </c>
      <c r="Q1889" s="81" t="s">
        <v>43</v>
      </c>
      <c r="R1889" s="81" t="s">
        <v>122</v>
      </c>
      <c r="S1889" s="81" t="s">
        <v>122</v>
      </c>
      <c r="T1889" s="81" t="s">
        <v>48</v>
      </c>
      <c r="U1889" s="81" t="s">
        <v>48</v>
      </c>
      <c r="V1889" s="81" t="s">
        <v>49</v>
      </c>
      <c r="W1889" s="81" t="s">
        <v>48</v>
      </c>
      <c r="X1889" s="81" t="s">
        <v>48</v>
      </c>
      <c r="Y1889" s="81" t="s">
        <v>48</v>
      </c>
    </row>
    <row r="1890" spans="1:25" x14ac:dyDescent="0.3">
      <c r="A1890" s="16">
        <v>780083146924</v>
      </c>
      <c r="B1890" s="81" t="s">
        <v>43</v>
      </c>
      <c r="C1890" s="81" t="s">
        <v>4335</v>
      </c>
      <c r="D1890" s="81" t="s">
        <v>45</v>
      </c>
      <c r="E1890" s="81" t="s">
        <v>2227</v>
      </c>
      <c r="F1890" s="81" t="s">
        <v>2227</v>
      </c>
      <c r="G1890" s="81" t="s">
        <v>4336</v>
      </c>
      <c r="H1890" s="81" t="s">
        <v>2251</v>
      </c>
      <c r="I1890" s="81" t="s">
        <v>6997</v>
      </c>
      <c r="J1890" s="81" t="s">
        <v>2186</v>
      </c>
      <c r="K1890" s="81" t="s">
        <v>6997</v>
      </c>
      <c r="L1890" s="81" t="s">
        <v>2392</v>
      </c>
      <c r="M1890" s="81" t="s">
        <v>6997</v>
      </c>
      <c r="N1890" s="81" t="s">
        <v>2231</v>
      </c>
      <c r="O1890" s="81" t="s">
        <v>2187</v>
      </c>
      <c r="P1890" s="81" t="s">
        <v>2187</v>
      </c>
      <c r="Q1890" s="81" t="s">
        <v>43</v>
      </c>
      <c r="R1890" s="81" t="s">
        <v>46</v>
      </c>
      <c r="S1890" s="81" t="s">
        <v>46</v>
      </c>
      <c r="T1890" s="81" t="s">
        <v>48</v>
      </c>
      <c r="U1890" s="81" t="s">
        <v>48</v>
      </c>
      <c r="V1890" s="81" t="s">
        <v>48</v>
      </c>
      <c r="W1890" s="81" t="s">
        <v>49</v>
      </c>
      <c r="X1890" s="81" t="s">
        <v>48</v>
      </c>
      <c r="Y1890" s="81" t="s">
        <v>48</v>
      </c>
    </row>
    <row r="1891" spans="1:25" x14ac:dyDescent="0.3">
      <c r="A1891" s="16" t="s">
        <v>4339</v>
      </c>
      <c r="B1891" s="81" t="s">
        <v>43</v>
      </c>
      <c r="C1891" s="81" t="s">
        <v>4340</v>
      </c>
      <c r="D1891" s="81" t="s">
        <v>45</v>
      </c>
      <c r="E1891" s="81" t="s">
        <v>2227</v>
      </c>
      <c r="F1891" s="81" t="s">
        <v>2227</v>
      </c>
      <c r="G1891" s="81" t="s">
        <v>4341</v>
      </c>
      <c r="H1891" s="81" t="s">
        <v>3579</v>
      </c>
      <c r="I1891" s="81" t="s">
        <v>2581</v>
      </c>
      <c r="J1891" s="81" t="s">
        <v>2186</v>
      </c>
      <c r="K1891" s="81" t="s">
        <v>2581</v>
      </c>
      <c r="L1891" s="81" t="s">
        <v>2392</v>
      </c>
      <c r="M1891" s="81" t="s">
        <v>2581</v>
      </c>
      <c r="N1891" s="81" t="s">
        <v>2231</v>
      </c>
      <c r="O1891" s="81" t="s">
        <v>2187</v>
      </c>
      <c r="P1891" s="81" t="s">
        <v>2187</v>
      </c>
      <c r="Q1891" s="81" t="s">
        <v>43</v>
      </c>
      <c r="R1891" s="81" t="s">
        <v>203</v>
      </c>
      <c r="S1891" s="81" t="s">
        <v>73</v>
      </c>
      <c r="T1891" s="81" t="s">
        <v>48</v>
      </c>
      <c r="U1891" s="81" t="s">
        <v>48</v>
      </c>
      <c r="V1891" s="81" t="s">
        <v>48</v>
      </c>
      <c r="W1891" s="81" t="s">
        <v>49</v>
      </c>
      <c r="X1891" s="81" t="s">
        <v>48</v>
      </c>
      <c r="Y1891" s="81" t="s">
        <v>48</v>
      </c>
    </row>
    <row r="1892" spans="1:25" x14ac:dyDescent="0.3">
      <c r="A1892" s="16" t="s">
        <v>4342</v>
      </c>
      <c r="B1892" s="81" t="s">
        <v>43</v>
      </c>
      <c r="C1892" s="81" t="s">
        <v>4343</v>
      </c>
      <c r="D1892" s="81" t="s">
        <v>45</v>
      </c>
      <c r="E1892" s="81" t="s">
        <v>2227</v>
      </c>
      <c r="F1892" s="81" t="s">
        <v>2227</v>
      </c>
      <c r="G1892" s="81" t="s">
        <v>4776</v>
      </c>
      <c r="H1892" s="81" t="s">
        <v>2667</v>
      </c>
      <c r="I1892" s="81" t="s">
        <v>4459</v>
      </c>
      <c r="J1892" s="81" t="s">
        <v>2186</v>
      </c>
      <c r="K1892" s="81" t="s">
        <v>4459</v>
      </c>
      <c r="L1892" s="81" t="s">
        <v>2392</v>
      </c>
      <c r="M1892" s="81" t="s">
        <v>4459</v>
      </c>
      <c r="N1892" s="81" t="s">
        <v>2231</v>
      </c>
      <c r="O1892" s="81" t="s">
        <v>2187</v>
      </c>
      <c r="P1892" s="81" t="s">
        <v>2187</v>
      </c>
      <c r="Q1892" s="81" t="s">
        <v>43</v>
      </c>
      <c r="R1892" s="81" t="s">
        <v>203</v>
      </c>
      <c r="S1892" s="81" t="s">
        <v>203</v>
      </c>
      <c r="T1892" s="81" t="s">
        <v>48</v>
      </c>
      <c r="U1892" s="81" t="s">
        <v>48</v>
      </c>
      <c r="V1892" s="81" t="s">
        <v>48</v>
      </c>
      <c r="W1892" s="81" t="s">
        <v>49</v>
      </c>
      <c r="X1892" s="81" t="s">
        <v>48</v>
      </c>
      <c r="Y1892" s="81" t="s">
        <v>48</v>
      </c>
    </row>
    <row r="1893" spans="1:25" x14ac:dyDescent="0.3">
      <c r="A1893" s="16">
        <v>7502281191604</v>
      </c>
      <c r="B1893" s="81" t="s">
        <v>43</v>
      </c>
      <c r="C1893" s="81" t="s">
        <v>4352</v>
      </c>
      <c r="D1893" s="81" t="s">
        <v>45</v>
      </c>
      <c r="E1893" s="81" t="s">
        <v>2227</v>
      </c>
      <c r="F1893" s="81" t="s">
        <v>2227</v>
      </c>
      <c r="G1893" s="81" t="s">
        <v>4845</v>
      </c>
      <c r="H1893" s="81" t="s">
        <v>4353</v>
      </c>
      <c r="I1893" s="81" t="s">
        <v>4354</v>
      </c>
      <c r="J1893" s="81" t="s">
        <v>2186</v>
      </c>
      <c r="K1893" s="81" t="s">
        <v>4355</v>
      </c>
      <c r="L1893" s="81" t="s">
        <v>2392</v>
      </c>
      <c r="M1893" s="81" t="s">
        <v>4356</v>
      </c>
      <c r="N1893" s="81" t="s">
        <v>2231</v>
      </c>
      <c r="O1893" s="81" t="s">
        <v>2187</v>
      </c>
      <c r="P1893" s="81" t="s">
        <v>2187</v>
      </c>
      <c r="Q1893" s="81" t="s">
        <v>43</v>
      </c>
      <c r="R1893" s="81" t="s">
        <v>203</v>
      </c>
      <c r="S1893" s="81" t="s">
        <v>203</v>
      </c>
      <c r="T1893" s="81" t="s">
        <v>48</v>
      </c>
      <c r="U1893" s="81" t="s">
        <v>48</v>
      </c>
      <c r="V1893" s="81" t="s">
        <v>49</v>
      </c>
      <c r="W1893" s="81" t="s">
        <v>48</v>
      </c>
      <c r="X1893" s="81" t="s">
        <v>48</v>
      </c>
      <c r="Y1893" s="81" t="s">
        <v>48</v>
      </c>
    </row>
    <row r="1894" spans="1:25" x14ac:dyDescent="0.3">
      <c r="A1894" s="16">
        <v>7501299309278</v>
      </c>
      <c r="B1894" s="81" t="s">
        <v>43</v>
      </c>
      <c r="C1894" s="81" t="s">
        <v>4370</v>
      </c>
      <c r="D1894" s="81" t="s">
        <v>45</v>
      </c>
      <c r="E1894" s="81" t="s">
        <v>2227</v>
      </c>
      <c r="F1894" s="81" t="s">
        <v>2227</v>
      </c>
      <c r="G1894" s="81" t="s">
        <v>5523</v>
      </c>
      <c r="H1894" s="81" t="s">
        <v>5524</v>
      </c>
      <c r="I1894" s="81" t="s">
        <v>6998</v>
      </c>
      <c r="J1894" s="81" t="s">
        <v>2186</v>
      </c>
      <c r="K1894" s="81" t="s">
        <v>6998</v>
      </c>
      <c r="L1894" s="81" t="s">
        <v>2392</v>
      </c>
      <c r="M1894" s="81" t="s">
        <v>6998</v>
      </c>
      <c r="N1894" s="81" t="s">
        <v>2231</v>
      </c>
      <c r="O1894" s="81" t="s">
        <v>2187</v>
      </c>
      <c r="P1894" s="81" t="s">
        <v>2187</v>
      </c>
      <c r="Q1894" s="81" t="s">
        <v>43</v>
      </c>
      <c r="R1894" s="81" t="s">
        <v>203</v>
      </c>
      <c r="S1894" s="81" t="s">
        <v>203</v>
      </c>
      <c r="T1894" s="81" t="s">
        <v>48</v>
      </c>
      <c r="U1894" s="81" t="s">
        <v>48</v>
      </c>
      <c r="V1894" s="81" t="s">
        <v>48</v>
      </c>
      <c r="W1894" s="81" t="s">
        <v>49</v>
      </c>
      <c r="X1894" s="81" t="s">
        <v>48</v>
      </c>
      <c r="Y1894" s="81" t="s">
        <v>48</v>
      </c>
    </row>
    <row r="1895" spans="1:25" x14ac:dyDescent="0.3">
      <c r="A1895" s="16">
        <v>7501590287114</v>
      </c>
      <c r="B1895" s="81" t="s">
        <v>43</v>
      </c>
      <c r="C1895" s="81" t="s">
        <v>4377</v>
      </c>
      <c r="D1895" s="81" t="s">
        <v>45</v>
      </c>
      <c r="E1895" s="81" t="s">
        <v>2227</v>
      </c>
      <c r="F1895" s="81" t="s">
        <v>2227</v>
      </c>
      <c r="G1895" s="81" t="s">
        <v>2707</v>
      </c>
      <c r="H1895" s="81" t="s">
        <v>3082</v>
      </c>
      <c r="I1895" s="81" t="s">
        <v>6673</v>
      </c>
      <c r="J1895" s="81" t="s">
        <v>2186</v>
      </c>
      <c r="K1895" s="81" t="s">
        <v>6673</v>
      </c>
      <c r="L1895" s="81" t="s">
        <v>2392</v>
      </c>
      <c r="M1895" s="81" t="s">
        <v>6673</v>
      </c>
      <c r="N1895" s="81" t="s">
        <v>2231</v>
      </c>
      <c r="O1895" s="81" t="s">
        <v>2187</v>
      </c>
      <c r="P1895" s="81" t="s">
        <v>2187</v>
      </c>
      <c r="Q1895" s="81" t="s">
        <v>43</v>
      </c>
      <c r="R1895" s="81" t="s">
        <v>46</v>
      </c>
      <c r="S1895" s="81" t="s">
        <v>47</v>
      </c>
      <c r="T1895" s="81" t="s">
        <v>48</v>
      </c>
      <c r="U1895" s="81" t="s">
        <v>48</v>
      </c>
      <c r="V1895" s="81" t="s">
        <v>48</v>
      </c>
      <c r="W1895" s="81" t="s">
        <v>49</v>
      </c>
      <c r="X1895" s="81" t="s">
        <v>48</v>
      </c>
      <c r="Y1895" s="81" t="s">
        <v>48</v>
      </c>
    </row>
    <row r="1896" spans="1:25" x14ac:dyDescent="0.3">
      <c r="A1896" s="16" t="s">
        <v>4378</v>
      </c>
      <c r="B1896" s="81" t="s">
        <v>43</v>
      </c>
      <c r="C1896" s="81" t="s">
        <v>4379</v>
      </c>
      <c r="D1896" s="81" t="s">
        <v>45</v>
      </c>
      <c r="E1896" s="81" t="s">
        <v>2227</v>
      </c>
      <c r="F1896" s="81" t="s">
        <v>2227</v>
      </c>
      <c r="G1896" s="81" t="s">
        <v>4531</v>
      </c>
      <c r="H1896" s="81" t="s">
        <v>2325</v>
      </c>
      <c r="I1896" s="81" t="s">
        <v>2331</v>
      </c>
      <c r="J1896" s="81" t="s">
        <v>2186</v>
      </c>
      <c r="K1896" s="81" t="s">
        <v>2331</v>
      </c>
      <c r="L1896" s="81" t="s">
        <v>2392</v>
      </c>
      <c r="M1896" s="81" t="s">
        <v>2331</v>
      </c>
      <c r="N1896" s="81" t="s">
        <v>2231</v>
      </c>
      <c r="O1896" s="81" t="s">
        <v>2187</v>
      </c>
      <c r="P1896" s="81" t="s">
        <v>2187</v>
      </c>
      <c r="Q1896" s="81" t="s">
        <v>43</v>
      </c>
      <c r="R1896" s="81" t="s">
        <v>122</v>
      </c>
      <c r="S1896" s="81" t="s">
        <v>122</v>
      </c>
      <c r="T1896" s="81" t="s">
        <v>48</v>
      </c>
      <c r="U1896" s="81" t="s">
        <v>48</v>
      </c>
      <c r="V1896" s="81" t="s">
        <v>48</v>
      </c>
      <c r="W1896" s="81" t="s">
        <v>49</v>
      </c>
      <c r="X1896" s="81" t="s">
        <v>48</v>
      </c>
      <c r="Y1896" s="81" t="s">
        <v>48</v>
      </c>
    </row>
    <row r="1897" spans="1:25" x14ac:dyDescent="0.3">
      <c r="A1897" s="16" t="s">
        <v>4380</v>
      </c>
      <c r="B1897" s="81" t="s">
        <v>43</v>
      </c>
      <c r="C1897" s="81" t="s">
        <v>4381</v>
      </c>
      <c r="D1897" s="81" t="s">
        <v>45</v>
      </c>
      <c r="E1897" s="81" t="s">
        <v>2227</v>
      </c>
      <c r="F1897" s="81" t="s">
        <v>2227</v>
      </c>
      <c r="G1897" s="81" t="s">
        <v>4373</v>
      </c>
      <c r="H1897" s="81" t="s">
        <v>2325</v>
      </c>
      <c r="I1897" s="81" t="s">
        <v>2331</v>
      </c>
      <c r="J1897" s="81" t="s">
        <v>2186</v>
      </c>
      <c r="K1897" s="81" t="s">
        <v>2331</v>
      </c>
      <c r="L1897" s="81" t="s">
        <v>2392</v>
      </c>
      <c r="M1897" s="81" t="s">
        <v>2331</v>
      </c>
      <c r="N1897" s="81" t="s">
        <v>2231</v>
      </c>
      <c r="O1897" s="81" t="s">
        <v>2187</v>
      </c>
      <c r="P1897" s="81" t="s">
        <v>2187</v>
      </c>
      <c r="Q1897" s="81" t="s">
        <v>43</v>
      </c>
      <c r="R1897" s="81" t="s">
        <v>122</v>
      </c>
      <c r="S1897" s="81" t="s">
        <v>122</v>
      </c>
      <c r="T1897" s="81" t="s">
        <v>48</v>
      </c>
      <c r="U1897" s="81" t="s">
        <v>48</v>
      </c>
      <c r="V1897" s="81" t="s">
        <v>48</v>
      </c>
      <c r="W1897" s="81" t="s">
        <v>49</v>
      </c>
      <c r="X1897" s="81" t="s">
        <v>48</v>
      </c>
      <c r="Y1897" s="81" t="s">
        <v>48</v>
      </c>
    </row>
    <row r="1898" spans="1:25" x14ac:dyDescent="0.3">
      <c r="A1898" s="16" t="s">
        <v>4382</v>
      </c>
      <c r="B1898" s="81" t="s">
        <v>43</v>
      </c>
      <c r="C1898" s="81" t="s">
        <v>4383</v>
      </c>
      <c r="D1898" s="81" t="s">
        <v>45</v>
      </c>
      <c r="E1898" s="81" t="s">
        <v>2227</v>
      </c>
      <c r="F1898" s="81" t="s">
        <v>2227</v>
      </c>
      <c r="G1898" s="81" t="s">
        <v>4531</v>
      </c>
      <c r="H1898" s="81" t="s">
        <v>2325</v>
      </c>
      <c r="I1898" s="81" t="s">
        <v>2331</v>
      </c>
      <c r="J1898" s="81" t="s">
        <v>2186</v>
      </c>
      <c r="K1898" s="81" t="s">
        <v>2331</v>
      </c>
      <c r="L1898" s="81" t="s">
        <v>2392</v>
      </c>
      <c r="M1898" s="81" t="s">
        <v>2331</v>
      </c>
      <c r="N1898" s="81" t="s">
        <v>2231</v>
      </c>
      <c r="O1898" s="81" t="s">
        <v>2187</v>
      </c>
      <c r="P1898" s="81" t="s">
        <v>2187</v>
      </c>
      <c r="Q1898" s="81" t="s">
        <v>43</v>
      </c>
      <c r="R1898" s="81" t="s">
        <v>122</v>
      </c>
      <c r="S1898" s="81" t="s">
        <v>122</v>
      </c>
      <c r="T1898" s="81" t="s">
        <v>48</v>
      </c>
      <c r="U1898" s="81" t="s">
        <v>48</v>
      </c>
      <c r="V1898" s="81" t="s">
        <v>48</v>
      </c>
      <c r="W1898" s="81" t="s">
        <v>49</v>
      </c>
      <c r="X1898" s="81" t="s">
        <v>48</v>
      </c>
      <c r="Y1898" s="81" t="s">
        <v>48</v>
      </c>
    </row>
    <row r="1899" spans="1:25" x14ac:dyDescent="0.3">
      <c r="A1899" s="16" t="s">
        <v>4384</v>
      </c>
      <c r="B1899" s="81" t="s">
        <v>43</v>
      </c>
      <c r="C1899" s="81" t="s">
        <v>5003</v>
      </c>
      <c r="D1899" s="81" t="s">
        <v>45</v>
      </c>
      <c r="E1899" s="81" t="s">
        <v>2227</v>
      </c>
      <c r="F1899" s="81" t="s">
        <v>2227</v>
      </c>
      <c r="G1899" s="81" t="s">
        <v>4373</v>
      </c>
      <c r="H1899" s="81" t="s">
        <v>2325</v>
      </c>
      <c r="I1899" s="81" t="s">
        <v>2331</v>
      </c>
      <c r="J1899" s="81" t="s">
        <v>2186</v>
      </c>
      <c r="K1899" s="81" t="s">
        <v>2331</v>
      </c>
      <c r="L1899" s="81" t="s">
        <v>2392</v>
      </c>
      <c r="M1899" s="81" t="s">
        <v>2331</v>
      </c>
      <c r="N1899" s="81" t="s">
        <v>2231</v>
      </c>
      <c r="O1899" s="81" t="s">
        <v>2187</v>
      </c>
      <c r="P1899" s="81" t="s">
        <v>2187</v>
      </c>
      <c r="Q1899" s="81" t="s">
        <v>43</v>
      </c>
      <c r="R1899" s="81" t="s">
        <v>122</v>
      </c>
      <c r="S1899" s="81" t="s">
        <v>122</v>
      </c>
      <c r="T1899" s="81" t="s">
        <v>48</v>
      </c>
      <c r="U1899" s="81" t="s">
        <v>48</v>
      </c>
      <c r="V1899" s="81" t="s">
        <v>48</v>
      </c>
      <c r="W1899" s="81" t="s">
        <v>49</v>
      </c>
      <c r="X1899" s="81" t="s">
        <v>48</v>
      </c>
      <c r="Y1899" s="81" t="s">
        <v>48</v>
      </c>
    </row>
    <row r="1900" spans="1:25" x14ac:dyDescent="0.3">
      <c r="A1900" s="16" t="s">
        <v>4385</v>
      </c>
      <c r="B1900" s="81" t="s">
        <v>43</v>
      </c>
      <c r="C1900" s="81" t="s">
        <v>4386</v>
      </c>
      <c r="D1900" s="81" t="s">
        <v>45</v>
      </c>
      <c r="E1900" s="81" t="s">
        <v>2227</v>
      </c>
      <c r="F1900" s="81" t="s">
        <v>2227</v>
      </c>
      <c r="G1900" s="81" t="s">
        <v>4373</v>
      </c>
      <c r="H1900" s="81" t="s">
        <v>2325</v>
      </c>
      <c r="I1900" s="81" t="s">
        <v>2331</v>
      </c>
      <c r="J1900" s="81" t="s">
        <v>2186</v>
      </c>
      <c r="K1900" s="81" t="s">
        <v>2331</v>
      </c>
      <c r="L1900" s="81" t="s">
        <v>2392</v>
      </c>
      <c r="M1900" s="81" t="s">
        <v>2331</v>
      </c>
      <c r="N1900" s="81" t="s">
        <v>2231</v>
      </c>
      <c r="O1900" s="81" t="s">
        <v>2187</v>
      </c>
      <c r="P1900" s="81" t="s">
        <v>2187</v>
      </c>
      <c r="Q1900" s="81" t="s">
        <v>43</v>
      </c>
      <c r="R1900" s="81" t="s">
        <v>122</v>
      </c>
      <c r="S1900" s="81" t="s">
        <v>122</v>
      </c>
      <c r="T1900" s="81" t="s">
        <v>48</v>
      </c>
      <c r="U1900" s="81" t="s">
        <v>48</v>
      </c>
      <c r="V1900" s="81" t="s">
        <v>48</v>
      </c>
      <c r="W1900" s="81" t="s">
        <v>49</v>
      </c>
      <c r="X1900" s="81" t="s">
        <v>48</v>
      </c>
      <c r="Y1900" s="81" t="s">
        <v>48</v>
      </c>
    </row>
    <row r="1901" spans="1:25" x14ac:dyDescent="0.3">
      <c r="A1901" s="16" t="s">
        <v>4387</v>
      </c>
      <c r="B1901" s="81" t="s">
        <v>43</v>
      </c>
      <c r="C1901" s="81" t="s">
        <v>4680</v>
      </c>
      <c r="D1901" s="81" t="s">
        <v>45</v>
      </c>
      <c r="E1901" s="81" t="s">
        <v>2227</v>
      </c>
      <c r="F1901" s="81" t="s">
        <v>2227</v>
      </c>
      <c r="G1901" s="81" t="s">
        <v>4531</v>
      </c>
      <c r="H1901" s="81" t="s">
        <v>2325</v>
      </c>
      <c r="I1901" s="81" t="s">
        <v>2331</v>
      </c>
      <c r="J1901" s="81" t="s">
        <v>2186</v>
      </c>
      <c r="K1901" s="81" t="s">
        <v>2331</v>
      </c>
      <c r="L1901" s="81" t="s">
        <v>2392</v>
      </c>
      <c r="M1901" s="81" t="s">
        <v>2331</v>
      </c>
      <c r="N1901" s="81" t="s">
        <v>2231</v>
      </c>
      <c r="O1901" s="81" t="s">
        <v>2187</v>
      </c>
      <c r="P1901" s="81" t="s">
        <v>2187</v>
      </c>
      <c r="Q1901" s="81" t="s">
        <v>43</v>
      </c>
      <c r="R1901" s="81" t="s">
        <v>122</v>
      </c>
      <c r="S1901" s="81" t="s">
        <v>122</v>
      </c>
      <c r="T1901" s="81" t="s">
        <v>48</v>
      </c>
      <c r="U1901" s="81" t="s">
        <v>48</v>
      </c>
      <c r="V1901" s="81" t="s">
        <v>48</v>
      </c>
      <c r="W1901" s="81" t="s">
        <v>49</v>
      </c>
      <c r="X1901" s="81" t="s">
        <v>48</v>
      </c>
      <c r="Y1901" s="81" t="s">
        <v>48</v>
      </c>
    </row>
    <row r="1902" spans="1:25" x14ac:dyDescent="0.3">
      <c r="A1902" s="16" t="s">
        <v>4406</v>
      </c>
      <c r="B1902" s="81" t="s">
        <v>43</v>
      </c>
      <c r="C1902" s="81" t="s">
        <v>4388</v>
      </c>
      <c r="D1902" s="81" t="s">
        <v>45</v>
      </c>
      <c r="E1902" s="81" t="s">
        <v>2227</v>
      </c>
      <c r="F1902" s="81" t="s">
        <v>2227</v>
      </c>
      <c r="G1902" s="81" t="s">
        <v>4373</v>
      </c>
      <c r="H1902" s="81" t="s">
        <v>2325</v>
      </c>
      <c r="I1902" s="81" t="s">
        <v>2331</v>
      </c>
      <c r="J1902" s="81" t="s">
        <v>2186</v>
      </c>
      <c r="K1902" s="81" t="s">
        <v>2331</v>
      </c>
      <c r="L1902" s="81" t="s">
        <v>2392</v>
      </c>
      <c r="M1902" s="81" t="s">
        <v>2331</v>
      </c>
      <c r="N1902" s="81" t="s">
        <v>2231</v>
      </c>
      <c r="O1902" s="81" t="s">
        <v>2187</v>
      </c>
      <c r="P1902" s="81" t="s">
        <v>2187</v>
      </c>
      <c r="Q1902" s="81" t="s">
        <v>43</v>
      </c>
      <c r="R1902" s="81" t="s">
        <v>122</v>
      </c>
      <c r="S1902" s="81" t="s">
        <v>122</v>
      </c>
      <c r="T1902" s="81" t="s">
        <v>48</v>
      </c>
      <c r="U1902" s="81" t="s">
        <v>48</v>
      </c>
      <c r="V1902" s="81" t="s">
        <v>48</v>
      </c>
      <c r="W1902" s="81" t="s">
        <v>49</v>
      </c>
      <c r="X1902" s="81" t="s">
        <v>48</v>
      </c>
      <c r="Y1902" s="81" t="s">
        <v>48</v>
      </c>
    </row>
    <row r="1903" spans="1:25" x14ac:dyDescent="0.3">
      <c r="A1903" s="16" t="s">
        <v>4389</v>
      </c>
      <c r="B1903" s="81" t="s">
        <v>43</v>
      </c>
      <c r="C1903" s="81" t="s">
        <v>4390</v>
      </c>
      <c r="D1903" s="81" t="s">
        <v>45</v>
      </c>
      <c r="E1903" s="81" t="s">
        <v>2227</v>
      </c>
      <c r="F1903" s="81" t="s">
        <v>2227</v>
      </c>
      <c r="G1903" s="81" t="s">
        <v>4373</v>
      </c>
      <c r="H1903" s="81" t="s">
        <v>2325</v>
      </c>
      <c r="I1903" s="81" t="s">
        <v>2331</v>
      </c>
      <c r="J1903" s="81" t="s">
        <v>2186</v>
      </c>
      <c r="K1903" s="81" t="s">
        <v>2331</v>
      </c>
      <c r="L1903" s="81" t="s">
        <v>2392</v>
      </c>
      <c r="M1903" s="81" t="s">
        <v>2331</v>
      </c>
      <c r="N1903" s="81" t="s">
        <v>2231</v>
      </c>
      <c r="O1903" s="81" t="s">
        <v>2187</v>
      </c>
      <c r="P1903" s="81" t="s">
        <v>2187</v>
      </c>
      <c r="Q1903" s="81" t="s">
        <v>43</v>
      </c>
      <c r="R1903" s="81" t="s">
        <v>122</v>
      </c>
      <c r="S1903" s="81" t="s">
        <v>122</v>
      </c>
      <c r="T1903" s="81" t="s">
        <v>48</v>
      </c>
      <c r="U1903" s="81" t="s">
        <v>48</v>
      </c>
      <c r="V1903" s="81" t="s">
        <v>48</v>
      </c>
      <c r="W1903" s="81" t="s">
        <v>49</v>
      </c>
      <c r="X1903" s="81" t="s">
        <v>48</v>
      </c>
      <c r="Y1903" s="81" t="s">
        <v>48</v>
      </c>
    </row>
    <row r="1904" spans="1:25" x14ac:dyDescent="0.3">
      <c r="A1904" s="16" t="s">
        <v>4407</v>
      </c>
      <c r="B1904" s="81" t="s">
        <v>43</v>
      </c>
      <c r="C1904" s="81" t="s">
        <v>4391</v>
      </c>
      <c r="D1904" s="81" t="s">
        <v>45</v>
      </c>
      <c r="E1904" s="81" t="s">
        <v>2227</v>
      </c>
      <c r="F1904" s="81" t="s">
        <v>2227</v>
      </c>
      <c r="G1904" s="81" t="s">
        <v>4373</v>
      </c>
      <c r="H1904" s="81" t="s">
        <v>2325</v>
      </c>
      <c r="I1904" s="81" t="s">
        <v>2331</v>
      </c>
      <c r="J1904" s="81" t="s">
        <v>2186</v>
      </c>
      <c r="K1904" s="81" t="s">
        <v>2331</v>
      </c>
      <c r="L1904" s="81" t="s">
        <v>2392</v>
      </c>
      <c r="M1904" s="81" t="s">
        <v>2331</v>
      </c>
      <c r="N1904" s="81" t="s">
        <v>2231</v>
      </c>
      <c r="O1904" s="81" t="s">
        <v>2187</v>
      </c>
      <c r="P1904" s="81" t="s">
        <v>2187</v>
      </c>
      <c r="Q1904" s="81" t="s">
        <v>43</v>
      </c>
      <c r="R1904" s="81" t="s">
        <v>122</v>
      </c>
      <c r="S1904" s="81" t="s">
        <v>122</v>
      </c>
      <c r="T1904" s="81" t="s">
        <v>48</v>
      </c>
      <c r="U1904" s="81" t="s">
        <v>48</v>
      </c>
      <c r="V1904" s="81" t="s">
        <v>48</v>
      </c>
      <c r="W1904" s="81" t="s">
        <v>49</v>
      </c>
      <c r="X1904" s="81" t="s">
        <v>48</v>
      </c>
      <c r="Y1904" s="81" t="s">
        <v>48</v>
      </c>
    </row>
    <row r="1905" spans="1:25" x14ac:dyDescent="0.3">
      <c r="A1905" s="16" t="s">
        <v>4408</v>
      </c>
      <c r="B1905" s="81" t="s">
        <v>43</v>
      </c>
      <c r="C1905" s="81" t="s">
        <v>5173</v>
      </c>
      <c r="D1905" s="81" t="s">
        <v>45</v>
      </c>
      <c r="E1905" s="81" t="s">
        <v>2227</v>
      </c>
      <c r="F1905" s="81" t="s">
        <v>2227</v>
      </c>
      <c r="G1905" s="81" t="s">
        <v>4531</v>
      </c>
      <c r="H1905" s="81" t="s">
        <v>2325</v>
      </c>
      <c r="I1905" s="81" t="s">
        <v>2331</v>
      </c>
      <c r="J1905" s="81" t="s">
        <v>2186</v>
      </c>
      <c r="K1905" s="81" t="s">
        <v>2331</v>
      </c>
      <c r="L1905" s="81" t="s">
        <v>2392</v>
      </c>
      <c r="M1905" s="81" t="s">
        <v>2331</v>
      </c>
      <c r="N1905" s="81" t="s">
        <v>2231</v>
      </c>
      <c r="O1905" s="81" t="s">
        <v>2187</v>
      </c>
      <c r="P1905" s="81" t="s">
        <v>2187</v>
      </c>
      <c r="Q1905" s="81" t="s">
        <v>43</v>
      </c>
      <c r="R1905" s="81" t="s">
        <v>122</v>
      </c>
      <c r="S1905" s="81" t="s">
        <v>122</v>
      </c>
      <c r="T1905" s="81" t="s">
        <v>48</v>
      </c>
      <c r="U1905" s="81" t="s">
        <v>48</v>
      </c>
      <c r="V1905" s="81" t="s">
        <v>48</v>
      </c>
      <c r="W1905" s="81" t="s">
        <v>49</v>
      </c>
      <c r="X1905" s="81" t="s">
        <v>48</v>
      </c>
      <c r="Y1905" s="81" t="s">
        <v>48</v>
      </c>
    </row>
    <row r="1906" spans="1:25" x14ac:dyDescent="0.3">
      <c r="A1906" s="16" t="s">
        <v>4409</v>
      </c>
      <c r="B1906" s="81" t="s">
        <v>43</v>
      </c>
      <c r="C1906" s="81" t="s">
        <v>4410</v>
      </c>
      <c r="D1906" s="81" t="s">
        <v>45</v>
      </c>
      <c r="E1906" s="81" t="s">
        <v>2227</v>
      </c>
      <c r="F1906" s="81" t="s">
        <v>2227</v>
      </c>
      <c r="G1906" s="81" t="s">
        <v>4373</v>
      </c>
      <c r="H1906" s="81" t="s">
        <v>2325</v>
      </c>
      <c r="I1906" s="81" t="s">
        <v>2331</v>
      </c>
      <c r="J1906" s="81" t="s">
        <v>2186</v>
      </c>
      <c r="K1906" s="81" t="s">
        <v>2331</v>
      </c>
      <c r="L1906" s="81" t="s">
        <v>2392</v>
      </c>
      <c r="M1906" s="81" t="s">
        <v>2331</v>
      </c>
      <c r="N1906" s="81" t="s">
        <v>2231</v>
      </c>
      <c r="O1906" s="81" t="s">
        <v>2187</v>
      </c>
      <c r="P1906" s="81" t="s">
        <v>2187</v>
      </c>
      <c r="Q1906" s="81" t="s">
        <v>43</v>
      </c>
      <c r="R1906" s="81" t="s">
        <v>122</v>
      </c>
      <c r="S1906" s="81" t="s">
        <v>122</v>
      </c>
      <c r="T1906" s="81" t="s">
        <v>48</v>
      </c>
      <c r="U1906" s="81" t="s">
        <v>48</v>
      </c>
      <c r="V1906" s="81" t="s">
        <v>48</v>
      </c>
      <c r="W1906" s="81" t="s">
        <v>49</v>
      </c>
      <c r="X1906" s="81" t="s">
        <v>48</v>
      </c>
      <c r="Y1906" s="81" t="s">
        <v>48</v>
      </c>
    </row>
    <row r="1907" spans="1:25" x14ac:dyDescent="0.3">
      <c r="A1907" s="16">
        <v>7502208895073</v>
      </c>
      <c r="B1907" s="81" t="s">
        <v>43</v>
      </c>
      <c r="C1907" s="81" t="s">
        <v>4430</v>
      </c>
      <c r="D1907" s="81" t="s">
        <v>45</v>
      </c>
      <c r="E1907" s="81" t="s">
        <v>2227</v>
      </c>
      <c r="F1907" s="81" t="s">
        <v>2227</v>
      </c>
      <c r="G1907" s="81" t="s">
        <v>2350</v>
      </c>
      <c r="H1907" s="81" t="s">
        <v>2264</v>
      </c>
      <c r="I1907" s="81" t="s">
        <v>6999</v>
      </c>
      <c r="J1907" s="81" t="s">
        <v>2186</v>
      </c>
      <c r="K1907" s="81" t="s">
        <v>6999</v>
      </c>
      <c r="L1907" s="81" t="s">
        <v>2392</v>
      </c>
      <c r="M1907" s="81" t="s">
        <v>6999</v>
      </c>
      <c r="N1907" s="81" t="s">
        <v>2231</v>
      </c>
      <c r="O1907" s="81" t="s">
        <v>2187</v>
      </c>
      <c r="P1907" s="81" t="s">
        <v>2187</v>
      </c>
      <c r="Q1907" s="81" t="s">
        <v>43</v>
      </c>
      <c r="R1907" s="81" t="s">
        <v>51</v>
      </c>
      <c r="S1907" s="81" t="s">
        <v>47</v>
      </c>
      <c r="T1907" s="81" t="s">
        <v>49</v>
      </c>
      <c r="U1907" s="81" t="s">
        <v>48</v>
      </c>
      <c r="V1907" s="81" t="s">
        <v>48</v>
      </c>
      <c r="W1907" s="81" t="s">
        <v>49</v>
      </c>
      <c r="X1907" s="81" t="s">
        <v>48</v>
      </c>
      <c r="Y1907" s="81" t="s">
        <v>48</v>
      </c>
    </row>
    <row r="1908" spans="1:25" x14ac:dyDescent="0.3">
      <c r="A1908" s="16">
        <v>7501101623325</v>
      </c>
      <c r="B1908" s="81" t="s">
        <v>43</v>
      </c>
      <c r="C1908" s="81" t="s">
        <v>4439</v>
      </c>
      <c r="D1908" s="81" t="s">
        <v>45</v>
      </c>
      <c r="E1908" s="81" t="s">
        <v>2227</v>
      </c>
      <c r="F1908" s="81" t="s">
        <v>2227</v>
      </c>
      <c r="G1908" s="81" t="s">
        <v>4440</v>
      </c>
      <c r="H1908" s="81" t="s">
        <v>4441</v>
      </c>
      <c r="I1908" s="81" t="s">
        <v>4442</v>
      </c>
      <c r="J1908" s="81" t="s">
        <v>2186</v>
      </c>
      <c r="K1908" s="81" t="s">
        <v>4443</v>
      </c>
      <c r="L1908" s="81" t="s">
        <v>2392</v>
      </c>
      <c r="M1908" s="81" t="s">
        <v>4444</v>
      </c>
      <c r="N1908" s="81" t="s">
        <v>2231</v>
      </c>
      <c r="O1908" s="81" t="s">
        <v>2187</v>
      </c>
      <c r="P1908" s="81" t="s">
        <v>2187</v>
      </c>
      <c r="Q1908" s="81" t="s">
        <v>43</v>
      </c>
      <c r="R1908" s="81" t="s">
        <v>46</v>
      </c>
      <c r="S1908" s="81" t="s">
        <v>1264</v>
      </c>
      <c r="T1908" s="81" t="s">
        <v>48</v>
      </c>
      <c r="U1908" s="81" t="s">
        <v>48</v>
      </c>
      <c r="V1908" s="81" t="s">
        <v>48</v>
      </c>
      <c r="W1908" s="81" t="s">
        <v>49</v>
      </c>
      <c r="X1908" s="81" t="s">
        <v>48</v>
      </c>
      <c r="Y1908" s="81" t="s">
        <v>48</v>
      </c>
    </row>
    <row r="1909" spans="1:25" x14ac:dyDescent="0.3">
      <c r="A1909" s="16">
        <v>7501563024524</v>
      </c>
      <c r="B1909" s="81" t="s">
        <v>43</v>
      </c>
      <c r="C1909" s="81" t="s">
        <v>4445</v>
      </c>
      <c r="D1909" s="81" t="s">
        <v>45</v>
      </c>
      <c r="E1909" s="81" t="s">
        <v>2227</v>
      </c>
      <c r="F1909" s="81" t="s">
        <v>2227</v>
      </c>
      <c r="G1909" s="81" t="s">
        <v>4399</v>
      </c>
      <c r="H1909" s="81" t="s">
        <v>3738</v>
      </c>
      <c r="I1909" s="81" t="s">
        <v>7000</v>
      </c>
      <c r="J1909" s="81" t="s">
        <v>2186</v>
      </c>
      <c r="K1909" s="81" t="s">
        <v>7000</v>
      </c>
      <c r="L1909" s="81" t="s">
        <v>2392</v>
      </c>
      <c r="M1909" s="81" t="s">
        <v>7000</v>
      </c>
      <c r="N1909" s="81" t="s">
        <v>2231</v>
      </c>
      <c r="O1909" s="81" t="s">
        <v>2187</v>
      </c>
      <c r="P1909" s="81" t="s">
        <v>2187</v>
      </c>
      <c r="Q1909" s="81" t="s">
        <v>43</v>
      </c>
      <c r="R1909" s="81" t="s">
        <v>122</v>
      </c>
      <c r="S1909" s="81" t="s">
        <v>122</v>
      </c>
      <c r="T1909" s="81" t="s">
        <v>48</v>
      </c>
      <c r="U1909" s="81" t="s">
        <v>48</v>
      </c>
      <c r="V1909" s="81" t="s">
        <v>49</v>
      </c>
      <c r="W1909" s="81" t="s">
        <v>48</v>
      </c>
      <c r="X1909" s="81" t="s">
        <v>48</v>
      </c>
      <c r="Y1909" s="81" t="s">
        <v>48</v>
      </c>
    </row>
    <row r="1910" spans="1:25" x14ac:dyDescent="0.3">
      <c r="A1910" s="16">
        <v>7506331301388</v>
      </c>
      <c r="B1910" s="81" t="s">
        <v>43</v>
      </c>
      <c r="C1910" s="81" t="s">
        <v>4470</v>
      </c>
      <c r="D1910" s="81" t="s">
        <v>45</v>
      </c>
      <c r="E1910" s="81" t="s">
        <v>2227</v>
      </c>
      <c r="F1910" s="81" t="s">
        <v>2227</v>
      </c>
      <c r="G1910" s="81" t="s">
        <v>4558</v>
      </c>
      <c r="H1910" s="81" t="s">
        <v>7001</v>
      </c>
      <c r="I1910" s="81" t="s">
        <v>6184</v>
      </c>
      <c r="J1910" s="81" t="s">
        <v>2186</v>
      </c>
      <c r="K1910" s="81" t="s">
        <v>6184</v>
      </c>
      <c r="L1910" s="81" t="s">
        <v>2392</v>
      </c>
      <c r="M1910" s="81" t="s">
        <v>6184</v>
      </c>
      <c r="N1910" s="81" t="s">
        <v>2231</v>
      </c>
      <c r="O1910" s="81" t="s">
        <v>2187</v>
      </c>
      <c r="P1910" s="81" t="s">
        <v>2187</v>
      </c>
      <c r="Q1910" s="81" t="s">
        <v>43</v>
      </c>
      <c r="R1910" s="81" t="s">
        <v>46</v>
      </c>
      <c r="S1910" s="81" t="s">
        <v>46</v>
      </c>
      <c r="T1910" s="81" t="s">
        <v>48</v>
      </c>
      <c r="U1910" s="81" t="s">
        <v>48</v>
      </c>
      <c r="V1910" s="81" t="s">
        <v>48</v>
      </c>
      <c r="W1910" s="81" t="s">
        <v>49</v>
      </c>
      <c r="X1910" s="81" t="s">
        <v>48</v>
      </c>
      <c r="Y1910" s="81" t="s">
        <v>48</v>
      </c>
    </row>
    <row r="1911" spans="1:25" x14ac:dyDescent="0.3">
      <c r="A1911" s="16">
        <v>7501027293473</v>
      </c>
      <c r="B1911" s="81" t="s">
        <v>43</v>
      </c>
      <c r="C1911" s="81" t="s">
        <v>4978</v>
      </c>
      <c r="D1911" s="81" t="s">
        <v>45</v>
      </c>
      <c r="E1911" s="81" t="s">
        <v>2227</v>
      </c>
      <c r="F1911" s="81" t="s">
        <v>2227</v>
      </c>
      <c r="G1911" s="81" t="s">
        <v>4467</v>
      </c>
      <c r="H1911" s="81" t="s">
        <v>6525</v>
      </c>
      <c r="I1911" s="81" t="s">
        <v>7002</v>
      </c>
      <c r="J1911" s="81" t="s">
        <v>2186</v>
      </c>
      <c r="K1911" s="81" t="s">
        <v>7002</v>
      </c>
      <c r="L1911" s="81" t="s">
        <v>2392</v>
      </c>
      <c r="M1911" s="81" t="s">
        <v>7002</v>
      </c>
      <c r="N1911" s="81" t="s">
        <v>2231</v>
      </c>
      <c r="O1911" s="81" t="s">
        <v>2187</v>
      </c>
      <c r="P1911" s="81" t="s">
        <v>2187</v>
      </c>
      <c r="Q1911" s="81" t="s">
        <v>43</v>
      </c>
      <c r="R1911" s="81" t="s">
        <v>524</v>
      </c>
      <c r="S1911" s="81" t="s">
        <v>525</v>
      </c>
      <c r="T1911" s="81" t="s">
        <v>48</v>
      </c>
      <c r="U1911" s="81" t="s">
        <v>48</v>
      </c>
      <c r="V1911" s="81" t="s">
        <v>49</v>
      </c>
      <c r="W1911" s="81" t="s">
        <v>48</v>
      </c>
      <c r="X1911" s="81" t="s">
        <v>48</v>
      </c>
      <c r="Y1911" s="81" t="s">
        <v>48</v>
      </c>
    </row>
    <row r="1912" spans="1:25" x14ac:dyDescent="0.3">
      <c r="A1912" s="16">
        <v>7509552827606</v>
      </c>
      <c r="B1912" s="81" t="s">
        <v>43</v>
      </c>
      <c r="C1912" s="81" t="s">
        <v>4979</v>
      </c>
      <c r="D1912" s="81" t="s">
        <v>45</v>
      </c>
      <c r="E1912" s="81" t="s">
        <v>2227</v>
      </c>
      <c r="F1912" s="81" t="s">
        <v>2227</v>
      </c>
      <c r="G1912" s="81" t="s">
        <v>4467</v>
      </c>
      <c r="H1912" s="81" t="s">
        <v>6525</v>
      </c>
      <c r="I1912" s="81" t="s">
        <v>7002</v>
      </c>
      <c r="J1912" s="81" t="s">
        <v>2186</v>
      </c>
      <c r="K1912" s="81" t="s">
        <v>7002</v>
      </c>
      <c r="L1912" s="81" t="s">
        <v>2392</v>
      </c>
      <c r="M1912" s="81" t="s">
        <v>7002</v>
      </c>
      <c r="N1912" s="81" t="s">
        <v>2231</v>
      </c>
      <c r="O1912" s="81" t="s">
        <v>2187</v>
      </c>
      <c r="P1912" s="81" t="s">
        <v>2187</v>
      </c>
      <c r="Q1912" s="81" t="s">
        <v>43</v>
      </c>
      <c r="R1912" s="81" t="s">
        <v>524</v>
      </c>
      <c r="S1912" s="81" t="s">
        <v>525</v>
      </c>
      <c r="T1912" s="81" t="s">
        <v>48</v>
      </c>
      <c r="U1912" s="81" t="s">
        <v>48</v>
      </c>
      <c r="V1912" s="81" t="s">
        <v>49</v>
      </c>
      <c r="W1912" s="81" t="s">
        <v>48</v>
      </c>
      <c r="X1912" s="81" t="s">
        <v>48</v>
      </c>
      <c r="Y1912" s="81" t="s">
        <v>48</v>
      </c>
    </row>
    <row r="1913" spans="1:25" x14ac:dyDescent="0.3">
      <c r="A1913" s="16">
        <v>7501027286017</v>
      </c>
      <c r="B1913" s="81" t="s">
        <v>43</v>
      </c>
      <c r="C1913" s="81" t="s">
        <v>4980</v>
      </c>
      <c r="D1913" s="81" t="s">
        <v>45</v>
      </c>
      <c r="E1913" s="81" t="s">
        <v>2227</v>
      </c>
      <c r="F1913" s="81" t="s">
        <v>2227</v>
      </c>
      <c r="G1913" s="81" t="s">
        <v>4467</v>
      </c>
      <c r="H1913" s="81" t="s">
        <v>6525</v>
      </c>
      <c r="I1913" s="81" t="s">
        <v>7002</v>
      </c>
      <c r="J1913" s="81" t="s">
        <v>2186</v>
      </c>
      <c r="K1913" s="81" t="s">
        <v>7002</v>
      </c>
      <c r="L1913" s="81" t="s">
        <v>2392</v>
      </c>
      <c r="M1913" s="81" t="s">
        <v>7002</v>
      </c>
      <c r="N1913" s="81" t="s">
        <v>2231</v>
      </c>
      <c r="O1913" s="81" t="s">
        <v>2187</v>
      </c>
      <c r="P1913" s="81" t="s">
        <v>2187</v>
      </c>
      <c r="Q1913" s="81" t="s">
        <v>43</v>
      </c>
      <c r="R1913" s="81" t="s">
        <v>524</v>
      </c>
      <c r="S1913" s="81" t="s">
        <v>525</v>
      </c>
      <c r="T1913" s="81" t="s">
        <v>48</v>
      </c>
      <c r="U1913" s="81" t="s">
        <v>48</v>
      </c>
      <c r="V1913" s="81" t="s">
        <v>49</v>
      </c>
      <c r="W1913" s="81" t="s">
        <v>48</v>
      </c>
      <c r="X1913" s="81" t="s">
        <v>48</v>
      </c>
      <c r="Y1913" s="81" t="s">
        <v>48</v>
      </c>
    </row>
    <row r="1914" spans="1:25" x14ac:dyDescent="0.3">
      <c r="A1914" s="16">
        <v>7501839106268</v>
      </c>
      <c r="B1914" s="81" t="s">
        <v>43</v>
      </c>
      <c r="C1914" s="81" t="s">
        <v>4981</v>
      </c>
      <c r="D1914" s="81" t="s">
        <v>45</v>
      </c>
      <c r="E1914" s="81" t="s">
        <v>2227</v>
      </c>
      <c r="F1914" s="81" t="s">
        <v>2227</v>
      </c>
      <c r="G1914" s="81" t="s">
        <v>4467</v>
      </c>
      <c r="H1914" s="81" t="s">
        <v>6525</v>
      </c>
      <c r="I1914" s="81" t="s">
        <v>7002</v>
      </c>
      <c r="J1914" s="81" t="s">
        <v>2186</v>
      </c>
      <c r="K1914" s="81" t="s">
        <v>7002</v>
      </c>
      <c r="L1914" s="81" t="s">
        <v>2392</v>
      </c>
      <c r="M1914" s="81" t="s">
        <v>7002</v>
      </c>
      <c r="N1914" s="81" t="s">
        <v>2231</v>
      </c>
      <c r="O1914" s="81" t="s">
        <v>2187</v>
      </c>
      <c r="P1914" s="81" t="s">
        <v>2187</v>
      </c>
      <c r="Q1914" s="81" t="s">
        <v>43</v>
      </c>
      <c r="R1914" s="81" t="s">
        <v>524</v>
      </c>
      <c r="S1914" s="81" t="s">
        <v>525</v>
      </c>
      <c r="T1914" s="81" t="s">
        <v>48</v>
      </c>
      <c r="U1914" s="81" t="s">
        <v>48</v>
      </c>
      <c r="V1914" s="81" t="s">
        <v>49</v>
      </c>
      <c r="W1914" s="81" t="s">
        <v>48</v>
      </c>
      <c r="X1914" s="81" t="s">
        <v>48</v>
      </c>
      <c r="Y1914" s="81" t="s">
        <v>48</v>
      </c>
    </row>
    <row r="1915" spans="1:25" x14ac:dyDescent="0.3">
      <c r="A1915" s="16">
        <v>7501027286000</v>
      </c>
      <c r="B1915" s="81" t="s">
        <v>43</v>
      </c>
      <c r="C1915" s="81" t="s">
        <v>4982</v>
      </c>
      <c r="D1915" s="81" t="s">
        <v>45</v>
      </c>
      <c r="E1915" s="81" t="s">
        <v>2227</v>
      </c>
      <c r="F1915" s="81" t="s">
        <v>2227</v>
      </c>
      <c r="G1915" s="81" t="s">
        <v>4467</v>
      </c>
      <c r="H1915" s="81" t="s">
        <v>6525</v>
      </c>
      <c r="I1915" s="81" t="s">
        <v>7002</v>
      </c>
      <c r="J1915" s="81" t="s">
        <v>2186</v>
      </c>
      <c r="K1915" s="81" t="s">
        <v>7002</v>
      </c>
      <c r="L1915" s="81" t="s">
        <v>2392</v>
      </c>
      <c r="M1915" s="81" t="s">
        <v>7002</v>
      </c>
      <c r="N1915" s="81" t="s">
        <v>2231</v>
      </c>
      <c r="O1915" s="81" t="s">
        <v>2187</v>
      </c>
      <c r="P1915" s="81" t="s">
        <v>2187</v>
      </c>
      <c r="Q1915" s="81" t="s">
        <v>43</v>
      </c>
      <c r="R1915" s="81" t="s">
        <v>524</v>
      </c>
      <c r="S1915" s="81" t="s">
        <v>525</v>
      </c>
      <c r="T1915" s="81" t="s">
        <v>48</v>
      </c>
      <c r="U1915" s="81" t="s">
        <v>48</v>
      </c>
      <c r="V1915" s="81" t="s">
        <v>49</v>
      </c>
      <c r="W1915" s="81" t="s">
        <v>48</v>
      </c>
      <c r="X1915" s="81" t="s">
        <v>48</v>
      </c>
      <c r="Y1915" s="81" t="s">
        <v>48</v>
      </c>
    </row>
    <row r="1916" spans="1:25" x14ac:dyDescent="0.3">
      <c r="A1916" s="16">
        <v>7509552780956</v>
      </c>
      <c r="B1916" s="81" t="s">
        <v>43</v>
      </c>
      <c r="C1916" s="81" t="s">
        <v>4983</v>
      </c>
      <c r="D1916" s="81" t="s">
        <v>45</v>
      </c>
      <c r="E1916" s="81" t="s">
        <v>2227</v>
      </c>
      <c r="F1916" s="81" t="s">
        <v>2227</v>
      </c>
      <c r="G1916" s="81" t="s">
        <v>4467</v>
      </c>
      <c r="H1916" s="81" t="s">
        <v>6525</v>
      </c>
      <c r="I1916" s="81" t="s">
        <v>7002</v>
      </c>
      <c r="J1916" s="81" t="s">
        <v>2186</v>
      </c>
      <c r="K1916" s="81" t="s">
        <v>7002</v>
      </c>
      <c r="L1916" s="81" t="s">
        <v>2392</v>
      </c>
      <c r="M1916" s="81" t="s">
        <v>7002</v>
      </c>
      <c r="N1916" s="81" t="s">
        <v>2231</v>
      </c>
      <c r="O1916" s="81" t="s">
        <v>2187</v>
      </c>
      <c r="P1916" s="81" t="s">
        <v>2187</v>
      </c>
      <c r="Q1916" s="81" t="s">
        <v>43</v>
      </c>
      <c r="R1916" s="81" t="s">
        <v>524</v>
      </c>
      <c r="S1916" s="81" t="s">
        <v>525</v>
      </c>
      <c r="T1916" s="81" t="s">
        <v>48</v>
      </c>
      <c r="U1916" s="81" t="s">
        <v>48</v>
      </c>
      <c r="V1916" s="81" t="s">
        <v>49</v>
      </c>
      <c r="W1916" s="81" t="s">
        <v>48</v>
      </c>
      <c r="X1916" s="81" t="s">
        <v>48</v>
      </c>
      <c r="Y1916" s="81" t="s">
        <v>48</v>
      </c>
    </row>
    <row r="1917" spans="1:25" x14ac:dyDescent="0.3">
      <c r="A1917" s="16">
        <v>7509552906158</v>
      </c>
      <c r="B1917" s="81" t="s">
        <v>43</v>
      </c>
      <c r="C1917" s="81" t="s">
        <v>5090</v>
      </c>
      <c r="D1917" s="81" t="s">
        <v>45</v>
      </c>
      <c r="E1917" s="81" t="s">
        <v>2227</v>
      </c>
      <c r="F1917" s="81" t="s">
        <v>2227</v>
      </c>
      <c r="G1917" s="81" t="s">
        <v>4467</v>
      </c>
      <c r="H1917" s="81" t="s">
        <v>6525</v>
      </c>
      <c r="I1917" s="81" t="s">
        <v>7002</v>
      </c>
      <c r="J1917" s="81" t="s">
        <v>2186</v>
      </c>
      <c r="K1917" s="81" t="s">
        <v>7002</v>
      </c>
      <c r="L1917" s="81" t="s">
        <v>2392</v>
      </c>
      <c r="M1917" s="81" t="s">
        <v>7002</v>
      </c>
      <c r="N1917" s="81" t="s">
        <v>2231</v>
      </c>
      <c r="O1917" s="81" t="s">
        <v>2187</v>
      </c>
      <c r="P1917" s="81" t="s">
        <v>2187</v>
      </c>
      <c r="Q1917" s="81" t="s">
        <v>43</v>
      </c>
      <c r="R1917" s="81" t="s">
        <v>524</v>
      </c>
      <c r="S1917" s="81" t="s">
        <v>525</v>
      </c>
      <c r="T1917" s="81" t="s">
        <v>48</v>
      </c>
      <c r="U1917" s="81" t="s">
        <v>48</v>
      </c>
      <c r="V1917" s="81" t="s">
        <v>49</v>
      </c>
      <c r="W1917" s="81" t="s">
        <v>48</v>
      </c>
      <c r="X1917" s="81" t="s">
        <v>48</v>
      </c>
      <c r="Y1917" s="81" t="s">
        <v>48</v>
      </c>
    </row>
    <row r="1918" spans="1:25" x14ac:dyDescent="0.3">
      <c r="A1918" s="16">
        <v>7501027250612</v>
      </c>
      <c r="B1918" s="81" t="s">
        <v>43</v>
      </c>
      <c r="C1918" s="81" t="s">
        <v>4471</v>
      </c>
      <c r="D1918" s="81" t="s">
        <v>45</v>
      </c>
      <c r="E1918" s="81" t="s">
        <v>2227</v>
      </c>
      <c r="F1918" s="81" t="s">
        <v>2227</v>
      </c>
      <c r="G1918" s="81" t="s">
        <v>4467</v>
      </c>
      <c r="H1918" s="81" t="s">
        <v>6525</v>
      </c>
      <c r="I1918" s="81" t="s">
        <v>7002</v>
      </c>
      <c r="J1918" s="81" t="s">
        <v>2186</v>
      </c>
      <c r="K1918" s="81" t="s">
        <v>7002</v>
      </c>
      <c r="L1918" s="81" t="s">
        <v>2392</v>
      </c>
      <c r="M1918" s="81" t="s">
        <v>7002</v>
      </c>
      <c r="N1918" s="81" t="s">
        <v>2231</v>
      </c>
      <c r="O1918" s="81" t="s">
        <v>2187</v>
      </c>
      <c r="P1918" s="81" t="s">
        <v>2187</v>
      </c>
      <c r="Q1918" s="81" t="s">
        <v>43</v>
      </c>
      <c r="R1918" s="81" t="s">
        <v>524</v>
      </c>
      <c r="S1918" s="81" t="s">
        <v>525</v>
      </c>
      <c r="T1918" s="81" t="s">
        <v>48</v>
      </c>
      <c r="U1918" s="81" t="s">
        <v>48</v>
      </c>
      <c r="V1918" s="81" t="s">
        <v>49</v>
      </c>
      <c r="W1918" s="81" t="s">
        <v>48</v>
      </c>
      <c r="X1918" s="81" t="s">
        <v>48</v>
      </c>
      <c r="Y1918" s="81" t="s">
        <v>48</v>
      </c>
    </row>
    <row r="1919" spans="1:25" x14ac:dyDescent="0.3">
      <c r="A1919" s="16">
        <v>7501027254436</v>
      </c>
      <c r="B1919" s="81" t="s">
        <v>43</v>
      </c>
      <c r="C1919" s="81" t="s">
        <v>4472</v>
      </c>
      <c r="D1919" s="81" t="s">
        <v>45</v>
      </c>
      <c r="E1919" s="81" t="s">
        <v>2227</v>
      </c>
      <c r="F1919" s="81" t="s">
        <v>2227</v>
      </c>
      <c r="G1919" s="81" t="s">
        <v>4467</v>
      </c>
      <c r="H1919" s="81" t="s">
        <v>6525</v>
      </c>
      <c r="I1919" s="81" t="s">
        <v>7002</v>
      </c>
      <c r="J1919" s="81" t="s">
        <v>2186</v>
      </c>
      <c r="K1919" s="81" t="s">
        <v>7002</v>
      </c>
      <c r="L1919" s="81" t="s">
        <v>2392</v>
      </c>
      <c r="M1919" s="81" t="s">
        <v>7002</v>
      </c>
      <c r="N1919" s="81" t="s">
        <v>2231</v>
      </c>
      <c r="O1919" s="81" t="s">
        <v>2187</v>
      </c>
      <c r="P1919" s="81" t="s">
        <v>2187</v>
      </c>
      <c r="Q1919" s="81" t="s">
        <v>43</v>
      </c>
      <c r="R1919" s="81" t="s">
        <v>524</v>
      </c>
      <c r="S1919" s="81" t="s">
        <v>525</v>
      </c>
      <c r="T1919" s="81" t="s">
        <v>48</v>
      </c>
      <c r="U1919" s="81" t="s">
        <v>48</v>
      </c>
      <c r="V1919" s="81" t="s">
        <v>49</v>
      </c>
      <c r="W1919" s="81" t="s">
        <v>48</v>
      </c>
      <c r="X1919" s="81" t="s">
        <v>48</v>
      </c>
      <c r="Y1919" s="81" t="s">
        <v>48</v>
      </c>
    </row>
    <row r="1920" spans="1:25" x14ac:dyDescent="0.3">
      <c r="A1920" s="16">
        <v>7501027278487</v>
      </c>
      <c r="B1920" s="81" t="s">
        <v>43</v>
      </c>
      <c r="C1920" s="81" t="s">
        <v>4473</v>
      </c>
      <c r="D1920" s="81" t="s">
        <v>45</v>
      </c>
      <c r="E1920" s="81" t="s">
        <v>2227</v>
      </c>
      <c r="F1920" s="81" t="s">
        <v>2227</v>
      </c>
      <c r="G1920" s="81" t="s">
        <v>4467</v>
      </c>
      <c r="H1920" s="81" t="s">
        <v>6525</v>
      </c>
      <c r="I1920" s="81" t="s">
        <v>7002</v>
      </c>
      <c r="J1920" s="81" t="s">
        <v>2186</v>
      </c>
      <c r="K1920" s="81" t="s">
        <v>7002</v>
      </c>
      <c r="L1920" s="81" t="s">
        <v>2392</v>
      </c>
      <c r="M1920" s="81" t="s">
        <v>7002</v>
      </c>
      <c r="N1920" s="81" t="s">
        <v>2231</v>
      </c>
      <c r="O1920" s="81" t="s">
        <v>2187</v>
      </c>
      <c r="P1920" s="81" t="s">
        <v>2187</v>
      </c>
      <c r="Q1920" s="81" t="s">
        <v>43</v>
      </c>
      <c r="R1920" s="81" t="s">
        <v>524</v>
      </c>
      <c r="S1920" s="81" t="s">
        <v>525</v>
      </c>
      <c r="T1920" s="81" t="s">
        <v>48</v>
      </c>
      <c r="U1920" s="81" t="s">
        <v>48</v>
      </c>
      <c r="V1920" s="81" t="s">
        <v>49</v>
      </c>
      <c r="W1920" s="81" t="s">
        <v>48</v>
      </c>
      <c r="X1920" s="81" t="s">
        <v>48</v>
      </c>
      <c r="Y1920" s="81" t="s">
        <v>48</v>
      </c>
    </row>
    <row r="1921" spans="1:25" x14ac:dyDescent="0.3">
      <c r="A1921" s="16">
        <v>7509552909821</v>
      </c>
      <c r="B1921" s="81" t="s">
        <v>43</v>
      </c>
      <c r="C1921" s="81" t="s">
        <v>4474</v>
      </c>
      <c r="D1921" s="81" t="s">
        <v>45</v>
      </c>
      <c r="E1921" s="81" t="s">
        <v>2227</v>
      </c>
      <c r="F1921" s="81" t="s">
        <v>2227</v>
      </c>
      <c r="G1921" s="81" t="s">
        <v>4467</v>
      </c>
      <c r="H1921" s="81" t="s">
        <v>6525</v>
      </c>
      <c r="I1921" s="81" t="s">
        <v>7002</v>
      </c>
      <c r="J1921" s="81" t="s">
        <v>2186</v>
      </c>
      <c r="K1921" s="81" t="s">
        <v>7002</v>
      </c>
      <c r="L1921" s="81" t="s">
        <v>2392</v>
      </c>
      <c r="M1921" s="81" t="s">
        <v>7002</v>
      </c>
      <c r="N1921" s="81" t="s">
        <v>2231</v>
      </c>
      <c r="O1921" s="81" t="s">
        <v>2187</v>
      </c>
      <c r="P1921" s="81" t="s">
        <v>2187</v>
      </c>
      <c r="Q1921" s="81" t="s">
        <v>43</v>
      </c>
      <c r="R1921" s="81" t="s">
        <v>524</v>
      </c>
      <c r="S1921" s="81" t="s">
        <v>525</v>
      </c>
      <c r="T1921" s="81" t="s">
        <v>48</v>
      </c>
      <c r="U1921" s="81" t="s">
        <v>48</v>
      </c>
      <c r="V1921" s="81" t="s">
        <v>49</v>
      </c>
      <c r="W1921" s="81" t="s">
        <v>48</v>
      </c>
      <c r="X1921" s="81" t="s">
        <v>48</v>
      </c>
      <c r="Y1921" s="81" t="s">
        <v>48</v>
      </c>
    </row>
    <row r="1922" spans="1:25" x14ac:dyDescent="0.3">
      <c r="A1922" s="16">
        <v>7501839107852</v>
      </c>
      <c r="B1922" s="81" t="s">
        <v>43</v>
      </c>
      <c r="C1922" s="81" t="s">
        <v>4475</v>
      </c>
      <c r="D1922" s="81" t="s">
        <v>45</v>
      </c>
      <c r="E1922" s="81" t="s">
        <v>2227</v>
      </c>
      <c r="F1922" s="81" t="s">
        <v>2227</v>
      </c>
      <c r="G1922" s="81" t="s">
        <v>4467</v>
      </c>
      <c r="H1922" s="81" t="s">
        <v>6525</v>
      </c>
      <c r="I1922" s="81" t="s">
        <v>7002</v>
      </c>
      <c r="J1922" s="81" t="s">
        <v>2186</v>
      </c>
      <c r="K1922" s="81" t="s">
        <v>7002</v>
      </c>
      <c r="L1922" s="81" t="s">
        <v>2392</v>
      </c>
      <c r="M1922" s="81" t="s">
        <v>7002</v>
      </c>
      <c r="N1922" s="81" t="s">
        <v>2231</v>
      </c>
      <c r="O1922" s="81" t="s">
        <v>2187</v>
      </c>
      <c r="P1922" s="81" t="s">
        <v>2187</v>
      </c>
      <c r="Q1922" s="81" t="s">
        <v>43</v>
      </c>
      <c r="R1922" s="81" t="s">
        <v>524</v>
      </c>
      <c r="S1922" s="81" t="s">
        <v>525</v>
      </c>
      <c r="T1922" s="81" t="s">
        <v>48</v>
      </c>
      <c r="U1922" s="81" t="s">
        <v>48</v>
      </c>
      <c r="V1922" s="81" t="s">
        <v>49</v>
      </c>
      <c r="W1922" s="81" t="s">
        <v>48</v>
      </c>
      <c r="X1922" s="81" t="s">
        <v>48</v>
      </c>
      <c r="Y1922" s="81" t="s">
        <v>48</v>
      </c>
    </row>
    <row r="1923" spans="1:25" x14ac:dyDescent="0.3">
      <c r="A1923" s="16">
        <v>8400001016</v>
      </c>
      <c r="B1923" s="81" t="s">
        <v>43</v>
      </c>
      <c r="C1923" s="81" t="s">
        <v>4481</v>
      </c>
      <c r="D1923" s="81" t="s">
        <v>45</v>
      </c>
      <c r="E1923" s="81" t="s">
        <v>2227</v>
      </c>
      <c r="F1923" s="81" t="s">
        <v>2227</v>
      </c>
      <c r="G1923" s="81" t="s">
        <v>4482</v>
      </c>
      <c r="H1923" s="81" t="s">
        <v>3045</v>
      </c>
      <c r="I1923" s="81" t="s">
        <v>7003</v>
      </c>
      <c r="J1923" s="81" t="s">
        <v>2186</v>
      </c>
      <c r="K1923" s="81" t="s">
        <v>7003</v>
      </c>
      <c r="L1923" s="81" t="s">
        <v>2392</v>
      </c>
      <c r="M1923" s="81" t="s">
        <v>7003</v>
      </c>
      <c r="N1923" s="81" t="s">
        <v>2231</v>
      </c>
      <c r="O1923" s="81" t="s">
        <v>2187</v>
      </c>
      <c r="P1923" s="81" t="s">
        <v>2187</v>
      </c>
      <c r="Q1923" s="81" t="s">
        <v>43</v>
      </c>
      <c r="R1923" s="81" t="s">
        <v>46</v>
      </c>
      <c r="S1923" s="81" t="s">
        <v>4447</v>
      </c>
      <c r="T1923" s="81" t="s">
        <v>48</v>
      </c>
      <c r="U1923" s="81" t="s">
        <v>48</v>
      </c>
      <c r="V1923" s="81" t="s">
        <v>48</v>
      </c>
      <c r="W1923" s="81" t="s">
        <v>49</v>
      </c>
      <c r="X1923" s="81" t="s">
        <v>48</v>
      </c>
      <c r="Y1923" s="81" t="s">
        <v>48</v>
      </c>
    </row>
    <row r="1924" spans="1:25" x14ac:dyDescent="0.3">
      <c r="A1924" s="16">
        <v>7501349027817</v>
      </c>
      <c r="B1924" s="81" t="s">
        <v>43</v>
      </c>
      <c r="C1924" s="81" t="s">
        <v>4483</v>
      </c>
      <c r="D1924" s="81" t="s">
        <v>45</v>
      </c>
      <c r="E1924" s="81" t="s">
        <v>2227</v>
      </c>
      <c r="F1924" s="81" t="s">
        <v>2227</v>
      </c>
      <c r="G1924" s="81" t="s">
        <v>4484</v>
      </c>
      <c r="H1924" s="81" t="s">
        <v>2217</v>
      </c>
      <c r="I1924" s="81" t="s">
        <v>7004</v>
      </c>
      <c r="J1924" s="81" t="s">
        <v>2186</v>
      </c>
      <c r="K1924" s="81" t="s">
        <v>7004</v>
      </c>
      <c r="L1924" s="81" t="s">
        <v>2392</v>
      </c>
      <c r="M1924" s="81" t="s">
        <v>7004</v>
      </c>
      <c r="N1924" s="81" t="s">
        <v>2231</v>
      </c>
      <c r="O1924" s="81" t="s">
        <v>2187</v>
      </c>
      <c r="P1924" s="81" t="s">
        <v>2187</v>
      </c>
      <c r="Q1924" s="81" t="s">
        <v>43</v>
      </c>
      <c r="R1924" s="81" t="s">
        <v>46</v>
      </c>
      <c r="S1924" s="81" t="s">
        <v>4447</v>
      </c>
      <c r="T1924" s="81" t="s">
        <v>48</v>
      </c>
      <c r="U1924" s="81" t="s">
        <v>48</v>
      </c>
      <c r="V1924" s="81" t="s">
        <v>48</v>
      </c>
      <c r="W1924" s="81" t="s">
        <v>49</v>
      </c>
      <c r="X1924" s="81" t="s">
        <v>48</v>
      </c>
      <c r="Y1924" s="81" t="s">
        <v>48</v>
      </c>
    </row>
    <row r="1925" spans="1:25" x14ac:dyDescent="0.3">
      <c r="A1925" s="16">
        <v>7501250882000</v>
      </c>
      <c r="B1925" s="81" t="s">
        <v>43</v>
      </c>
      <c r="C1925" s="81" t="s">
        <v>4716</v>
      </c>
      <c r="D1925" s="81" t="s">
        <v>45</v>
      </c>
      <c r="E1925" s="81" t="s">
        <v>2227</v>
      </c>
      <c r="F1925" s="81" t="s">
        <v>2227</v>
      </c>
      <c r="G1925" s="81" t="s">
        <v>5076</v>
      </c>
      <c r="H1925" s="81" t="s">
        <v>2949</v>
      </c>
      <c r="I1925" s="81" t="s">
        <v>7005</v>
      </c>
      <c r="J1925" s="81" t="s">
        <v>2186</v>
      </c>
      <c r="K1925" s="81" t="s">
        <v>7005</v>
      </c>
      <c r="L1925" s="81" t="s">
        <v>2392</v>
      </c>
      <c r="M1925" s="81" t="s">
        <v>7005</v>
      </c>
      <c r="N1925" s="81" t="s">
        <v>2231</v>
      </c>
      <c r="O1925" s="81" t="s">
        <v>2187</v>
      </c>
      <c r="P1925" s="81" t="s">
        <v>2187</v>
      </c>
      <c r="Q1925" s="81" t="s">
        <v>43</v>
      </c>
      <c r="R1925" s="81" t="s">
        <v>1191</v>
      </c>
      <c r="S1925" s="81" t="s">
        <v>1192</v>
      </c>
      <c r="T1925" s="81" t="s">
        <v>48</v>
      </c>
      <c r="U1925" s="81" t="s">
        <v>48</v>
      </c>
      <c r="V1925" s="81" t="s">
        <v>49</v>
      </c>
      <c r="W1925" s="81" t="s">
        <v>48</v>
      </c>
      <c r="X1925" s="81" t="s">
        <v>48</v>
      </c>
      <c r="Y1925" s="81" t="s">
        <v>48</v>
      </c>
    </row>
    <row r="1926" spans="1:25" x14ac:dyDescent="0.3">
      <c r="A1926" s="16">
        <v>7501250882024</v>
      </c>
      <c r="B1926" s="81" t="s">
        <v>43</v>
      </c>
      <c r="C1926" s="81" t="s">
        <v>4717</v>
      </c>
      <c r="D1926" s="81" t="s">
        <v>45</v>
      </c>
      <c r="E1926" s="81" t="s">
        <v>2227</v>
      </c>
      <c r="F1926" s="81" t="s">
        <v>2227</v>
      </c>
      <c r="G1926" s="81" t="s">
        <v>5076</v>
      </c>
      <c r="H1926" s="81" t="s">
        <v>3249</v>
      </c>
      <c r="I1926" s="81" t="s">
        <v>7006</v>
      </c>
      <c r="J1926" s="81" t="s">
        <v>2186</v>
      </c>
      <c r="K1926" s="81" t="s">
        <v>7006</v>
      </c>
      <c r="L1926" s="81" t="s">
        <v>2392</v>
      </c>
      <c r="M1926" s="81" t="s">
        <v>7006</v>
      </c>
      <c r="N1926" s="81" t="s">
        <v>2231</v>
      </c>
      <c r="O1926" s="81" t="s">
        <v>2187</v>
      </c>
      <c r="P1926" s="81" t="s">
        <v>2187</v>
      </c>
      <c r="Q1926" s="81" t="s">
        <v>43</v>
      </c>
      <c r="R1926" s="81" t="s">
        <v>1191</v>
      </c>
      <c r="S1926" s="81" t="s">
        <v>1192</v>
      </c>
      <c r="T1926" s="81" t="s">
        <v>48</v>
      </c>
      <c r="U1926" s="81" t="s">
        <v>48</v>
      </c>
      <c r="V1926" s="81" t="s">
        <v>49</v>
      </c>
      <c r="W1926" s="81" t="s">
        <v>48</v>
      </c>
      <c r="X1926" s="81" t="s">
        <v>48</v>
      </c>
      <c r="Y1926" s="81" t="s">
        <v>48</v>
      </c>
    </row>
    <row r="1927" spans="1:25" x14ac:dyDescent="0.3">
      <c r="A1927" s="16">
        <v>7501250882017</v>
      </c>
      <c r="B1927" s="81" t="s">
        <v>43</v>
      </c>
      <c r="C1927" s="81" t="s">
        <v>4718</v>
      </c>
      <c r="D1927" s="81" t="s">
        <v>45</v>
      </c>
      <c r="E1927" s="81" t="s">
        <v>2227</v>
      </c>
      <c r="F1927" s="81" t="s">
        <v>2227</v>
      </c>
      <c r="G1927" s="81" t="s">
        <v>5076</v>
      </c>
      <c r="H1927" s="81" t="s">
        <v>3242</v>
      </c>
      <c r="I1927" s="81" t="s">
        <v>7005</v>
      </c>
      <c r="J1927" s="81" t="s">
        <v>2186</v>
      </c>
      <c r="K1927" s="81" t="s">
        <v>7005</v>
      </c>
      <c r="L1927" s="81" t="s">
        <v>2392</v>
      </c>
      <c r="M1927" s="81" t="s">
        <v>7005</v>
      </c>
      <c r="N1927" s="81" t="s">
        <v>2231</v>
      </c>
      <c r="O1927" s="81" t="s">
        <v>2187</v>
      </c>
      <c r="P1927" s="81" t="s">
        <v>2187</v>
      </c>
      <c r="Q1927" s="81" t="s">
        <v>43</v>
      </c>
      <c r="R1927" s="81" t="s">
        <v>1191</v>
      </c>
      <c r="S1927" s="81" t="s">
        <v>1192</v>
      </c>
      <c r="T1927" s="81" t="s">
        <v>48</v>
      </c>
      <c r="U1927" s="81" t="s">
        <v>48</v>
      </c>
      <c r="V1927" s="81" t="s">
        <v>49</v>
      </c>
      <c r="W1927" s="81" t="s">
        <v>48</v>
      </c>
      <c r="X1927" s="81" t="s">
        <v>48</v>
      </c>
      <c r="Y1927" s="81" t="s">
        <v>48</v>
      </c>
    </row>
    <row r="1928" spans="1:25" x14ac:dyDescent="0.3">
      <c r="A1928" s="16">
        <v>7502009749155</v>
      </c>
      <c r="B1928" s="81" t="s">
        <v>43</v>
      </c>
      <c r="C1928" s="81" t="s">
        <v>4502</v>
      </c>
      <c r="D1928" s="81" t="s">
        <v>45</v>
      </c>
      <c r="E1928" s="81" t="s">
        <v>2227</v>
      </c>
      <c r="F1928" s="81" t="s">
        <v>2227</v>
      </c>
      <c r="G1928" s="81" t="s">
        <v>4822</v>
      </c>
      <c r="H1928" s="81" t="s">
        <v>3113</v>
      </c>
      <c r="I1928" s="81" t="s">
        <v>7007</v>
      </c>
      <c r="J1928" s="81" t="s">
        <v>2186</v>
      </c>
      <c r="K1928" s="81" t="s">
        <v>7007</v>
      </c>
      <c r="L1928" s="81" t="s">
        <v>2392</v>
      </c>
      <c r="M1928" s="81" t="s">
        <v>7007</v>
      </c>
      <c r="N1928" s="81" t="s">
        <v>2231</v>
      </c>
      <c r="O1928" s="81" t="s">
        <v>2187</v>
      </c>
      <c r="P1928" s="81" t="s">
        <v>2187</v>
      </c>
      <c r="Q1928" s="81" t="s">
        <v>43</v>
      </c>
      <c r="R1928" s="81" t="s">
        <v>46</v>
      </c>
      <c r="S1928" s="81" t="s">
        <v>46</v>
      </c>
      <c r="T1928" s="81" t="s">
        <v>48</v>
      </c>
      <c r="U1928" s="81" t="s">
        <v>48</v>
      </c>
      <c r="V1928" s="81" t="s">
        <v>48</v>
      </c>
      <c r="W1928" s="81" t="s">
        <v>49</v>
      </c>
      <c r="X1928" s="81" t="s">
        <v>48</v>
      </c>
      <c r="Y1928" s="81" t="s">
        <v>48</v>
      </c>
    </row>
    <row r="1929" spans="1:25" x14ac:dyDescent="0.3">
      <c r="A1929" s="16">
        <v>7501573909958</v>
      </c>
      <c r="B1929" s="81" t="s">
        <v>43</v>
      </c>
      <c r="C1929" s="81" t="s">
        <v>4503</v>
      </c>
      <c r="D1929" s="81" t="s">
        <v>45</v>
      </c>
      <c r="E1929" s="81" t="s">
        <v>2227</v>
      </c>
      <c r="F1929" s="81" t="s">
        <v>2227</v>
      </c>
      <c r="G1929" s="81" t="s">
        <v>7008</v>
      </c>
      <c r="H1929" s="81" t="s">
        <v>2223</v>
      </c>
      <c r="I1929" s="81" t="s">
        <v>5561</v>
      </c>
      <c r="J1929" s="81" t="s">
        <v>2186</v>
      </c>
      <c r="K1929" s="81" t="s">
        <v>5561</v>
      </c>
      <c r="L1929" s="81" t="s">
        <v>2392</v>
      </c>
      <c r="M1929" s="81" t="s">
        <v>5561</v>
      </c>
      <c r="N1929" s="81" t="s">
        <v>2231</v>
      </c>
      <c r="O1929" s="81" t="s">
        <v>2187</v>
      </c>
      <c r="P1929" s="81" t="s">
        <v>2187</v>
      </c>
      <c r="Q1929" s="81" t="s">
        <v>43</v>
      </c>
      <c r="R1929" s="81" t="s">
        <v>46</v>
      </c>
      <c r="S1929" s="81" t="s">
        <v>46</v>
      </c>
      <c r="T1929" s="81" t="s">
        <v>48</v>
      </c>
      <c r="U1929" s="81" t="s">
        <v>48</v>
      </c>
      <c r="V1929" s="81" t="s">
        <v>48</v>
      </c>
      <c r="W1929" s="81" t="s">
        <v>49</v>
      </c>
      <c r="X1929" s="81" t="s">
        <v>48</v>
      </c>
      <c r="Y1929" s="81" t="s">
        <v>48</v>
      </c>
    </row>
    <row r="1930" spans="1:25" x14ac:dyDescent="0.3">
      <c r="A1930" s="16">
        <v>7501128119634</v>
      </c>
      <c r="B1930" s="81" t="s">
        <v>43</v>
      </c>
      <c r="C1930" s="81" t="s">
        <v>4505</v>
      </c>
      <c r="D1930" s="81" t="s">
        <v>45</v>
      </c>
      <c r="E1930" s="81" t="s">
        <v>2227</v>
      </c>
      <c r="F1930" s="81" t="s">
        <v>2227</v>
      </c>
      <c r="G1930" s="81" t="s">
        <v>3316</v>
      </c>
      <c r="H1930" s="81" t="s">
        <v>3317</v>
      </c>
      <c r="I1930" s="81" t="s">
        <v>3395</v>
      </c>
      <c r="J1930" s="81" t="s">
        <v>2186</v>
      </c>
      <c r="K1930" s="81" t="s">
        <v>3395</v>
      </c>
      <c r="L1930" s="81" t="s">
        <v>2392</v>
      </c>
      <c r="M1930" s="81" t="s">
        <v>3395</v>
      </c>
      <c r="N1930" s="81" t="s">
        <v>2231</v>
      </c>
      <c r="O1930" s="81" t="s">
        <v>2187</v>
      </c>
      <c r="P1930" s="81" t="s">
        <v>2187</v>
      </c>
      <c r="Q1930" s="81" t="s">
        <v>43</v>
      </c>
      <c r="R1930" s="81" t="s">
        <v>122</v>
      </c>
      <c r="S1930" s="81" t="s">
        <v>122</v>
      </c>
      <c r="T1930" s="81" t="s">
        <v>48</v>
      </c>
      <c r="U1930" s="81" t="s">
        <v>48</v>
      </c>
      <c r="V1930" s="81" t="s">
        <v>49</v>
      </c>
      <c r="W1930" s="81" t="s">
        <v>48</v>
      </c>
      <c r="X1930" s="81" t="s">
        <v>48</v>
      </c>
      <c r="Y1930" s="81" t="s">
        <v>48</v>
      </c>
    </row>
    <row r="1931" spans="1:25" x14ac:dyDescent="0.3">
      <c r="A1931" s="16">
        <v>7506494600335</v>
      </c>
      <c r="B1931" s="81" t="s">
        <v>43</v>
      </c>
      <c r="C1931" s="81" t="s">
        <v>4506</v>
      </c>
      <c r="D1931" s="81" t="s">
        <v>45</v>
      </c>
      <c r="E1931" s="81" t="s">
        <v>2227</v>
      </c>
      <c r="F1931" s="81" t="s">
        <v>2227</v>
      </c>
      <c r="G1931" s="81" t="s">
        <v>5131</v>
      </c>
      <c r="H1931" s="81" t="s">
        <v>2237</v>
      </c>
      <c r="I1931" s="81" t="s">
        <v>6355</v>
      </c>
      <c r="J1931" s="81" t="s">
        <v>2186</v>
      </c>
      <c r="K1931" s="81" t="s">
        <v>6355</v>
      </c>
      <c r="L1931" s="81" t="s">
        <v>2392</v>
      </c>
      <c r="M1931" s="81" t="s">
        <v>6355</v>
      </c>
      <c r="N1931" s="81" t="s">
        <v>2231</v>
      </c>
      <c r="O1931" s="81" t="s">
        <v>2187</v>
      </c>
      <c r="P1931" s="81" t="s">
        <v>2187</v>
      </c>
      <c r="Q1931" s="81" t="s">
        <v>43</v>
      </c>
      <c r="R1931" s="81" t="s">
        <v>46</v>
      </c>
      <c r="S1931" s="81" t="s">
        <v>47</v>
      </c>
      <c r="T1931" s="81" t="s">
        <v>48</v>
      </c>
      <c r="U1931" s="81" t="s">
        <v>48</v>
      </c>
      <c r="V1931" s="81" t="s">
        <v>48</v>
      </c>
      <c r="W1931" s="81" t="s">
        <v>49</v>
      </c>
      <c r="X1931" s="81" t="s">
        <v>48</v>
      </c>
      <c r="Y1931" s="81" t="s">
        <v>48</v>
      </c>
    </row>
    <row r="1932" spans="1:25" x14ac:dyDescent="0.3">
      <c r="A1932" s="16">
        <v>759684433054</v>
      </c>
      <c r="B1932" s="81" t="s">
        <v>43</v>
      </c>
      <c r="C1932" s="81" t="s">
        <v>4514</v>
      </c>
      <c r="D1932" s="81" t="s">
        <v>45</v>
      </c>
      <c r="E1932" s="81" t="s">
        <v>2227</v>
      </c>
      <c r="F1932" s="81" t="s">
        <v>2227</v>
      </c>
      <c r="G1932" s="81" t="s">
        <v>4549</v>
      </c>
      <c r="H1932" s="81" t="s">
        <v>2310</v>
      </c>
      <c r="I1932" s="81" t="s">
        <v>7009</v>
      </c>
      <c r="J1932" s="81" t="s">
        <v>2186</v>
      </c>
      <c r="K1932" s="81" t="s">
        <v>7009</v>
      </c>
      <c r="L1932" s="81" t="s">
        <v>2392</v>
      </c>
      <c r="M1932" s="81" t="s">
        <v>7009</v>
      </c>
      <c r="N1932" s="81" t="s">
        <v>2231</v>
      </c>
      <c r="O1932" s="81" t="s">
        <v>2187</v>
      </c>
      <c r="P1932" s="81" t="s">
        <v>2187</v>
      </c>
      <c r="Q1932" s="81" t="s">
        <v>43</v>
      </c>
      <c r="R1932" s="81" t="s">
        <v>524</v>
      </c>
      <c r="S1932" s="81" t="s">
        <v>525</v>
      </c>
      <c r="T1932" s="81" t="s">
        <v>48</v>
      </c>
      <c r="U1932" s="81" t="s">
        <v>48</v>
      </c>
      <c r="V1932" s="81" t="s">
        <v>49</v>
      </c>
      <c r="W1932" s="81" t="s">
        <v>48</v>
      </c>
      <c r="X1932" s="81" t="s">
        <v>48</v>
      </c>
      <c r="Y1932" s="81" t="s">
        <v>48</v>
      </c>
    </row>
    <row r="1933" spans="1:25" x14ac:dyDescent="0.3">
      <c r="A1933" s="16">
        <v>7501590284939</v>
      </c>
      <c r="B1933" s="81" t="s">
        <v>43</v>
      </c>
      <c r="C1933" s="81" t="s">
        <v>4524</v>
      </c>
      <c r="D1933" s="81" t="s">
        <v>45</v>
      </c>
      <c r="E1933" s="81" t="s">
        <v>2227</v>
      </c>
      <c r="F1933" s="81" t="s">
        <v>2227</v>
      </c>
      <c r="G1933" s="81" t="s">
        <v>4478</v>
      </c>
      <c r="H1933" s="81" t="s">
        <v>2426</v>
      </c>
      <c r="I1933" s="81" t="s">
        <v>7010</v>
      </c>
      <c r="J1933" s="81" t="s">
        <v>2186</v>
      </c>
      <c r="K1933" s="81" t="s">
        <v>7010</v>
      </c>
      <c r="L1933" s="81" t="s">
        <v>2392</v>
      </c>
      <c r="M1933" s="81" t="s">
        <v>7010</v>
      </c>
      <c r="N1933" s="81" t="s">
        <v>2231</v>
      </c>
      <c r="O1933" s="81" t="s">
        <v>2187</v>
      </c>
      <c r="P1933" s="81" t="s">
        <v>2187</v>
      </c>
      <c r="Q1933" s="81" t="s">
        <v>43</v>
      </c>
      <c r="R1933" s="81" t="s">
        <v>101</v>
      </c>
      <c r="S1933" s="81" t="s">
        <v>101</v>
      </c>
      <c r="T1933" s="81" t="s">
        <v>48</v>
      </c>
      <c r="U1933" s="81" t="s">
        <v>48</v>
      </c>
      <c r="V1933" s="81" t="s">
        <v>49</v>
      </c>
      <c r="W1933" s="81" t="s">
        <v>48</v>
      </c>
      <c r="X1933" s="81" t="s">
        <v>48</v>
      </c>
      <c r="Y1933" s="81" t="s">
        <v>48</v>
      </c>
    </row>
    <row r="1934" spans="1:25" x14ac:dyDescent="0.3">
      <c r="A1934" s="16">
        <v>7501065064165</v>
      </c>
      <c r="B1934" s="81" t="s">
        <v>43</v>
      </c>
      <c r="C1934" s="81" t="s">
        <v>4525</v>
      </c>
      <c r="D1934" s="81" t="s">
        <v>45</v>
      </c>
      <c r="E1934" s="81" t="s">
        <v>2227</v>
      </c>
      <c r="F1934" s="81" t="s">
        <v>2227</v>
      </c>
      <c r="G1934" s="81" t="s">
        <v>4526</v>
      </c>
      <c r="H1934" s="81" t="s">
        <v>4527</v>
      </c>
      <c r="I1934" s="81" t="s">
        <v>4619</v>
      </c>
      <c r="J1934" s="81" t="s">
        <v>2186</v>
      </c>
      <c r="K1934" s="81" t="s">
        <v>4619</v>
      </c>
      <c r="L1934" s="81" t="s">
        <v>2392</v>
      </c>
      <c r="M1934" s="81" t="s">
        <v>4619</v>
      </c>
      <c r="N1934" s="81" t="s">
        <v>2231</v>
      </c>
      <c r="O1934" s="81" t="s">
        <v>2187</v>
      </c>
      <c r="P1934" s="81" t="s">
        <v>2187</v>
      </c>
      <c r="Q1934" s="81" t="s">
        <v>43</v>
      </c>
      <c r="R1934" s="81" t="s">
        <v>203</v>
      </c>
      <c r="S1934" s="81" t="s">
        <v>203</v>
      </c>
      <c r="T1934" s="81" t="s">
        <v>48</v>
      </c>
      <c r="U1934" s="81" t="s">
        <v>48</v>
      </c>
      <c r="V1934" s="81" t="s">
        <v>49</v>
      </c>
      <c r="W1934" s="81" t="s">
        <v>48</v>
      </c>
      <c r="X1934" s="81" t="s">
        <v>48</v>
      </c>
      <c r="Y1934" s="81" t="s">
        <v>48</v>
      </c>
    </row>
    <row r="1935" spans="1:25" x14ac:dyDescent="0.3">
      <c r="A1935" s="16" t="s">
        <v>4537</v>
      </c>
      <c r="B1935" s="81" t="s">
        <v>43</v>
      </c>
      <c r="C1935" s="81" t="s">
        <v>4538</v>
      </c>
      <c r="D1935" s="81" t="s">
        <v>45</v>
      </c>
      <c r="E1935" s="81" t="s">
        <v>2227</v>
      </c>
      <c r="F1935" s="81" t="s">
        <v>2227</v>
      </c>
      <c r="G1935" s="81" t="s">
        <v>4531</v>
      </c>
      <c r="H1935" s="81" t="s">
        <v>2325</v>
      </c>
      <c r="I1935" s="81" t="s">
        <v>2331</v>
      </c>
      <c r="J1935" s="81" t="s">
        <v>2186</v>
      </c>
      <c r="K1935" s="81" t="s">
        <v>2331</v>
      </c>
      <c r="L1935" s="81" t="s">
        <v>2392</v>
      </c>
      <c r="M1935" s="81" t="s">
        <v>2331</v>
      </c>
      <c r="N1935" s="81" t="s">
        <v>2231</v>
      </c>
      <c r="O1935" s="81" t="s">
        <v>2187</v>
      </c>
      <c r="P1935" s="81" t="s">
        <v>2187</v>
      </c>
      <c r="Q1935" s="81" t="s">
        <v>43</v>
      </c>
      <c r="R1935" s="81" t="s">
        <v>462</v>
      </c>
      <c r="S1935" s="81" t="s">
        <v>462</v>
      </c>
      <c r="T1935" s="81" t="s">
        <v>48</v>
      </c>
      <c r="U1935" s="81" t="s">
        <v>48</v>
      </c>
      <c r="V1935" s="81" t="s">
        <v>48</v>
      </c>
      <c r="W1935" s="81" t="s">
        <v>49</v>
      </c>
      <c r="X1935" s="81" t="s">
        <v>48</v>
      </c>
      <c r="Y1935" s="81" t="s">
        <v>48</v>
      </c>
    </row>
    <row r="1936" spans="1:25" x14ac:dyDescent="0.3">
      <c r="A1936" s="16">
        <v>7501385491085</v>
      </c>
      <c r="B1936" s="81" t="s">
        <v>43</v>
      </c>
      <c r="C1936" s="81" t="s">
        <v>4546</v>
      </c>
      <c r="D1936" s="81" t="s">
        <v>45</v>
      </c>
      <c r="E1936" s="81" t="s">
        <v>2227</v>
      </c>
      <c r="F1936" s="81" t="s">
        <v>2227</v>
      </c>
      <c r="G1936" s="81" t="s">
        <v>4539</v>
      </c>
      <c r="H1936" s="81" t="s">
        <v>2998</v>
      </c>
      <c r="I1936" s="81" t="s">
        <v>7011</v>
      </c>
      <c r="J1936" s="81" t="s">
        <v>2186</v>
      </c>
      <c r="K1936" s="81" t="s">
        <v>7011</v>
      </c>
      <c r="L1936" s="81" t="s">
        <v>2392</v>
      </c>
      <c r="M1936" s="81" t="s">
        <v>7011</v>
      </c>
      <c r="N1936" s="81" t="s">
        <v>2231</v>
      </c>
      <c r="O1936" s="81" t="s">
        <v>2187</v>
      </c>
      <c r="P1936" s="81" t="s">
        <v>2187</v>
      </c>
      <c r="Q1936" s="81" t="s">
        <v>43</v>
      </c>
      <c r="R1936" s="81" t="s">
        <v>374</v>
      </c>
      <c r="S1936" s="81" t="s">
        <v>47</v>
      </c>
      <c r="T1936" s="81" t="s">
        <v>48</v>
      </c>
      <c r="U1936" s="81" t="s">
        <v>48</v>
      </c>
      <c r="V1936" s="81" t="s">
        <v>48</v>
      </c>
      <c r="W1936" s="81" t="s">
        <v>49</v>
      </c>
      <c r="X1936" s="81" t="s">
        <v>48</v>
      </c>
      <c r="Y1936" s="81" t="s">
        <v>48</v>
      </c>
    </row>
    <row r="1937" spans="1:25" x14ac:dyDescent="0.3">
      <c r="A1937" s="16">
        <v>7501385420061</v>
      </c>
      <c r="B1937" s="81" t="s">
        <v>43</v>
      </c>
      <c r="C1937" s="81" t="s">
        <v>4547</v>
      </c>
      <c r="D1937" s="81" t="s">
        <v>45</v>
      </c>
      <c r="E1937" s="81" t="s">
        <v>2227</v>
      </c>
      <c r="F1937" s="81" t="s">
        <v>2227</v>
      </c>
      <c r="G1937" s="81" t="s">
        <v>4540</v>
      </c>
      <c r="H1937" s="81" t="s">
        <v>2567</v>
      </c>
      <c r="I1937" s="81" t="s">
        <v>7012</v>
      </c>
      <c r="J1937" s="81" t="s">
        <v>2186</v>
      </c>
      <c r="K1937" s="81" t="s">
        <v>7012</v>
      </c>
      <c r="L1937" s="81" t="s">
        <v>2392</v>
      </c>
      <c r="M1937" s="81" t="s">
        <v>7012</v>
      </c>
      <c r="N1937" s="81" t="s">
        <v>2231</v>
      </c>
      <c r="O1937" s="81" t="s">
        <v>2187</v>
      </c>
      <c r="P1937" s="81" t="s">
        <v>2187</v>
      </c>
      <c r="Q1937" s="81" t="s">
        <v>43</v>
      </c>
      <c r="R1937" s="81" t="s">
        <v>374</v>
      </c>
      <c r="S1937" s="81" t="s">
        <v>47</v>
      </c>
      <c r="T1937" s="81" t="s">
        <v>48</v>
      </c>
      <c r="U1937" s="81" t="s">
        <v>48</v>
      </c>
      <c r="V1937" s="81" t="s">
        <v>48</v>
      </c>
      <c r="W1937" s="81" t="s">
        <v>49</v>
      </c>
      <c r="X1937" s="81" t="s">
        <v>48</v>
      </c>
      <c r="Y1937" s="81" t="s">
        <v>48</v>
      </c>
    </row>
    <row r="1938" spans="1:25" x14ac:dyDescent="0.3">
      <c r="A1938" s="16">
        <v>714706100901</v>
      </c>
      <c r="B1938" s="81" t="s">
        <v>43</v>
      </c>
      <c r="C1938" s="81" t="s">
        <v>4541</v>
      </c>
      <c r="D1938" s="81" t="s">
        <v>45</v>
      </c>
      <c r="E1938" s="81" t="s">
        <v>2227</v>
      </c>
      <c r="F1938" s="81" t="s">
        <v>2227</v>
      </c>
      <c r="G1938" s="81" t="s">
        <v>4542</v>
      </c>
      <c r="H1938" s="81" t="s">
        <v>2680</v>
      </c>
      <c r="I1938" s="81" t="s">
        <v>7013</v>
      </c>
      <c r="J1938" s="81" t="s">
        <v>2186</v>
      </c>
      <c r="K1938" s="81" t="s">
        <v>7013</v>
      </c>
      <c r="L1938" s="81" t="s">
        <v>2392</v>
      </c>
      <c r="M1938" s="81" t="s">
        <v>7013</v>
      </c>
      <c r="N1938" s="81" t="s">
        <v>2231</v>
      </c>
      <c r="O1938" s="81" t="s">
        <v>2187</v>
      </c>
      <c r="P1938" s="81" t="s">
        <v>2187</v>
      </c>
      <c r="Q1938" s="81" t="s">
        <v>43</v>
      </c>
      <c r="R1938" s="81" t="s">
        <v>101</v>
      </c>
      <c r="S1938" s="81" t="s">
        <v>101</v>
      </c>
      <c r="T1938" s="81" t="s">
        <v>48</v>
      </c>
      <c r="U1938" s="81" t="s">
        <v>48</v>
      </c>
      <c r="V1938" s="81" t="s">
        <v>48</v>
      </c>
      <c r="W1938" s="81" t="s">
        <v>49</v>
      </c>
      <c r="X1938" s="81" t="s">
        <v>48</v>
      </c>
      <c r="Y1938" s="81" t="s">
        <v>48</v>
      </c>
    </row>
    <row r="1939" spans="1:25" x14ac:dyDescent="0.3">
      <c r="A1939" s="16">
        <v>7502226293936</v>
      </c>
      <c r="B1939" s="81" t="s">
        <v>43</v>
      </c>
      <c r="C1939" s="81" t="s">
        <v>4543</v>
      </c>
      <c r="D1939" s="81" t="s">
        <v>45</v>
      </c>
      <c r="E1939" s="81" t="s">
        <v>2227</v>
      </c>
      <c r="F1939" s="81" t="s">
        <v>2227</v>
      </c>
      <c r="G1939" s="81" t="s">
        <v>4941</v>
      </c>
      <c r="H1939" s="81" t="s">
        <v>2480</v>
      </c>
      <c r="I1939" s="81" t="s">
        <v>7014</v>
      </c>
      <c r="J1939" s="81" t="s">
        <v>2186</v>
      </c>
      <c r="K1939" s="81" t="s">
        <v>7014</v>
      </c>
      <c r="L1939" s="81" t="s">
        <v>2392</v>
      </c>
      <c r="M1939" s="81" t="s">
        <v>7014</v>
      </c>
      <c r="N1939" s="81" t="s">
        <v>2231</v>
      </c>
      <c r="O1939" s="81" t="s">
        <v>2187</v>
      </c>
      <c r="P1939" s="81" t="s">
        <v>2187</v>
      </c>
      <c r="Q1939" s="81" t="s">
        <v>43</v>
      </c>
      <c r="R1939" s="81" t="s">
        <v>46</v>
      </c>
      <c r="S1939" s="81" t="s">
        <v>46</v>
      </c>
      <c r="T1939" s="81" t="s">
        <v>48</v>
      </c>
      <c r="U1939" s="81" t="s">
        <v>48</v>
      </c>
      <c r="V1939" s="81" t="s">
        <v>48</v>
      </c>
      <c r="W1939" s="81" t="s">
        <v>49</v>
      </c>
      <c r="X1939" s="81" t="s">
        <v>48</v>
      </c>
      <c r="Y1939" s="81" t="s">
        <v>48</v>
      </c>
    </row>
    <row r="1940" spans="1:25" x14ac:dyDescent="0.3">
      <c r="A1940" s="16">
        <v>7501007535487</v>
      </c>
      <c r="B1940" s="81" t="s">
        <v>43</v>
      </c>
      <c r="C1940" s="81" t="s">
        <v>4550</v>
      </c>
      <c r="D1940" s="81" t="s">
        <v>45</v>
      </c>
      <c r="E1940" s="81" t="s">
        <v>2227</v>
      </c>
      <c r="F1940" s="81" t="s">
        <v>2227</v>
      </c>
      <c r="G1940" s="81" t="s">
        <v>4942</v>
      </c>
      <c r="H1940" s="81" t="s">
        <v>2905</v>
      </c>
      <c r="I1940" s="81" t="s">
        <v>7015</v>
      </c>
      <c r="J1940" s="81" t="s">
        <v>2186</v>
      </c>
      <c r="K1940" s="81" t="s">
        <v>7015</v>
      </c>
      <c r="L1940" s="81" t="s">
        <v>2392</v>
      </c>
      <c r="M1940" s="81" t="s">
        <v>7015</v>
      </c>
      <c r="N1940" s="81" t="s">
        <v>2231</v>
      </c>
      <c r="O1940" s="81" t="s">
        <v>2187</v>
      </c>
      <c r="P1940" s="81" t="s">
        <v>2187</v>
      </c>
      <c r="Q1940" s="81" t="s">
        <v>43</v>
      </c>
      <c r="R1940" s="81" t="s">
        <v>203</v>
      </c>
      <c r="S1940" s="81" t="s">
        <v>203</v>
      </c>
      <c r="T1940" s="81" t="s">
        <v>48</v>
      </c>
      <c r="U1940" s="81" t="s">
        <v>48</v>
      </c>
      <c r="V1940" s="81" t="s">
        <v>48</v>
      </c>
      <c r="W1940" s="81" t="s">
        <v>49</v>
      </c>
      <c r="X1940" s="81" t="s">
        <v>48</v>
      </c>
      <c r="Y1940" s="81" t="s">
        <v>48</v>
      </c>
    </row>
    <row r="1941" spans="1:25" x14ac:dyDescent="0.3">
      <c r="A1941" s="16">
        <v>70330717565</v>
      </c>
      <c r="B1941" s="81" t="s">
        <v>43</v>
      </c>
      <c r="C1941" s="81" t="s">
        <v>4551</v>
      </c>
      <c r="D1941" s="81" t="s">
        <v>45</v>
      </c>
      <c r="E1941" s="81" t="s">
        <v>2227</v>
      </c>
      <c r="F1941" s="81" t="s">
        <v>2227</v>
      </c>
      <c r="G1941" s="81" t="s">
        <v>5423</v>
      </c>
      <c r="H1941" s="81" t="s">
        <v>7016</v>
      </c>
      <c r="I1941" s="81" t="s">
        <v>7017</v>
      </c>
      <c r="J1941" s="81" t="s">
        <v>2186</v>
      </c>
      <c r="K1941" s="81" t="s">
        <v>7017</v>
      </c>
      <c r="L1941" s="81" t="s">
        <v>2392</v>
      </c>
      <c r="M1941" s="81" t="s">
        <v>7017</v>
      </c>
      <c r="N1941" s="81" t="s">
        <v>2231</v>
      </c>
      <c r="O1941" s="81" t="s">
        <v>2187</v>
      </c>
      <c r="P1941" s="81" t="s">
        <v>2187</v>
      </c>
      <c r="Q1941" s="81" t="s">
        <v>43</v>
      </c>
      <c r="R1941" s="81" t="s">
        <v>203</v>
      </c>
      <c r="S1941" s="81" t="s">
        <v>203</v>
      </c>
      <c r="T1941" s="81" t="s">
        <v>48</v>
      </c>
      <c r="U1941" s="81" t="s">
        <v>48</v>
      </c>
      <c r="V1941" s="81" t="s">
        <v>49</v>
      </c>
      <c r="W1941" s="81" t="s">
        <v>48</v>
      </c>
      <c r="X1941" s="81" t="s">
        <v>48</v>
      </c>
      <c r="Y1941" s="81" t="s">
        <v>48</v>
      </c>
    </row>
    <row r="1942" spans="1:25" x14ac:dyDescent="0.3">
      <c r="A1942" s="16">
        <v>70330731806</v>
      </c>
      <c r="B1942" s="81" t="s">
        <v>43</v>
      </c>
      <c r="C1942" s="81" t="s">
        <v>4552</v>
      </c>
      <c r="D1942" s="81" t="s">
        <v>45</v>
      </c>
      <c r="E1942" s="81" t="s">
        <v>2227</v>
      </c>
      <c r="F1942" s="81" t="s">
        <v>2227</v>
      </c>
      <c r="G1942" s="81" t="s">
        <v>5424</v>
      </c>
      <c r="H1942" s="81" t="s">
        <v>7018</v>
      </c>
      <c r="I1942" s="81" t="s">
        <v>7019</v>
      </c>
      <c r="J1942" s="81" t="s">
        <v>2186</v>
      </c>
      <c r="K1942" s="81" t="s">
        <v>7019</v>
      </c>
      <c r="L1942" s="81" t="s">
        <v>2392</v>
      </c>
      <c r="M1942" s="81" t="s">
        <v>7019</v>
      </c>
      <c r="N1942" s="81" t="s">
        <v>2231</v>
      </c>
      <c r="O1942" s="81" t="s">
        <v>2187</v>
      </c>
      <c r="P1942" s="81" t="s">
        <v>2187</v>
      </c>
      <c r="Q1942" s="81" t="s">
        <v>43</v>
      </c>
      <c r="R1942" s="81" t="s">
        <v>524</v>
      </c>
      <c r="S1942" s="81" t="s">
        <v>525</v>
      </c>
      <c r="T1942" s="81" t="s">
        <v>48</v>
      </c>
      <c r="U1942" s="81" t="s">
        <v>48</v>
      </c>
      <c r="V1942" s="81" t="s">
        <v>49</v>
      </c>
      <c r="W1942" s="81" t="s">
        <v>48</v>
      </c>
      <c r="X1942" s="81" t="s">
        <v>48</v>
      </c>
      <c r="Y1942" s="81" t="s">
        <v>48</v>
      </c>
    </row>
    <row r="1943" spans="1:25" x14ac:dyDescent="0.3">
      <c r="A1943" s="16">
        <v>7502226293479</v>
      </c>
      <c r="B1943" s="81" t="s">
        <v>43</v>
      </c>
      <c r="C1943" s="81" t="s">
        <v>4553</v>
      </c>
      <c r="D1943" s="81" t="s">
        <v>45</v>
      </c>
      <c r="E1943" s="81" t="s">
        <v>2227</v>
      </c>
      <c r="F1943" s="81" t="s">
        <v>2227</v>
      </c>
      <c r="G1943" s="81" t="s">
        <v>4554</v>
      </c>
      <c r="H1943" s="81" t="s">
        <v>7020</v>
      </c>
      <c r="I1943" s="81" t="s">
        <v>7021</v>
      </c>
      <c r="J1943" s="81" t="s">
        <v>2186</v>
      </c>
      <c r="K1943" s="81" t="s">
        <v>7021</v>
      </c>
      <c r="L1943" s="81" t="s">
        <v>2392</v>
      </c>
      <c r="M1943" s="81" t="s">
        <v>7021</v>
      </c>
      <c r="N1943" s="81" t="s">
        <v>2231</v>
      </c>
      <c r="O1943" s="81" t="s">
        <v>2187</v>
      </c>
      <c r="P1943" s="81" t="s">
        <v>2187</v>
      </c>
      <c r="Q1943" s="81" t="s">
        <v>43</v>
      </c>
      <c r="R1943" s="81" t="s">
        <v>374</v>
      </c>
      <c r="S1943" s="81" t="s">
        <v>73</v>
      </c>
      <c r="T1943" s="81" t="s">
        <v>48</v>
      </c>
      <c r="U1943" s="81" t="s">
        <v>48</v>
      </c>
      <c r="V1943" s="81" t="s">
        <v>48</v>
      </c>
      <c r="W1943" s="81" t="s">
        <v>49</v>
      </c>
      <c r="X1943" s="81" t="s">
        <v>48</v>
      </c>
      <c r="Y1943" s="81" t="s">
        <v>48</v>
      </c>
    </row>
    <row r="1944" spans="1:25" x14ac:dyDescent="0.3">
      <c r="A1944" s="16">
        <v>7501299307236</v>
      </c>
      <c r="B1944" s="81" t="s">
        <v>43</v>
      </c>
      <c r="C1944" s="81" t="s">
        <v>4559</v>
      </c>
      <c r="D1944" s="81" t="s">
        <v>45</v>
      </c>
      <c r="E1944" s="81" t="s">
        <v>2227</v>
      </c>
      <c r="F1944" s="81" t="s">
        <v>2227</v>
      </c>
      <c r="G1944" s="81" t="s">
        <v>4517</v>
      </c>
      <c r="H1944" s="81" t="s">
        <v>2511</v>
      </c>
      <c r="I1944" s="81" t="s">
        <v>7022</v>
      </c>
      <c r="J1944" s="81" t="s">
        <v>2186</v>
      </c>
      <c r="K1944" s="81" t="s">
        <v>7022</v>
      </c>
      <c r="L1944" s="81" t="s">
        <v>2392</v>
      </c>
      <c r="M1944" s="81" t="s">
        <v>7022</v>
      </c>
      <c r="N1944" s="81" t="s">
        <v>2231</v>
      </c>
      <c r="O1944" s="81" t="s">
        <v>2187</v>
      </c>
      <c r="P1944" s="81" t="s">
        <v>2187</v>
      </c>
      <c r="Q1944" s="81" t="s">
        <v>43</v>
      </c>
      <c r="R1944" s="81" t="s">
        <v>374</v>
      </c>
      <c r="S1944" s="81" t="s">
        <v>47</v>
      </c>
      <c r="T1944" s="81" t="s">
        <v>48</v>
      </c>
      <c r="U1944" s="81" t="s">
        <v>48</v>
      </c>
      <c r="V1944" s="81" t="s">
        <v>48</v>
      </c>
      <c r="W1944" s="81" t="s">
        <v>49</v>
      </c>
      <c r="X1944" s="81" t="s">
        <v>48</v>
      </c>
      <c r="Y1944" s="81" t="s">
        <v>48</v>
      </c>
    </row>
    <row r="1945" spans="1:25" x14ac:dyDescent="0.3">
      <c r="A1945" s="16">
        <v>7506022330765</v>
      </c>
      <c r="B1945" s="81" t="s">
        <v>43</v>
      </c>
      <c r="C1945" s="81" t="s">
        <v>4620</v>
      </c>
      <c r="D1945" s="81" t="s">
        <v>45</v>
      </c>
      <c r="E1945" s="81" t="s">
        <v>2227</v>
      </c>
      <c r="F1945" s="81" t="s">
        <v>2227</v>
      </c>
      <c r="G1945" s="81" t="s">
        <v>4734</v>
      </c>
      <c r="H1945" s="81" t="s">
        <v>4735</v>
      </c>
      <c r="I1945" s="81" t="s">
        <v>7023</v>
      </c>
      <c r="J1945" s="81" t="s">
        <v>2186</v>
      </c>
      <c r="K1945" s="81" t="s">
        <v>7023</v>
      </c>
      <c r="L1945" s="81" t="s">
        <v>2392</v>
      </c>
      <c r="M1945" s="81" t="s">
        <v>7023</v>
      </c>
      <c r="N1945" s="81" t="s">
        <v>2231</v>
      </c>
      <c r="O1945" s="81" t="s">
        <v>2187</v>
      </c>
      <c r="P1945" s="81" t="s">
        <v>2187</v>
      </c>
      <c r="Q1945" s="81" t="s">
        <v>43</v>
      </c>
      <c r="R1945" s="81" t="s">
        <v>524</v>
      </c>
      <c r="S1945" s="81" t="s">
        <v>525</v>
      </c>
      <c r="T1945" s="81" t="s">
        <v>48</v>
      </c>
      <c r="U1945" s="81" t="s">
        <v>48</v>
      </c>
      <c r="V1945" s="81" t="s">
        <v>49</v>
      </c>
      <c r="W1945" s="81" t="s">
        <v>48</v>
      </c>
      <c r="X1945" s="81" t="s">
        <v>48</v>
      </c>
      <c r="Y1945" s="81" t="s">
        <v>48</v>
      </c>
    </row>
    <row r="1946" spans="1:25" x14ac:dyDescent="0.3">
      <c r="A1946" s="16">
        <v>7506022330772</v>
      </c>
      <c r="B1946" s="81" t="s">
        <v>43</v>
      </c>
      <c r="C1946" s="81" t="s">
        <v>4621</v>
      </c>
      <c r="D1946" s="81" t="s">
        <v>45</v>
      </c>
      <c r="E1946" s="81" t="s">
        <v>2227</v>
      </c>
      <c r="F1946" s="81" t="s">
        <v>2227</v>
      </c>
      <c r="G1946" s="81" t="s">
        <v>4734</v>
      </c>
      <c r="H1946" s="81" t="s">
        <v>7024</v>
      </c>
      <c r="I1946" s="81" t="s">
        <v>7025</v>
      </c>
      <c r="J1946" s="81" t="s">
        <v>2186</v>
      </c>
      <c r="K1946" s="81" t="s">
        <v>7025</v>
      </c>
      <c r="L1946" s="81" t="s">
        <v>2392</v>
      </c>
      <c r="M1946" s="81" t="s">
        <v>7025</v>
      </c>
      <c r="N1946" s="81" t="s">
        <v>2231</v>
      </c>
      <c r="O1946" s="81" t="s">
        <v>2187</v>
      </c>
      <c r="P1946" s="81" t="s">
        <v>2187</v>
      </c>
      <c r="Q1946" s="81" t="s">
        <v>43</v>
      </c>
      <c r="R1946" s="81" t="s">
        <v>524</v>
      </c>
      <c r="S1946" s="81" t="s">
        <v>525</v>
      </c>
      <c r="T1946" s="81" t="s">
        <v>48</v>
      </c>
      <c r="U1946" s="81" t="s">
        <v>48</v>
      </c>
      <c r="V1946" s="81" t="s">
        <v>49</v>
      </c>
      <c r="W1946" s="81" t="s">
        <v>48</v>
      </c>
      <c r="X1946" s="81" t="s">
        <v>48</v>
      </c>
      <c r="Y1946" s="81" t="s">
        <v>48</v>
      </c>
    </row>
    <row r="1947" spans="1:25" x14ac:dyDescent="0.3">
      <c r="A1947" s="16">
        <v>7506022330789</v>
      </c>
      <c r="B1947" s="81" t="s">
        <v>43</v>
      </c>
      <c r="C1947" s="81" t="s">
        <v>4622</v>
      </c>
      <c r="D1947" s="81" t="s">
        <v>45</v>
      </c>
      <c r="E1947" s="81" t="s">
        <v>2227</v>
      </c>
      <c r="F1947" s="81" t="s">
        <v>2227</v>
      </c>
      <c r="G1947" s="81" t="s">
        <v>4734</v>
      </c>
      <c r="H1947" s="81" t="s">
        <v>7024</v>
      </c>
      <c r="I1947" s="81" t="s">
        <v>7025</v>
      </c>
      <c r="J1947" s="81" t="s">
        <v>2186</v>
      </c>
      <c r="K1947" s="81" t="s">
        <v>7025</v>
      </c>
      <c r="L1947" s="81" t="s">
        <v>2392</v>
      </c>
      <c r="M1947" s="81" t="s">
        <v>7025</v>
      </c>
      <c r="N1947" s="81" t="s">
        <v>2231</v>
      </c>
      <c r="O1947" s="81" t="s">
        <v>2187</v>
      </c>
      <c r="P1947" s="81" t="s">
        <v>2187</v>
      </c>
      <c r="Q1947" s="81" t="s">
        <v>43</v>
      </c>
      <c r="R1947" s="81" t="s">
        <v>524</v>
      </c>
      <c r="S1947" s="81" t="s">
        <v>525</v>
      </c>
      <c r="T1947" s="81" t="s">
        <v>48</v>
      </c>
      <c r="U1947" s="81" t="s">
        <v>48</v>
      </c>
      <c r="V1947" s="81" t="s">
        <v>49</v>
      </c>
      <c r="W1947" s="81" t="s">
        <v>48</v>
      </c>
      <c r="X1947" s="81" t="s">
        <v>48</v>
      </c>
      <c r="Y1947" s="81" t="s">
        <v>48</v>
      </c>
    </row>
    <row r="1948" spans="1:25" x14ac:dyDescent="0.3">
      <c r="A1948" s="16">
        <v>7502216808645</v>
      </c>
      <c r="B1948" s="81" t="s">
        <v>43</v>
      </c>
      <c r="C1948" s="81" t="s">
        <v>4623</v>
      </c>
      <c r="D1948" s="81" t="s">
        <v>45</v>
      </c>
      <c r="E1948" s="81" t="s">
        <v>2227</v>
      </c>
      <c r="F1948" s="81" t="s">
        <v>2227</v>
      </c>
      <c r="G1948" s="81" t="s">
        <v>4624</v>
      </c>
      <c r="H1948" s="81" t="s">
        <v>2217</v>
      </c>
      <c r="I1948" s="81" t="s">
        <v>7026</v>
      </c>
      <c r="J1948" s="81" t="s">
        <v>2186</v>
      </c>
      <c r="K1948" s="81" t="s">
        <v>7026</v>
      </c>
      <c r="L1948" s="81" t="s">
        <v>2392</v>
      </c>
      <c r="M1948" s="81" t="s">
        <v>7026</v>
      </c>
      <c r="N1948" s="81" t="s">
        <v>2231</v>
      </c>
      <c r="O1948" s="81" t="s">
        <v>2187</v>
      </c>
      <c r="P1948" s="81" t="s">
        <v>2187</v>
      </c>
      <c r="Q1948" s="81" t="s">
        <v>43</v>
      </c>
      <c r="R1948" s="81" t="s">
        <v>46</v>
      </c>
      <c r="S1948" s="81" t="s">
        <v>47</v>
      </c>
      <c r="T1948" s="81" t="s">
        <v>48</v>
      </c>
      <c r="U1948" s="81" t="s">
        <v>48</v>
      </c>
      <c r="V1948" s="81" t="s">
        <v>48</v>
      </c>
      <c r="W1948" s="81" t="s">
        <v>49</v>
      </c>
      <c r="X1948" s="81" t="s">
        <v>48</v>
      </c>
      <c r="Y1948" s="81" t="s">
        <v>48</v>
      </c>
    </row>
    <row r="1949" spans="1:25" x14ac:dyDescent="0.3">
      <c r="A1949" s="16">
        <v>7506313000972</v>
      </c>
      <c r="B1949" s="81" t="s">
        <v>43</v>
      </c>
      <c r="C1949" s="81" t="s">
        <v>4625</v>
      </c>
      <c r="D1949" s="81" t="s">
        <v>45</v>
      </c>
      <c r="E1949" s="81" t="s">
        <v>2227</v>
      </c>
      <c r="F1949" s="81" t="s">
        <v>2227</v>
      </c>
      <c r="G1949" s="81" t="s">
        <v>4943</v>
      </c>
      <c r="H1949" s="81" t="s">
        <v>3247</v>
      </c>
      <c r="I1949" s="81" t="s">
        <v>7027</v>
      </c>
      <c r="J1949" s="81" t="s">
        <v>2186</v>
      </c>
      <c r="K1949" s="81" t="s">
        <v>7027</v>
      </c>
      <c r="L1949" s="81" t="s">
        <v>2392</v>
      </c>
      <c r="M1949" s="81" t="s">
        <v>7027</v>
      </c>
      <c r="N1949" s="81" t="s">
        <v>2231</v>
      </c>
      <c r="O1949" s="81" t="s">
        <v>2187</v>
      </c>
      <c r="P1949" s="81" t="s">
        <v>2187</v>
      </c>
      <c r="Q1949" s="81" t="s">
        <v>43</v>
      </c>
      <c r="R1949" s="81" t="s">
        <v>524</v>
      </c>
      <c r="S1949" s="81" t="s">
        <v>525</v>
      </c>
      <c r="T1949" s="81" t="s">
        <v>48</v>
      </c>
      <c r="U1949" s="81" t="s">
        <v>48</v>
      </c>
      <c r="V1949" s="81" t="s">
        <v>49</v>
      </c>
      <c r="W1949" s="81" t="s">
        <v>48</v>
      </c>
      <c r="X1949" s="81" t="s">
        <v>48</v>
      </c>
      <c r="Y1949" s="81" t="s">
        <v>48</v>
      </c>
    </row>
    <row r="1950" spans="1:25" x14ac:dyDescent="0.3">
      <c r="A1950" s="16">
        <v>7506313000155</v>
      </c>
      <c r="B1950" s="81" t="s">
        <v>43</v>
      </c>
      <c r="C1950" s="81" t="s">
        <v>4626</v>
      </c>
      <c r="D1950" s="81" t="s">
        <v>45</v>
      </c>
      <c r="E1950" s="81" t="s">
        <v>2227</v>
      </c>
      <c r="F1950" s="81" t="s">
        <v>2227</v>
      </c>
      <c r="G1950" s="81" t="s">
        <v>2201</v>
      </c>
      <c r="H1950" s="81" t="s">
        <v>3247</v>
      </c>
      <c r="I1950" s="81" t="s">
        <v>7028</v>
      </c>
      <c r="J1950" s="81" t="s">
        <v>2186</v>
      </c>
      <c r="K1950" s="81" t="s">
        <v>7028</v>
      </c>
      <c r="L1950" s="81" t="s">
        <v>2392</v>
      </c>
      <c r="M1950" s="81" t="s">
        <v>7028</v>
      </c>
      <c r="N1950" s="81" t="s">
        <v>2231</v>
      </c>
      <c r="O1950" s="81" t="s">
        <v>2187</v>
      </c>
      <c r="P1950" s="81" t="s">
        <v>2187</v>
      </c>
      <c r="Q1950" s="81" t="s">
        <v>43</v>
      </c>
      <c r="R1950" s="81" t="s">
        <v>524</v>
      </c>
      <c r="S1950" s="81" t="s">
        <v>525</v>
      </c>
      <c r="T1950" s="81" t="s">
        <v>48</v>
      </c>
      <c r="U1950" s="81" t="s">
        <v>48</v>
      </c>
      <c r="V1950" s="81" t="s">
        <v>49</v>
      </c>
      <c r="W1950" s="81" t="s">
        <v>48</v>
      </c>
      <c r="X1950" s="81" t="s">
        <v>48</v>
      </c>
      <c r="Y1950" s="81" t="s">
        <v>48</v>
      </c>
    </row>
    <row r="1951" spans="1:25" x14ac:dyDescent="0.3">
      <c r="A1951" s="16">
        <v>7506313001022</v>
      </c>
      <c r="B1951" s="81" t="s">
        <v>43</v>
      </c>
      <c r="C1951" s="81" t="s">
        <v>4627</v>
      </c>
      <c r="D1951" s="81" t="s">
        <v>45</v>
      </c>
      <c r="E1951" s="81" t="s">
        <v>2227</v>
      </c>
      <c r="F1951" s="81" t="s">
        <v>2227</v>
      </c>
      <c r="G1951" s="81" t="s">
        <v>4944</v>
      </c>
      <c r="H1951" s="81" t="s">
        <v>3231</v>
      </c>
      <c r="I1951" s="81" t="s">
        <v>7029</v>
      </c>
      <c r="J1951" s="81" t="s">
        <v>2186</v>
      </c>
      <c r="K1951" s="81" t="s">
        <v>7029</v>
      </c>
      <c r="L1951" s="81" t="s">
        <v>2392</v>
      </c>
      <c r="M1951" s="81" t="s">
        <v>7029</v>
      </c>
      <c r="N1951" s="81" t="s">
        <v>2231</v>
      </c>
      <c r="O1951" s="81" t="s">
        <v>2187</v>
      </c>
      <c r="P1951" s="81" t="s">
        <v>2187</v>
      </c>
      <c r="Q1951" s="81" t="s">
        <v>43</v>
      </c>
      <c r="R1951" s="81" t="s">
        <v>524</v>
      </c>
      <c r="S1951" s="81" t="s">
        <v>525</v>
      </c>
      <c r="T1951" s="81" t="s">
        <v>48</v>
      </c>
      <c r="U1951" s="81" t="s">
        <v>48</v>
      </c>
      <c r="V1951" s="81" t="s">
        <v>49</v>
      </c>
      <c r="W1951" s="81" t="s">
        <v>48</v>
      </c>
      <c r="X1951" s="81" t="s">
        <v>48</v>
      </c>
      <c r="Y1951" s="81" t="s">
        <v>48</v>
      </c>
    </row>
    <row r="1952" spans="1:25" x14ac:dyDescent="0.3">
      <c r="A1952" s="16">
        <v>7506313000216</v>
      </c>
      <c r="B1952" s="81" t="s">
        <v>43</v>
      </c>
      <c r="C1952" s="81" t="s">
        <v>4628</v>
      </c>
      <c r="D1952" s="81" t="s">
        <v>45</v>
      </c>
      <c r="E1952" s="81" t="s">
        <v>2227</v>
      </c>
      <c r="F1952" s="81" t="s">
        <v>2227</v>
      </c>
      <c r="G1952" s="81" t="s">
        <v>4943</v>
      </c>
      <c r="H1952" s="81" t="s">
        <v>3247</v>
      </c>
      <c r="I1952" s="81" t="s">
        <v>7030</v>
      </c>
      <c r="J1952" s="81" t="s">
        <v>2186</v>
      </c>
      <c r="K1952" s="81" t="s">
        <v>7030</v>
      </c>
      <c r="L1952" s="81" t="s">
        <v>2392</v>
      </c>
      <c r="M1952" s="81" t="s">
        <v>7030</v>
      </c>
      <c r="N1952" s="81" t="s">
        <v>2231</v>
      </c>
      <c r="O1952" s="81" t="s">
        <v>2187</v>
      </c>
      <c r="P1952" s="81" t="s">
        <v>2187</v>
      </c>
      <c r="Q1952" s="81" t="s">
        <v>43</v>
      </c>
      <c r="R1952" s="81" t="s">
        <v>524</v>
      </c>
      <c r="S1952" s="81" t="s">
        <v>525</v>
      </c>
      <c r="T1952" s="81" t="s">
        <v>48</v>
      </c>
      <c r="U1952" s="81" t="s">
        <v>48</v>
      </c>
      <c r="V1952" s="81" t="s">
        <v>49</v>
      </c>
      <c r="W1952" s="81" t="s">
        <v>48</v>
      </c>
      <c r="X1952" s="81" t="s">
        <v>48</v>
      </c>
      <c r="Y1952" s="81" t="s">
        <v>48</v>
      </c>
    </row>
    <row r="1953" spans="1:25" x14ac:dyDescent="0.3">
      <c r="A1953" s="16">
        <v>7506313000575</v>
      </c>
      <c r="B1953" s="81" t="s">
        <v>43</v>
      </c>
      <c r="C1953" s="81" t="s">
        <v>4629</v>
      </c>
      <c r="D1953" s="81" t="s">
        <v>45</v>
      </c>
      <c r="E1953" s="81" t="s">
        <v>2227</v>
      </c>
      <c r="F1953" s="81" t="s">
        <v>2227</v>
      </c>
      <c r="G1953" s="81" t="s">
        <v>4945</v>
      </c>
      <c r="H1953" s="81" t="s">
        <v>3247</v>
      </c>
      <c r="I1953" s="81" t="s">
        <v>7031</v>
      </c>
      <c r="J1953" s="81" t="s">
        <v>2186</v>
      </c>
      <c r="K1953" s="81" t="s">
        <v>7031</v>
      </c>
      <c r="L1953" s="81" t="s">
        <v>2392</v>
      </c>
      <c r="M1953" s="81" t="s">
        <v>7031</v>
      </c>
      <c r="N1953" s="81" t="s">
        <v>2231</v>
      </c>
      <c r="O1953" s="81" t="s">
        <v>2187</v>
      </c>
      <c r="P1953" s="81" t="s">
        <v>2187</v>
      </c>
      <c r="Q1953" s="81" t="s">
        <v>43</v>
      </c>
      <c r="R1953" s="81" t="s">
        <v>524</v>
      </c>
      <c r="S1953" s="81" t="s">
        <v>525</v>
      </c>
      <c r="T1953" s="81" t="s">
        <v>48</v>
      </c>
      <c r="U1953" s="81" t="s">
        <v>48</v>
      </c>
      <c r="V1953" s="81" t="s">
        <v>49</v>
      </c>
      <c r="W1953" s="81" t="s">
        <v>48</v>
      </c>
      <c r="X1953" s="81" t="s">
        <v>48</v>
      </c>
      <c r="Y1953" s="81" t="s">
        <v>48</v>
      </c>
    </row>
    <row r="1954" spans="1:25" x14ac:dyDescent="0.3">
      <c r="A1954" s="16">
        <v>7506313001039</v>
      </c>
      <c r="B1954" s="81" t="s">
        <v>43</v>
      </c>
      <c r="C1954" s="81" t="s">
        <v>4630</v>
      </c>
      <c r="D1954" s="81" t="s">
        <v>45</v>
      </c>
      <c r="E1954" s="81" t="s">
        <v>2227</v>
      </c>
      <c r="F1954" s="81" t="s">
        <v>2227</v>
      </c>
      <c r="G1954" s="81" t="s">
        <v>4946</v>
      </c>
      <c r="H1954" s="81" t="s">
        <v>3247</v>
      </c>
      <c r="I1954" s="81" t="s">
        <v>2971</v>
      </c>
      <c r="J1954" s="81" t="s">
        <v>2186</v>
      </c>
      <c r="K1954" s="81" t="s">
        <v>2971</v>
      </c>
      <c r="L1954" s="81" t="s">
        <v>2392</v>
      </c>
      <c r="M1954" s="81" t="s">
        <v>2971</v>
      </c>
      <c r="N1954" s="81" t="s">
        <v>2231</v>
      </c>
      <c r="O1954" s="81" t="s">
        <v>2187</v>
      </c>
      <c r="P1954" s="81" t="s">
        <v>2187</v>
      </c>
      <c r="Q1954" s="81" t="s">
        <v>43</v>
      </c>
      <c r="R1954" s="81" t="s">
        <v>524</v>
      </c>
      <c r="S1954" s="81" t="s">
        <v>525</v>
      </c>
      <c r="T1954" s="81" t="s">
        <v>48</v>
      </c>
      <c r="U1954" s="81" t="s">
        <v>48</v>
      </c>
      <c r="V1954" s="81" t="s">
        <v>49</v>
      </c>
      <c r="W1954" s="81" t="s">
        <v>48</v>
      </c>
      <c r="X1954" s="81" t="s">
        <v>48</v>
      </c>
      <c r="Y1954" s="81" t="s">
        <v>48</v>
      </c>
    </row>
    <row r="1955" spans="1:25" x14ac:dyDescent="0.3">
      <c r="A1955" s="16">
        <v>7506313000261</v>
      </c>
      <c r="B1955" s="81" t="s">
        <v>43</v>
      </c>
      <c r="C1955" s="81" t="s">
        <v>4632</v>
      </c>
      <c r="D1955" s="81" t="s">
        <v>45</v>
      </c>
      <c r="E1955" s="81" t="s">
        <v>2227</v>
      </c>
      <c r="F1955" s="81" t="s">
        <v>2227</v>
      </c>
      <c r="G1955" s="81" t="s">
        <v>3088</v>
      </c>
      <c r="H1955" s="81" t="s">
        <v>3041</v>
      </c>
      <c r="I1955" s="81" t="s">
        <v>6711</v>
      </c>
      <c r="J1955" s="81" t="s">
        <v>2186</v>
      </c>
      <c r="K1955" s="81" t="s">
        <v>6711</v>
      </c>
      <c r="L1955" s="81" t="s">
        <v>2392</v>
      </c>
      <c r="M1955" s="81" t="s">
        <v>6711</v>
      </c>
      <c r="N1955" s="81" t="s">
        <v>2231</v>
      </c>
      <c r="O1955" s="81" t="s">
        <v>2187</v>
      </c>
      <c r="P1955" s="81" t="s">
        <v>2187</v>
      </c>
      <c r="Q1955" s="81" t="s">
        <v>43</v>
      </c>
      <c r="R1955" s="81" t="s">
        <v>524</v>
      </c>
      <c r="S1955" s="81" t="s">
        <v>525</v>
      </c>
      <c r="T1955" s="81" t="s">
        <v>48</v>
      </c>
      <c r="U1955" s="81" t="s">
        <v>48</v>
      </c>
      <c r="V1955" s="81" t="s">
        <v>49</v>
      </c>
      <c r="W1955" s="81" t="s">
        <v>48</v>
      </c>
      <c r="X1955" s="81" t="s">
        <v>48</v>
      </c>
      <c r="Y1955" s="81" t="s">
        <v>48</v>
      </c>
    </row>
    <row r="1956" spans="1:25" x14ac:dyDescent="0.3">
      <c r="A1956" s="16">
        <v>7506313000254</v>
      </c>
      <c r="B1956" s="81" t="s">
        <v>43</v>
      </c>
      <c r="C1956" s="81" t="s">
        <v>4633</v>
      </c>
      <c r="D1956" s="81" t="s">
        <v>45</v>
      </c>
      <c r="E1956" s="81" t="s">
        <v>2227</v>
      </c>
      <c r="F1956" s="81" t="s">
        <v>2227</v>
      </c>
      <c r="G1956" s="81" t="s">
        <v>3088</v>
      </c>
      <c r="H1956" s="81" t="s">
        <v>3041</v>
      </c>
      <c r="I1956" s="81" t="s">
        <v>6711</v>
      </c>
      <c r="J1956" s="81" t="s">
        <v>2186</v>
      </c>
      <c r="K1956" s="81" t="s">
        <v>6711</v>
      </c>
      <c r="L1956" s="81" t="s">
        <v>2392</v>
      </c>
      <c r="M1956" s="81" t="s">
        <v>6711</v>
      </c>
      <c r="N1956" s="81" t="s">
        <v>2231</v>
      </c>
      <c r="O1956" s="81" t="s">
        <v>2187</v>
      </c>
      <c r="P1956" s="81" t="s">
        <v>2187</v>
      </c>
      <c r="Q1956" s="81" t="s">
        <v>43</v>
      </c>
      <c r="R1956" s="81" t="s">
        <v>524</v>
      </c>
      <c r="S1956" s="81" t="s">
        <v>525</v>
      </c>
      <c r="T1956" s="81" t="s">
        <v>48</v>
      </c>
      <c r="U1956" s="81" t="s">
        <v>48</v>
      </c>
      <c r="V1956" s="81" t="s">
        <v>49</v>
      </c>
      <c r="W1956" s="81" t="s">
        <v>48</v>
      </c>
      <c r="X1956" s="81" t="s">
        <v>48</v>
      </c>
      <c r="Y1956" s="81" t="s">
        <v>48</v>
      </c>
    </row>
    <row r="1957" spans="1:25" x14ac:dyDescent="0.3">
      <c r="A1957" s="16">
        <v>7506313000278</v>
      </c>
      <c r="B1957" s="81" t="s">
        <v>43</v>
      </c>
      <c r="C1957" s="81" t="s">
        <v>4634</v>
      </c>
      <c r="D1957" s="81" t="s">
        <v>45</v>
      </c>
      <c r="E1957" s="81" t="s">
        <v>2227</v>
      </c>
      <c r="F1957" s="81" t="s">
        <v>2227</v>
      </c>
      <c r="G1957" s="81" t="s">
        <v>3088</v>
      </c>
      <c r="H1957" s="81" t="s">
        <v>3041</v>
      </c>
      <c r="I1957" s="81" t="s">
        <v>6711</v>
      </c>
      <c r="J1957" s="81" t="s">
        <v>2186</v>
      </c>
      <c r="K1957" s="81" t="s">
        <v>6711</v>
      </c>
      <c r="L1957" s="81" t="s">
        <v>2392</v>
      </c>
      <c r="M1957" s="81" t="s">
        <v>6711</v>
      </c>
      <c r="N1957" s="81" t="s">
        <v>2231</v>
      </c>
      <c r="O1957" s="81" t="s">
        <v>2187</v>
      </c>
      <c r="P1957" s="81" t="s">
        <v>2187</v>
      </c>
      <c r="Q1957" s="81" t="s">
        <v>43</v>
      </c>
      <c r="R1957" s="81" t="s">
        <v>524</v>
      </c>
      <c r="S1957" s="81" t="s">
        <v>525</v>
      </c>
      <c r="T1957" s="81" t="s">
        <v>48</v>
      </c>
      <c r="U1957" s="81" t="s">
        <v>48</v>
      </c>
      <c r="V1957" s="81" t="s">
        <v>49</v>
      </c>
      <c r="W1957" s="81" t="s">
        <v>48</v>
      </c>
      <c r="X1957" s="81" t="s">
        <v>48</v>
      </c>
      <c r="Y1957" s="81" t="s">
        <v>48</v>
      </c>
    </row>
    <row r="1958" spans="1:25" x14ac:dyDescent="0.3">
      <c r="A1958" s="16">
        <v>7506313000186</v>
      </c>
      <c r="B1958" s="81" t="s">
        <v>43</v>
      </c>
      <c r="C1958" s="81" t="s">
        <v>4635</v>
      </c>
      <c r="D1958" s="81" t="s">
        <v>45</v>
      </c>
      <c r="E1958" s="81" t="s">
        <v>2227</v>
      </c>
      <c r="F1958" s="81" t="s">
        <v>2227</v>
      </c>
      <c r="G1958" s="81" t="s">
        <v>4636</v>
      </c>
      <c r="H1958" s="81" t="s">
        <v>3738</v>
      </c>
      <c r="I1958" s="81" t="s">
        <v>7032</v>
      </c>
      <c r="J1958" s="81" t="s">
        <v>2186</v>
      </c>
      <c r="K1958" s="81" t="s">
        <v>7032</v>
      </c>
      <c r="L1958" s="81" t="s">
        <v>2392</v>
      </c>
      <c r="M1958" s="81" t="s">
        <v>7032</v>
      </c>
      <c r="N1958" s="81" t="s">
        <v>2231</v>
      </c>
      <c r="O1958" s="81" t="s">
        <v>2187</v>
      </c>
      <c r="P1958" s="81" t="s">
        <v>2187</v>
      </c>
      <c r="Q1958" s="81" t="s">
        <v>43</v>
      </c>
      <c r="R1958" s="81" t="s">
        <v>524</v>
      </c>
      <c r="S1958" s="81" t="s">
        <v>525</v>
      </c>
      <c r="T1958" s="81" t="s">
        <v>48</v>
      </c>
      <c r="U1958" s="81" t="s">
        <v>48</v>
      </c>
      <c r="V1958" s="81" t="s">
        <v>49</v>
      </c>
      <c r="W1958" s="81" t="s">
        <v>48</v>
      </c>
      <c r="X1958" s="81" t="s">
        <v>48</v>
      </c>
      <c r="Y1958" s="81" t="s">
        <v>48</v>
      </c>
    </row>
    <row r="1959" spans="1:25" x14ac:dyDescent="0.3">
      <c r="A1959" s="16">
        <v>7506313000407</v>
      </c>
      <c r="B1959" s="81" t="s">
        <v>43</v>
      </c>
      <c r="C1959" s="81" t="s">
        <v>4637</v>
      </c>
      <c r="D1959" s="81" t="s">
        <v>45</v>
      </c>
      <c r="E1959" s="81" t="s">
        <v>2227</v>
      </c>
      <c r="F1959" s="81" t="s">
        <v>2227</v>
      </c>
      <c r="G1959" s="81" t="s">
        <v>4638</v>
      </c>
      <c r="H1959" s="81" t="s">
        <v>2365</v>
      </c>
      <c r="I1959" s="81" t="s">
        <v>7033</v>
      </c>
      <c r="J1959" s="81" t="s">
        <v>2186</v>
      </c>
      <c r="K1959" s="81" t="s">
        <v>7033</v>
      </c>
      <c r="L1959" s="81" t="s">
        <v>2392</v>
      </c>
      <c r="M1959" s="81" t="s">
        <v>7033</v>
      </c>
      <c r="N1959" s="81" t="s">
        <v>2231</v>
      </c>
      <c r="O1959" s="81" t="s">
        <v>2187</v>
      </c>
      <c r="P1959" s="81" t="s">
        <v>2187</v>
      </c>
      <c r="Q1959" s="81" t="s">
        <v>43</v>
      </c>
      <c r="R1959" s="81" t="s">
        <v>524</v>
      </c>
      <c r="S1959" s="81" t="s">
        <v>525</v>
      </c>
      <c r="T1959" s="81" t="s">
        <v>48</v>
      </c>
      <c r="U1959" s="81" t="s">
        <v>48</v>
      </c>
      <c r="V1959" s="81" t="s">
        <v>49</v>
      </c>
      <c r="W1959" s="81" t="s">
        <v>48</v>
      </c>
      <c r="X1959" s="81" t="s">
        <v>48</v>
      </c>
      <c r="Y1959" s="81" t="s">
        <v>48</v>
      </c>
    </row>
    <row r="1960" spans="1:25" x14ac:dyDescent="0.3">
      <c r="A1960" s="16">
        <v>7503006381003</v>
      </c>
      <c r="B1960" s="81" t="s">
        <v>43</v>
      </c>
      <c r="C1960" s="81" t="s">
        <v>4653</v>
      </c>
      <c r="D1960" s="81" t="s">
        <v>45</v>
      </c>
      <c r="E1960" s="81" t="s">
        <v>2227</v>
      </c>
      <c r="F1960" s="81" t="s">
        <v>2227</v>
      </c>
      <c r="G1960" s="81" t="s">
        <v>4284</v>
      </c>
      <c r="H1960" s="81" t="s">
        <v>3041</v>
      </c>
      <c r="I1960" s="81" t="s">
        <v>7034</v>
      </c>
      <c r="J1960" s="81" t="s">
        <v>2186</v>
      </c>
      <c r="K1960" s="81" t="s">
        <v>7034</v>
      </c>
      <c r="L1960" s="81" t="s">
        <v>2392</v>
      </c>
      <c r="M1960" s="81" t="s">
        <v>7034</v>
      </c>
      <c r="N1960" s="81" t="s">
        <v>2231</v>
      </c>
      <c r="O1960" s="81" t="s">
        <v>2187</v>
      </c>
      <c r="P1960" s="81" t="s">
        <v>2187</v>
      </c>
      <c r="Q1960" s="81" t="s">
        <v>43</v>
      </c>
      <c r="R1960" s="81" t="s">
        <v>1191</v>
      </c>
      <c r="S1960" s="81" t="s">
        <v>1192</v>
      </c>
      <c r="T1960" s="81" t="s">
        <v>48</v>
      </c>
      <c r="U1960" s="81" t="s">
        <v>48</v>
      </c>
      <c r="V1960" s="81" t="s">
        <v>49</v>
      </c>
      <c r="W1960" s="81" t="s">
        <v>48</v>
      </c>
      <c r="X1960" s="81" t="s">
        <v>48</v>
      </c>
      <c r="Y1960" s="81" t="s">
        <v>48</v>
      </c>
    </row>
    <row r="1961" spans="1:25" x14ac:dyDescent="0.3">
      <c r="A1961" s="16">
        <v>75003006388996</v>
      </c>
      <c r="B1961" s="81" t="s">
        <v>43</v>
      </c>
      <c r="C1961" s="81" t="s">
        <v>4647</v>
      </c>
      <c r="D1961" s="81" t="s">
        <v>45</v>
      </c>
      <c r="E1961" s="81" t="s">
        <v>2227</v>
      </c>
      <c r="F1961" s="81" t="s">
        <v>2227</v>
      </c>
      <c r="G1961" s="81" t="s">
        <v>4285</v>
      </c>
      <c r="H1961" s="81" t="s">
        <v>2943</v>
      </c>
      <c r="I1961" s="81" t="s">
        <v>7035</v>
      </c>
      <c r="J1961" s="81" t="s">
        <v>2186</v>
      </c>
      <c r="K1961" s="81" t="s">
        <v>7035</v>
      </c>
      <c r="L1961" s="81" t="s">
        <v>2392</v>
      </c>
      <c r="M1961" s="81" t="s">
        <v>7035</v>
      </c>
      <c r="N1961" s="81" t="s">
        <v>2231</v>
      </c>
      <c r="O1961" s="81" t="s">
        <v>2187</v>
      </c>
      <c r="P1961" s="81" t="s">
        <v>2187</v>
      </c>
      <c r="Q1961" s="81" t="s">
        <v>43</v>
      </c>
      <c r="R1961" s="81" t="s">
        <v>122</v>
      </c>
      <c r="S1961" s="81" t="s">
        <v>123</v>
      </c>
      <c r="T1961" s="81" t="s">
        <v>48</v>
      </c>
      <c r="U1961" s="81" t="s">
        <v>48</v>
      </c>
      <c r="V1961" s="81" t="s">
        <v>49</v>
      </c>
      <c r="W1961" s="81" t="s">
        <v>48</v>
      </c>
      <c r="X1961" s="81" t="s">
        <v>48</v>
      </c>
      <c r="Y1961" s="81" t="s">
        <v>48</v>
      </c>
    </row>
    <row r="1962" spans="1:25" x14ac:dyDescent="0.3">
      <c r="A1962" s="16">
        <v>7702031244509</v>
      </c>
      <c r="B1962" s="81" t="s">
        <v>43</v>
      </c>
      <c r="C1962" s="81" t="s">
        <v>4648</v>
      </c>
      <c r="D1962" s="81" t="s">
        <v>45</v>
      </c>
      <c r="E1962" s="81" t="s">
        <v>2227</v>
      </c>
      <c r="F1962" s="81" t="s">
        <v>2227</v>
      </c>
      <c r="G1962" s="81" t="s">
        <v>3509</v>
      </c>
      <c r="H1962" s="81" t="s">
        <v>3186</v>
      </c>
      <c r="I1962" s="81" t="s">
        <v>3234</v>
      </c>
      <c r="J1962" s="81" t="s">
        <v>2186</v>
      </c>
      <c r="K1962" s="81" t="s">
        <v>3234</v>
      </c>
      <c r="L1962" s="81" t="s">
        <v>2392</v>
      </c>
      <c r="M1962" s="81" t="s">
        <v>3234</v>
      </c>
      <c r="N1962" s="81" t="s">
        <v>2231</v>
      </c>
      <c r="O1962" s="81" t="s">
        <v>2187</v>
      </c>
      <c r="P1962" s="81" t="s">
        <v>2187</v>
      </c>
      <c r="Q1962" s="81" t="s">
        <v>43</v>
      </c>
      <c r="R1962" s="81" t="s">
        <v>524</v>
      </c>
      <c r="S1962" s="81" t="s">
        <v>525</v>
      </c>
      <c r="T1962" s="81" t="s">
        <v>48</v>
      </c>
      <c r="U1962" s="81" t="s">
        <v>48</v>
      </c>
      <c r="V1962" s="81" t="s">
        <v>49</v>
      </c>
      <c r="W1962" s="81" t="s">
        <v>48</v>
      </c>
      <c r="X1962" s="81" t="s">
        <v>48</v>
      </c>
      <c r="Y1962" s="81" t="s">
        <v>48</v>
      </c>
    </row>
    <row r="1963" spans="1:25" x14ac:dyDescent="0.3">
      <c r="A1963" s="16">
        <v>780083147419</v>
      </c>
      <c r="B1963" s="81" t="s">
        <v>43</v>
      </c>
      <c r="C1963" s="81" t="s">
        <v>4681</v>
      </c>
      <c r="D1963" s="81" t="s">
        <v>45</v>
      </c>
      <c r="E1963" s="81" t="s">
        <v>2227</v>
      </c>
      <c r="F1963" s="81" t="s">
        <v>2227</v>
      </c>
      <c r="G1963" s="81" t="s">
        <v>4872</v>
      </c>
      <c r="H1963" s="81" t="s">
        <v>4785</v>
      </c>
      <c r="I1963" s="81" t="s">
        <v>2286</v>
      </c>
      <c r="J1963" s="81" t="s">
        <v>2186</v>
      </c>
      <c r="K1963" s="81" t="s">
        <v>2286</v>
      </c>
      <c r="L1963" s="81" t="s">
        <v>2392</v>
      </c>
      <c r="M1963" s="81" t="s">
        <v>2286</v>
      </c>
      <c r="N1963" s="81" t="s">
        <v>2231</v>
      </c>
      <c r="O1963" s="81" t="s">
        <v>2187</v>
      </c>
      <c r="P1963" s="81" t="s">
        <v>2187</v>
      </c>
      <c r="Q1963" s="81" t="s">
        <v>43</v>
      </c>
      <c r="R1963" s="81" t="s">
        <v>46</v>
      </c>
      <c r="S1963" s="81" t="s">
        <v>46</v>
      </c>
      <c r="T1963" s="81" t="s">
        <v>48</v>
      </c>
      <c r="U1963" s="81" t="s">
        <v>48</v>
      </c>
      <c r="V1963" s="81" t="s">
        <v>48</v>
      </c>
      <c r="W1963" s="81" t="s">
        <v>49</v>
      </c>
      <c r="X1963" s="81" t="s">
        <v>48</v>
      </c>
      <c r="Y1963" s="81" t="s">
        <v>48</v>
      </c>
    </row>
    <row r="1964" spans="1:25" x14ac:dyDescent="0.3">
      <c r="A1964" s="16">
        <v>8901120020768</v>
      </c>
      <c r="B1964" s="81" t="s">
        <v>43</v>
      </c>
      <c r="C1964" s="81" t="s">
        <v>4682</v>
      </c>
      <c r="D1964" s="81" t="s">
        <v>45</v>
      </c>
      <c r="E1964" s="81" t="s">
        <v>2227</v>
      </c>
      <c r="F1964" s="81" t="s">
        <v>2227</v>
      </c>
      <c r="G1964" s="81" t="s">
        <v>4719</v>
      </c>
      <c r="H1964" s="81" t="s">
        <v>7036</v>
      </c>
      <c r="I1964" s="81" t="s">
        <v>7037</v>
      </c>
      <c r="J1964" s="81" t="s">
        <v>2186</v>
      </c>
      <c r="K1964" s="81" t="s">
        <v>7037</v>
      </c>
      <c r="L1964" s="81" t="s">
        <v>2392</v>
      </c>
      <c r="M1964" s="81" t="s">
        <v>7037</v>
      </c>
      <c r="N1964" s="81" t="s">
        <v>2231</v>
      </c>
      <c r="O1964" s="81" t="s">
        <v>2187</v>
      </c>
      <c r="P1964" s="81" t="s">
        <v>2187</v>
      </c>
      <c r="Q1964" s="81" t="s">
        <v>43</v>
      </c>
      <c r="R1964" s="81" t="s">
        <v>46</v>
      </c>
      <c r="S1964" s="81" t="s">
        <v>46</v>
      </c>
      <c r="T1964" s="81" t="s">
        <v>48</v>
      </c>
      <c r="U1964" s="81" t="s">
        <v>48</v>
      </c>
      <c r="V1964" s="81" t="s">
        <v>48</v>
      </c>
      <c r="W1964" s="81" t="s">
        <v>49</v>
      </c>
      <c r="X1964" s="81" t="s">
        <v>48</v>
      </c>
      <c r="Y1964" s="81" t="s">
        <v>48</v>
      </c>
    </row>
    <row r="1965" spans="1:25" x14ac:dyDescent="0.3">
      <c r="A1965" s="16">
        <v>7501130741960</v>
      </c>
      <c r="B1965" s="81" t="s">
        <v>43</v>
      </c>
      <c r="C1965" s="81" t="s">
        <v>4683</v>
      </c>
      <c r="D1965" s="81" t="s">
        <v>45</v>
      </c>
      <c r="E1965" s="81" t="s">
        <v>2227</v>
      </c>
      <c r="F1965" s="81" t="s">
        <v>2227</v>
      </c>
      <c r="G1965" s="81" t="s">
        <v>4684</v>
      </c>
      <c r="H1965" s="81" t="s">
        <v>4685</v>
      </c>
      <c r="I1965" s="81" t="s">
        <v>7038</v>
      </c>
      <c r="J1965" s="81" t="s">
        <v>2186</v>
      </c>
      <c r="K1965" s="81" t="s">
        <v>7038</v>
      </c>
      <c r="L1965" s="81" t="s">
        <v>2392</v>
      </c>
      <c r="M1965" s="81" t="s">
        <v>7038</v>
      </c>
      <c r="N1965" s="81" t="s">
        <v>2231</v>
      </c>
      <c r="O1965" s="81" t="s">
        <v>2187</v>
      </c>
      <c r="P1965" s="81" t="s">
        <v>2187</v>
      </c>
      <c r="Q1965" s="81" t="s">
        <v>43</v>
      </c>
      <c r="R1965" s="81" t="s">
        <v>101</v>
      </c>
      <c r="S1965" s="81" t="s">
        <v>101</v>
      </c>
      <c r="T1965" s="81" t="s">
        <v>48</v>
      </c>
      <c r="U1965" s="81" t="s">
        <v>48</v>
      </c>
      <c r="V1965" s="81" t="s">
        <v>49</v>
      </c>
      <c r="W1965" s="81" t="s">
        <v>48</v>
      </c>
      <c r="X1965" s="81" t="s">
        <v>48</v>
      </c>
      <c r="Y1965" s="81" t="s">
        <v>48</v>
      </c>
    </row>
    <row r="1966" spans="1:25" x14ac:dyDescent="0.3">
      <c r="A1966" s="16">
        <v>7502276040375</v>
      </c>
      <c r="B1966" s="81" t="s">
        <v>43</v>
      </c>
      <c r="C1966" s="81" t="s">
        <v>4686</v>
      </c>
      <c r="D1966" s="81" t="s">
        <v>45</v>
      </c>
      <c r="E1966" s="81" t="s">
        <v>2227</v>
      </c>
      <c r="F1966" s="81" t="s">
        <v>2227</v>
      </c>
      <c r="G1966" s="81" t="s">
        <v>5355</v>
      </c>
      <c r="H1966" s="81" t="s">
        <v>2260</v>
      </c>
      <c r="I1966" s="81" t="s">
        <v>5525</v>
      </c>
      <c r="J1966" s="81" t="s">
        <v>2186</v>
      </c>
      <c r="K1966" s="81" t="s">
        <v>5525</v>
      </c>
      <c r="L1966" s="81" t="s">
        <v>2392</v>
      </c>
      <c r="M1966" s="81" t="s">
        <v>5525</v>
      </c>
      <c r="N1966" s="81" t="s">
        <v>2231</v>
      </c>
      <c r="O1966" s="81" t="s">
        <v>2187</v>
      </c>
      <c r="P1966" s="81" t="s">
        <v>2187</v>
      </c>
      <c r="Q1966" s="81" t="s">
        <v>43</v>
      </c>
      <c r="R1966" s="81" t="s">
        <v>374</v>
      </c>
      <c r="S1966" s="81" t="s">
        <v>47</v>
      </c>
      <c r="T1966" s="81" t="s">
        <v>48</v>
      </c>
      <c r="U1966" s="81" t="s">
        <v>48</v>
      </c>
      <c r="V1966" s="81" t="s">
        <v>48</v>
      </c>
      <c r="W1966" s="81" t="s">
        <v>49</v>
      </c>
      <c r="X1966" s="81" t="s">
        <v>48</v>
      </c>
      <c r="Y1966" s="81" t="s">
        <v>48</v>
      </c>
    </row>
    <row r="1967" spans="1:25" x14ac:dyDescent="0.3">
      <c r="A1967" s="16">
        <v>7501109763986</v>
      </c>
      <c r="B1967" s="81" t="s">
        <v>43</v>
      </c>
      <c r="C1967" s="81" t="s">
        <v>4687</v>
      </c>
      <c r="D1967" s="81" t="s">
        <v>45</v>
      </c>
      <c r="E1967" s="81" t="s">
        <v>2227</v>
      </c>
      <c r="F1967" s="81" t="s">
        <v>2227</v>
      </c>
      <c r="G1967" s="81" t="s">
        <v>5077</v>
      </c>
      <c r="H1967" s="81" t="s">
        <v>2236</v>
      </c>
      <c r="I1967" s="81" t="s">
        <v>2797</v>
      </c>
      <c r="J1967" s="81" t="s">
        <v>2186</v>
      </c>
      <c r="K1967" s="81" t="s">
        <v>2797</v>
      </c>
      <c r="L1967" s="81" t="s">
        <v>2392</v>
      </c>
      <c r="M1967" s="81" t="s">
        <v>2797</v>
      </c>
      <c r="N1967" s="81" t="s">
        <v>2231</v>
      </c>
      <c r="O1967" s="81" t="s">
        <v>2187</v>
      </c>
      <c r="P1967" s="81" t="s">
        <v>2187</v>
      </c>
      <c r="Q1967" s="81" t="s">
        <v>43</v>
      </c>
      <c r="R1967" s="81" t="s">
        <v>46</v>
      </c>
      <c r="S1967" s="81" t="s">
        <v>46</v>
      </c>
      <c r="T1967" s="81" t="s">
        <v>48</v>
      </c>
      <c r="U1967" s="81" t="s">
        <v>48</v>
      </c>
      <c r="V1967" s="81" t="s">
        <v>48</v>
      </c>
      <c r="W1967" s="81" t="s">
        <v>49</v>
      </c>
      <c r="X1967" s="81" t="s">
        <v>48</v>
      </c>
      <c r="Y1967" s="81" t="s">
        <v>48</v>
      </c>
    </row>
    <row r="1968" spans="1:25" x14ac:dyDescent="0.3">
      <c r="A1968" s="16">
        <v>7501109760770</v>
      </c>
      <c r="B1968" s="81" t="s">
        <v>43</v>
      </c>
      <c r="C1968" s="81" t="s">
        <v>4688</v>
      </c>
      <c r="D1968" s="81" t="s">
        <v>45</v>
      </c>
      <c r="E1968" s="81" t="s">
        <v>2227</v>
      </c>
      <c r="F1968" s="81" t="s">
        <v>2227</v>
      </c>
      <c r="G1968" s="81" t="s">
        <v>5078</v>
      </c>
      <c r="H1968" s="81" t="s">
        <v>2206</v>
      </c>
      <c r="I1968" s="81" t="s">
        <v>7039</v>
      </c>
      <c r="J1968" s="81" t="s">
        <v>2186</v>
      </c>
      <c r="K1968" s="81" t="s">
        <v>7039</v>
      </c>
      <c r="L1968" s="81" t="s">
        <v>2392</v>
      </c>
      <c r="M1968" s="81" t="s">
        <v>7039</v>
      </c>
      <c r="N1968" s="81" t="s">
        <v>2231</v>
      </c>
      <c r="O1968" s="81" t="s">
        <v>2187</v>
      </c>
      <c r="P1968" s="81" t="s">
        <v>2187</v>
      </c>
      <c r="Q1968" s="81" t="s">
        <v>43</v>
      </c>
      <c r="R1968" s="81" t="s">
        <v>46</v>
      </c>
      <c r="S1968" s="81" t="s">
        <v>46</v>
      </c>
      <c r="T1968" s="81" t="s">
        <v>48</v>
      </c>
      <c r="U1968" s="81" t="s">
        <v>48</v>
      </c>
      <c r="V1968" s="81" t="s">
        <v>48</v>
      </c>
      <c r="W1968" s="81" t="s">
        <v>49</v>
      </c>
      <c r="X1968" s="81" t="s">
        <v>48</v>
      </c>
      <c r="Y1968" s="81" t="s">
        <v>48</v>
      </c>
    </row>
    <row r="1969" spans="1:25" x14ac:dyDescent="0.3">
      <c r="A1969" s="16">
        <v>7501258205078</v>
      </c>
      <c r="B1969" s="81" t="s">
        <v>43</v>
      </c>
      <c r="C1969" s="81" t="s">
        <v>4689</v>
      </c>
      <c r="D1969" s="81" t="s">
        <v>45</v>
      </c>
      <c r="E1969" s="81" t="s">
        <v>2227</v>
      </c>
      <c r="F1969" s="81" t="s">
        <v>2227</v>
      </c>
      <c r="G1969" s="81" t="s">
        <v>4984</v>
      </c>
      <c r="H1969" s="81" t="s">
        <v>2193</v>
      </c>
      <c r="I1969" s="81" t="s">
        <v>7040</v>
      </c>
      <c r="J1969" s="81" t="s">
        <v>2186</v>
      </c>
      <c r="K1969" s="81" t="s">
        <v>7040</v>
      </c>
      <c r="L1969" s="81" t="s">
        <v>2392</v>
      </c>
      <c r="M1969" s="81" t="s">
        <v>7040</v>
      </c>
      <c r="N1969" s="81" t="s">
        <v>2231</v>
      </c>
      <c r="O1969" s="81" t="s">
        <v>2187</v>
      </c>
      <c r="P1969" s="81" t="s">
        <v>2187</v>
      </c>
      <c r="Q1969" s="81" t="s">
        <v>43</v>
      </c>
      <c r="R1969" s="81" t="s">
        <v>46</v>
      </c>
      <c r="S1969" s="81" t="s">
        <v>46</v>
      </c>
      <c r="T1969" s="81" t="s">
        <v>48</v>
      </c>
      <c r="U1969" s="81" t="s">
        <v>48</v>
      </c>
      <c r="V1969" s="81" t="s">
        <v>48</v>
      </c>
      <c r="W1969" s="81" t="s">
        <v>49</v>
      </c>
      <c r="X1969" s="81" t="s">
        <v>48</v>
      </c>
      <c r="Y1969" s="81" t="s">
        <v>48</v>
      </c>
    </row>
    <row r="1970" spans="1:25" x14ac:dyDescent="0.3">
      <c r="A1970" s="16" t="s">
        <v>4690</v>
      </c>
      <c r="B1970" s="81" t="s">
        <v>43</v>
      </c>
      <c r="C1970" s="81" t="s">
        <v>4691</v>
      </c>
      <c r="D1970" s="81" t="s">
        <v>45</v>
      </c>
      <c r="E1970" s="81" t="s">
        <v>2465</v>
      </c>
      <c r="F1970" s="81" t="s">
        <v>2210</v>
      </c>
      <c r="G1970" s="81" t="s">
        <v>3067</v>
      </c>
      <c r="H1970" s="81" t="s">
        <v>7041</v>
      </c>
      <c r="I1970" s="81" t="s">
        <v>7042</v>
      </c>
      <c r="J1970" s="81" t="s">
        <v>2186</v>
      </c>
      <c r="K1970" s="81" t="s">
        <v>7042</v>
      </c>
      <c r="L1970" s="81" t="s">
        <v>2392</v>
      </c>
      <c r="M1970" s="81" t="s">
        <v>7042</v>
      </c>
      <c r="N1970" s="81" t="s">
        <v>2231</v>
      </c>
      <c r="O1970" s="81" t="s">
        <v>2187</v>
      </c>
      <c r="P1970" s="81" t="s">
        <v>2187</v>
      </c>
      <c r="Q1970" s="81" t="s">
        <v>43</v>
      </c>
      <c r="R1970" s="81" t="s">
        <v>203</v>
      </c>
      <c r="S1970" s="81" t="s">
        <v>203</v>
      </c>
      <c r="T1970" s="81" t="s">
        <v>48</v>
      </c>
      <c r="U1970" s="81" t="s">
        <v>48</v>
      </c>
      <c r="V1970" s="81" t="s">
        <v>48</v>
      </c>
      <c r="W1970" s="81" t="s">
        <v>49</v>
      </c>
      <c r="X1970" s="81" t="s">
        <v>48</v>
      </c>
      <c r="Y1970" s="81" t="s">
        <v>49</v>
      </c>
    </row>
    <row r="1971" spans="1:25" x14ac:dyDescent="0.3">
      <c r="A1971" s="16" t="s">
        <v>4692</v>
      </c>
      <c r="B1971" s="81" t="s">
        <v>43</v>
      </c>
      <c r="C1971" s="81" t="s">
        <v>4693</v>
      </c>
      <c r="D1971" s="81" t="s">
        <v>45</v>
      </c>
      <c r="E1971" s="81" t="s">
        <v>2227</v>
      </c>
      <c r="F1971" s="81" t="s">
        <v>2227</v>
      </c>
      <c r="G1971" s="81" t="s">
        <v>4019</v>
      </c>
      <c r="H1971" s="81" t="s">
        <v>4940</v>
      </c>
      <c r="I1971" s="81" t="s">
        <v>7043</v>
      </c>
      <c r="J1971" s="81" t="s">
        <v>2186</v>
      </c>
      <c r="K1971" s="81" t="s">
        <v>7043</v>
      </c>
      <c r="L1971" s="81" t="s">
        <v>2392</v>
      </c>
      <c r="M1971" s="81" t="s">
        <v>7043</v>
      </c>
      <c r="N1971" s="81" t="s">
        <v>2231</v>
      </c>
      <c r="O1971" s="81" t="s">
        <v>2187</v>
      </c>
      <c r="P1971" s="81" t="s">
        <v>2187</v>
      </c>
      <c r="Q1971" s="81" t="s">
        <v>43</v>
      </c>
      <c r="R1971" s="81" t="s">
        <v>203</v>
      </c>
      <c r="S1971" s="81" t="s">
        <v>203</v>
      </c>
      <c r="T1971" s="81" t="s">
        <v>48</v>
      </c>
      <c r="U1971" s="81" t="s">
        <v>48</v>
      </c>
      <c r="V1971" s="81" t="s">
        <v>48</v>
      </c>
      <c r="W1971" s="81" t="s">
        <v>49</v>
      </c>
      <c r="X1971" s="81" t="s">
        <v>48</v>
      </c>
      <c r="Y1971" s="81" t="s">
        <v>48</v>
      </c>
    </row>
    <row r="1972" spans="1:25" x14ac:dyDescent="0.3">
      <c r="A1972" s="16">
        <v>7501563380316</v>
      </c>
      <c r="B1972" s="81" t="s">
        <v>43</v>
      </c>
      <c r="C1972" s="81" t="s">
        <v>4694</v>
      </c>
      <c r="D1972" s="81" t="s">
        <v>45</v>
      </c>
      <c r="E1972" s="81" t="s">
        <v>2227</v>
      </c>
      <c r="F1972" s="81" t="s">
        <v>2227</v>
      </c>
      <c r="G1972" s="81" t="s">
        <v>4044</v>
      </c>
      <c r="H1972" s="81" t="s">
        <v>2318</v>
      </c>
      <c r="I1972" s="81" t="s">
        <v>2797</v>
      </c>
      <c r="J1972" s="81" t="s">
        <v>2186</v>
      </c>
      <c r="K1972" s="81" t="s">
        <v>2797</v>
      </c>
      <c r="L1972" s="81" t="s">
        <v>2392</v>
      </c>
      <c r="M1972" s="81" t="s">
        <v>2797</v>
      </c>
      <c r="N1972" s="81" t="s">
        <v>2231</v>
      </c>
      <c r="O1972" s="81" t="s">
        <v>2187</v>
      </c>
      <c r="P1972" s="81" t="s">
        <v>2187</v>
      </c>
      <c r="Q1972" s="81" t="s">
        <v>43</v>
      </c>
      <c r="R1972" s="81" t="s">
        <v>51</v>
      </c>
      <c r="S1972" s="81" t="s">
        <v>47</v>
      </c>
      <c r="T1972" s="81" t="s">
        <v>48</v>
      </c>
      <c r="U1972" s="81" t="s">
        <v>48</v>
      </c>
      <c r="V1972" s="81" t="s">
        <v>48</v>
      </c>
      <c r="W1972" s="81" t="s">
        <v>49</v>
      </c>
      <c r="X1972" s="81" t="s">
        <v>48</v>
      </c>
      <c r="Y1972" s="81" t="s">
        <v>48</v>
      </c>
    </row>
    <row r="1973" spans="1:25" x14ac:dyDescent="0.3">
      <c r="A1973" s="16" t="s">
        <v>4695</v>
      </c>
      <c r="B1973" s="81" t="s">
        <v>43</v>
      </c>
      <c r="C1973" s="81" t="s">
        <v>4758</v>
      </c>
      <c r="D1973" s="81" t="s">
        <v>45</v>
      </c>
      <c r="E1973" s="81" t="s">
        <v>2357</v>
      </c>
      <c r="F1973" s="81" t="s">
        <v>2457</v>
      </c>
      <c r="G1973" s="81" t="s">
        <v>4545</v>
      </c>
      <c r="H1973" s="81" t="s">
        <v>2193</v>
      </c>
      <c r="I1973" s="81" t="s">
        <v>7044</v>
      </c>
      <c r="J1973" s="81" t="s">
        <v>2186</v>
      </c>
      <c r="K1973" s="81" t="s">
        <v>7044</v>
      </c>
      <c r="L1973" s="81" t="s">
        <v>2392</v>
      </c>
      <c r="M1973" s="81" t="s">
        <v>7044</v>
      </c>
      <c r="N1973" s="81" t="s">
        <v>2231</v>
      </c>
      <c r="O1973" s="81" t="s">
        <v>2187</v>
      </c>
      <c r="P1973" s="81" t="s">
        <v>2187</v>
      </c>
      <c r="Q1973" s="81" t="s">
        <v>43</v>
      </c>
      <c r="R1973" s="81" t="s">
        <v>46</v>
      </c>
      <c r="S1973" s="81" t="s">
        <v>47</v>
      </c>
      <c r="T1973" s="81" t="s">
        <v>48</v>
      </c>
      <c r="U1973" s="81" t="s">
        <v>48</v>
      </c>
      <c r="V1973" s="81" t="s">
        <v>48</v>
      </c>
      <c r="W1973" s="81" t="s">
        <v>49</v>
      </c>
      <c r="X1973" s="81" t="s">
        <v>48</v>
      </c>
      <c r="Y1973" s="81" t="s">
        <v>48</v>
      </c>
    </row>
    <row r="1974" spans="1:25" x14ac:dyDescent="0.3">
      <c r="A1974" s="16" t="s">
        <v>4696</v>
      </c>
      <c r="B1974" s="81" t="s">
        <v>43</v>
      </c>
      <c r="C1974" s="81" t="s">
        <v>4759</v>
      </c>
      <c r="D1974" s="81" t="s">
        <v>45</v>
      </c>
      <c r="E1974" s="81" t="s">
        <v>2529</v>
      </c>
      <c r="F1974" s="81" t="s">
        <v>2848</v>
      </c>
      <c r="G1974" s="81" t="s">
        <v>2847</v>
      </c>
      <c r="H1974" s="81" t="s">
        <v>2843</v>
      </c>
      <c r="I1974" s="81" t="s">
        <v>2844</v>
      </c>
      <c r="J1974" s="81" t="s">
        <v>2186</v>
      </c>
      <c r="K1974" s="81" t="s">
        <v>2845</v>
      </c>
      <c r="L1974" s="81" t="s">
        <v>2392</v>
      </c>
      <c r="M1974" s="81" t="s">
        <v>2846</v>
      </c>
      <c r="N1974" s="81" t="s">
        <v>2231</v>
      </c>
      <c r="O1974" s="81" t="s">
        <v>2187</v>
      </c>
      <c r="P1974" s="81" t="s">
        <v>2187</v>
      </c>
      <c r="Q1974" s="81" t="s">
        <v>43</v>
      </c>
      <c r="R1974" s="81" t="s">
        <v>462</v>
      </c>
      <c r="S1974" s="81" t="s">
        <v>462</v>
      </c>
      <c r="T1974" s="81" t="s">
        <v>48</v>
      </c>
      <c r="U1974" s="81" t="s">
        <v>48</v>
      </c>
      <c r="V1974" s="81" t="s">
        <v>49</v>
      </c>
      <c r="W1974" s="81" t="s">
        <v>48</v>
      </c>
      <c r="X1974" s="81" t="s">
        <v>48</v>
      </c>
      <c r="Y1974" s="81" t="s">
        <v>48</v>
      </c>
    </row>
    <row r="1975" spans="1:25" x14ac:dyDescent="0.3">
      <c r="A1975" s="16" t="s">
        <v>4697</v>
      </c>
      <c r="B1975" s="81" t="s">
        <v>43</v>
      </c>
      <c r="C1975" s="81" t="s">
        <v>4760</v>
      </c>
      <c r="D1975" s="81" t="s">
        <v>45</v>
      </c>
      <c r="E1975" s="81" t="s">
        <v>2793</v>
      </c>
      <c r="F1975" s="81" t="s">
        <v>3169</v>
      </c>
      <c r="G1975" s="81" t="s">
        <v>2847</v>
      </c>
      <c r="H1975" s="81" t="s">
        <v>2843</v>
      </c>
      <c r="I1975" s="81" t="s">
        <v>2844</v>
      </c>
      <c r="J1975" s="81" t="s">
        <v>2186</v>
      </c>
      <c r="K1975" s="81" t="s">
        <v>2845</v>
      </c>
      <c r="L1975" s="81" t="s">
        <v>2392</v>
      </c>
      <c r="M1975" s="81" t="s">
        <v>2846</v>
      </c>
      <c r="N1975" s="81" t="s">
        <v>2231</v>
      </c>
      <c r="O1975" s="81" t="s">
        <v>2187</v>
      </c>
      <c r="P1975" s="81" t="s">
        <v>2187</v>
      </c>
      <c r="Q1975" s="81" t="s">
        <v>43</v>
      </c>
      <c r="R1975" s="81" t="s">
        <v>462</v>
      </c>
      <c r="S1975" s="81" t="s">
        <v>462</v>
      </c>
      <c r="T1975" s="81" t="s">
        <v>48</v>
      </c>
      <c r="U1975" s="81" t="s">
        <v>48</v>
      </c>
      <c r="V1975" s="81" t="s">
        <v>49</v>
      </c>
      <c r="W1975" s="81" t="s">
        <v>48</v>
      </c>
      <c r="X1975" s="81" t="s">
        <v>48</v>
      </c>
      <c r="Y1975" s="81" t="s">
        <v>48</v>
      </c>
    </row>
    <row r="1976" spans="1:25" x14ac:dyDescent="0.3">
      <c r="A1976" s="16" t="s">
        <v>4698</v>
      </c>
      <c r="B1976" s="81" t="s">
        <v>43</v>
      </c>
      <c r="C1976" s="81" t="s">
        <v>4699</v>
      </c>
      <c r="D1976" s="81" t="s">
        <v>45</v>
      </c>
      <c r="E1976" s="81" t="s">
        <v>2227</v>
      </c>
      <c r="F1976" s="81" t="s">
        <v>2227</v>
      </c>
      <c r="G1976" s="81" t="s">
        <v>3908</v>
      </c>
      <c r="H1976" s="81" t="s">
        <v>6685</v>
      </c>
      <c r="I1976" s="81" t="s">
        <v>6686</v>
      </c>
      <c r="J1976" s="81" t="s">
        <v>2186</v>
      </c>
      <c r="K1976" s="81" t="s">
        <v>6686</v>
      </c>
      <c r="L1976" s="81" t="s">
        <v>2392</v>
      </c>
      <c r="M1976" s="81" t="s">
        <v>6686</v>
      </c>
      <c r="N1976" s="81" t="s">
        <v>2231</v>
      </c>
      <c r="O1976" s="81" t="s">
        <v>2187</v>
      </c>
      <c r="P1976" s="81" t="s">
        <v>2187</v>
      </c>
      <c r="Q1976" s="81" t="s">
        <v>43</v>
      </c>
      <c r="R1976" s="81" t="s">
        <v>203</v>
      </c>
      <c r="S1976" s="81" t="s">
        <v>203</v>
      </c>
      <c r="T1976" s="81" t="s">
        <v>48</v>
      </c>
      <c r="U1976" s="81" t="s">
        <v>48</v>
      </c>
      <c r="V1976" s="81" t="s">
        <v>49</v>
      </c>
      <c r="W1976" s="81" t="s">
        <v>48</v>
      </c>
      <c r="X1976" s="81" t="s">
        <v>48</v>
      </c>
      <c r="Y1976" s="81" t="s">
        <v>48</v>
      </c>
    </row>
    <row r="1977" spans="1:25" x14ac:dyDescent="0.3">
      <c r="A1977" s="16">
        <v>7503028771622</v>
      </c>
      <c r="B1977" s="81" t="s">
        <v>43</v>
      </c>
      <c r="C1977" s="81" t="s">
        <v>4712</v>
      </c>
      <c r="D1977" s="81" t="s">
        <v>45</v>
      </c>
      <c r="E1977" s="81" t="s">
        <v>2227</v>
      </c>
      <c r="F1977" s="81" t="s">
        <v>2227</v>
      </c>
      <c r="G1977" s="81" t="s">
        <v>2228</v>
      </c>
      <c r="H1977" s="81" t="s">
        <v>2190</v>
      </c>
      <c r="I1977" s="81" t="s">
        <v>7045</v>
      </c>
      <c r="J1977" s="81" t="s">
        <v>2186</v>
      </c>
      <c r="K1977" s="81" t="s">
        <v>7045</v>
      </c>
      <c r="L1977" s="81" t="s">
        <v>2392</v>
      </c>
      <c r="M1977" s="81" t="s">
        <v>7045</v>
      </c>
      <c r="N1977" s="81" t="s">
        <v>2231</v>
      </c>
      <c r="O1977" s="81" t="s">
        <v>2187</v>
      </c>
      <c r="P1977" s="81" t="s">
        <v>2187</v>
      </c>
      <c r="Q1977" s="81" t="s">
        <v>43</v>
      </c>
      <c r="R1977" s="81" t="s">
        <v>46</v>
      </c>
      <c r="S1977" s="81" t="s">
        <v>46</v>
      </c>
      <c r="T1977" s="81" t="s">
        <v>48</v>
      </c>
      <c r="U1977" s="81" t="s">
        <v>48</v>
      </c>
      <c r="V1977" s="81" t="s">
        <v>48</v>
      </c>
      <c r="W1977" s="81" t="s">
        <v>49</v>
      </c>
      <c r="X1977" s="81" t="s">
        <v>48</v>
      </c>
      <c r="Y1977" s="81" t="s">
        <v>48</v>
      </c>
    </row>
    <row r="1978" spans="1:25" x14ac:dyDescent="0.3">
      <c r="A1978" s="16">
        <v>7506022331502</v>
      </c>
      <c r="B1978" s="81" t="s">
        <v>43</v>
      </c>
      <c r="C1978" s="81" t="s">
        <v>4720</v>
      </c>
      <c r="D1978" s="81" t="s">
        <v>45</v>
      </c>
      <c r="E1978" s="81" t="s">
        <v>2227</v>
      </c>
      <c r="F1978" s="81" t="s">
        <v>2227</v>
      </c>
      <c r="G1978" s="81" t="s">
        <v>7046</v>
      </c>
      <c r="H1978" s="81" t="s">
        <v>3501</v>
      </c>
      <c r="I1978" s="81" t="s">
        <v>7047</v>
      </c>
      <c r="J1978" s="81" t="s">
        <v>2186</v>
      </c>
      <c r="K1978" s="81" t="s">
        <v>7047</v>
      </c>
      <c r="L1978" s="81" t="s">
        <v>2392</v>
      </c>
      <c r="M1978" s="81" t="s">
        <v>7047</v>
      </c>
      <c r="N1978" s="81" t="s">
        <v>2231</v>
      </c>
      <c r="O1978" s="81" t="s">
        <v>2187</v>
      </c>
      <c r="P1978" s="81" t="s">
        <v>2187</v>
      </c>
      <c r="Q1978" s="81" t="s">
        <v>43</v>
      </c>
      <c r="R1978" s="81" t="s">
        <v>46</v>
      </c>
      <c r="S1978" s="81" t="s">
        <v>47</v>
      </c>
      <c r="T1978" s="81" t="s">
        <v>48</v>
      </c>
      <c r="U1978" s="81" t="s">
        <v>48</v>
      </c>
      <c r="V1978" s="81" t="s">
        <v>48</v>
      </c>
      <c r="W1978" s="81" t="s">
        <v>49</v>
      </c>
      <c r="X1978" s="81" t="s">
        <v>48</v>
      </c>
      <c r="Y1978" s="81" t="s">
        <v>48</v>
      </c>
    </row>
    <row r="1979" spans="1:25" x14ac:dyDescent="0.3">
      <c r="A1979" s="16">
        <v>7841141004303</v>
      </c>
      <c r="B1979" s="81" t="s">
        <v>43</v>
      </c>
      <c r="C1979" s="81" t="s">
        <v>4736</v>
      </c>
      <c r="D1979" s="81" t="s">
        <v>45</v>
      </c>
      <c r="E1979" s="81" t="s">
        <v>2227</v>
      </c>
      <c r="F1979" s="81" t="s">
        <v>2227</v>
      </c>
      <c r="G1979" s="81" t="s">
        <v>4737</v>
      </c>
      <c r="H1979" s="81" t="s">
        <v>4738</v>
      </c>
      <c r="I1979" s="81" t="s">
        <v>4739</v>
      </c>
      <c r="J1979" s="81" t="s">
        <v>2186</v>
      </c>
      <c r="K1979" s="81" t="s">
        <v>4739</v>
      </c>
      <c r="L1979" s="81" t="s">
        <v>2392</v>
      </c>
      <c r="M1979" s="81" t="s">
        <v>4739</v>
      </c>
      <c r="N1979" s="81" t="s">
        <v>2231</v>
      </c>
      <c r="O1979" s="81" t="s">
        <v>2187</v>
      </c>
      <c r="P1979" s="81" t="s">
        <v>2187</v>
      </c>
      <c r="Q1979" s="81" t="s">
        <v>43</v>
      </c>
      <c r="R1979" s="81" t="s">
        <v>374</v>
      </c>
      <c r="S1979" s="81" t="s">
        <v>374</v>
      </c>
      <c r="T1979" s="81" t="s">
        <v>48</v>
      </c>
      <c r="U1979" s="81" t="s">
        <v>48</v>
      </c>
      <c r="V1979" s="81" t="s">
        <v>48</v>
      </c>
      <c r="W1979" s="81" t="s">
        <v>49</v>
      </c>
      <c r="X1979" s="81" t="s">
        <v>48</v>
      </c>
      <c r="Y1979" s="81" t="s">
        <v>48</v>
      </c>
    </row>
    <row r="1980" spans="1:25" x14ac:dyDescent="0.3">
      <c r="A1980" s="16">
        <v>5056227208298</v>
      </c>
      <c r="B1980" s="81" t="s">
        <v>43</v>
      </c>
      <c r="C1980" s="81" t="s">
        <v>4740</v>
      </c>
      <c r="D1980" s="81" t="s">
        <v>45</v>
      </c>
      <c r="E1980" s="81" t="s">
        <v>2227</v>
      </c>
      <c r="F1980" s="81" t="s">
        <v>2227</v>
      </c>
      <c r="G1980" s="81" t="s">
        <v>4741</v>
      </c>
      <c r="H1980" s="81" t="s">
        <v>4065</v>
      </c>
      <c r="I1980" s="81" t="s">
        <v>3952</v>
      </c>
      <c r="J1980" s="81" t="s">
        <v>2186</v>
      </c>
      <c r="K1980" s="81" t="s">
        <v>3952</v>
      </c>
      <c r="L1980" s="81" t="s">
        <v>2392</v>
      </c>
      <c r="M1980" s="81" t="s">
        <v>3952</v>
      </c>
      <c r="N1980" s="81" t="s">
        <v>2231</v>
      </c>
      <c r="O1980" s="81" t="s">
        <v>2187</v>
      </c>
      <c r="P1980" s="81" t="s">
        <v>2187</v>
      </c>
      <c r="Q1980" s="81" t="s">
        <v>43</v>
      </c>
      <c r="R1980" s="81" t="s">
        <v>374</v>
      </c>
      <c r="S1980" s="81" t="s">
        <v>374</v>
      </c>
      <c r="T1980" s="81" t="s">
        <v>48</v>
      </c>
      <c r="U1980" s="81" t="s">
        <v>48</v>
      </c>
      <c r="V1980" s="81" t="s">
        <v>48</v>
      </c>
      <c r="W1980" s="81" t="s">
        <v>49</v>
      </c>
      <c r="X1980" s="81" t="s">
        <v>48</v>
      </c>
      <c r="Y1980" s="81" t="s">
        <v>48</v>
      </c>
    </row>
    <row r="1981" spans="1:25" x14ac:dyDescent="0.3">
      <c r="A1981" s="16">
        <v>7502216805019</v>
      </c>
      <c r="B1981" s="81" t="s">
        <v>43</v>
      </c>
      <c r="C1981" s="81" t="s">
        <v>4742</v>
      </c>
      <c r="D1981" s="81" t="s">
        <v>45</v>
      </c>
      <c r="E1981" s="81" t="s">
        <v>2227</v>
      </c>
      <c r="F1981" s="81" t="s">
        <v>2227</v>
      </c>
      <c r="G1981" s="81" t="s">
        <v>3930</v>
      </c>
      <c r="H1981" s="81" t="s">
        <v>2237</v>
      </c>
      <c r="I1981" s="81" t="s">
        <v>7048</v>
      </c>
      <c r="J1981" s="81" t="s">
        <v>2186</v>
      </c>
      <c r="K1981" s="81" t="s">
        <v>7048</v>
      </c>
      <c r="L1981" s="81" t="s">
        <v>2392</v>
      </c>
      <c r="M1981" s="81" t="s">
        <v>7048</v>
      </c>
      <c r="N1981" s="81" t="s">
        <v>2231</v>
      </c>
      <c r="O1981" s="81" t="s">
        <v>2187</v>
      </c>
      <c r="P1981" s="81" t="s">
        <v>2187</v>
      </c>
      <c r="Q1981" s="81" t="s">
        <v>43</v>
      </c>
      <c r="R1981" s="81" t="s">
        <v>46</v>
      </c>
      <c r="S1981" s="81" t="s">
        <v>47</v>
      </c>
      <c r="T1981" s="81" t="s">
        <v>48</v>
      </c>
      <c r="U1981" s="81" t="s">
        <v>48</v>
      </c>
      <c r="V1981" s="81" t="s">
        <v>48</v>
      </c>
      <c r="W1981" s="81" t="s">
        <v>49</v>
      </c>
      <c r="X1981" s="81" t="s">
        <v>48</v>
      </c>
      <c r="Y1981" s="81" t="s">
        <v>48</v>
      </c>
    </row>
    <row r="1982" spans="1:25" x14ac:dyDescent="0.3">
      <c r="A1982" s="16">
        <v>7502009749414</v>
      </c>
      <c r="B1982" s="81" t="s">
        <v>43</v>
      </c>
      <c r="C1982" s="81" t="s">
        <v>4744</v>
      </c>
      <c r="D1982" s="81" t="s">
        <v>45</v>
      </c>
      <c r="E1982" s="81" t="s">
        <v>2227</v>
      </c>
      <c r="F1982" s="81" t="s">
        <v>2227</v>
      </c>
      <c r="G1982" s="81" t="s">
        <v>5305</v>
      </c>
      <c r="H1982" s="81" t="s">
        <v>2386</v>
      </c>
      <c r="I1982" s="81" t="s">
        <v>2941</v>
      </c>
      <c r="J1982" s="81" t="s">
        <v>2186</v>
      </c>
      <c r="K1982" s="81" t="s">
        <v>2480</v>
      </c>
      <c r="L1982" s="81" t="s">
        <v>2392</v>
      </c>
      <c r="M1982" s="81" t="s">
        <v>2426</v>
      </c>
      <c r="N1982" s="81" t="s">
        <v>2231</v>
      </c>
      <c r="O1982" s="81" t="s">
        <v>2187</v>
      </c>
      <c r="P1982" s="81" t="s">
        <v>2187</v>
      </c>
      <c r="Q1982" s="81" t="s">
        <v>43</v>
      </c>
      <c r="R1982" s="81" t="s">
        <v>46</v>
      </c>
      <c r="S1982" s="81" t="s">
        <v>46</v>
      </c>
      <c r="T1982" s="81" t="s">
        <v>48</v>
      </c>
      <c r="U1982" s="81" t="s">
        <v>48</v>
      </c>
      <c r="V1982" s="81" t="s">
        <v>48</v>
      </c>
      <c r="W1982" s="81" t="s">
        <v>49</v>
      </c>
      <c r="X1982" s="81" t="s">
        <v>48</v>
      </c>
      <c r="Y1982" s="81" t="s">
        <v>48</v>
      </c>
    </row>
    <row r="1983" spans="1:25" x14ac:dyDescent="0.3">
      <c r="A1983" s="16">
        <v>7891317048822</v>
      </c>
      <c r="B1983" s="81" t="s">
        <v>43</v>
      </c>
      <c r="C1983" s="81" t="s">
        <v>4761</v>
      </c>
      <c r="D1983" s="81" t="s">
        <v>45</v>
      </c>
      <c r="E1983" s="81" t="s">
        <v>2227</v>
      </c>
      <c r="F1983" s="81" t="s">
        <v>2227</v>
      </c>
      <c r="G1983" s="81" t="s">
        <v>3464</v>
      </c>
      <c r="H1983" s="81" t="s">
        <v>2667</v>
      </c>
      <c r="I1983" s="81" t="s">
        <v>7049</v>
      </c>
      <c r="J1983" s="81" t="s">
        <v>2186</v>
      </c>
      <c r="K1983" s="81" t="s">
        <v>7049</v>
      </c>
      <c r="L1983" s="81" t="s">
        <v>2392</v>
      </c>
      <c r="M1983" s="81" t="s">
        <v>7049</v>
      </c>
      <c r="N1983" s="81" t="s">
        <v>2231</v>
      </c>
      <c r="O1983" s="81" t="s">
        <v>2187</v>
      </c>
      <c r="P1983" s="81" t="s">
        <v>2187</v>
      </c>
      <c r="Q1983" s="81" t="s">
        <v>43</v>
      </c>
      <c r="R1983" s="81" t="s">
        <v>203</v>
      </c>
      <c r="S1983" s="81" t="s">
        <v>203</v>
      </c>
      <c r="T1983" s="81" t="s">
        <v>48</v>
      </c>
      <c r="U1983" s="81" t="s">
        <v>48</v>
      </c>
      <c r="V1983" s="81" t="s">
        <v>48</v>
      </c>
      <c r="W1983" s="81" t="s">
        <v>49</v>
      </c>
      <c r="X1983" s="81" t="s">
        <v>48</v>
      </c>
      <c r="Y1983" s="81" t="s">
        <v>48</v>
      </c>
    </row>
    <row r="1984" spans="1:25" x14ac:dyDescent="0.3">
      <c r="A1984" s="16">
        <v>7891317048815</v>
      </c>
      <c r="B1984" s="81" t="s">
        <v>43</v>
      </c>
      <c r="C1984" s="81" t="s">
        <v>4762</v>
      </c>
      <c r="D1984" s="81" t="s">
        <v>45</v>
      </c>
      <c r="E1984" s="81" t="s">
        <v>2227</v>
      </c>
      <c r="F1984" s="81" t="s">
        <v>2227</v>
      </c>
      <c r="G1984" s="81" t="s">
        <v>4763</v>
      </c>
      <c r="H1984" s="81" t="s">
        <v>4764</v>
      </c>
      <c r="I1984" s="81" t="s">
        <v>7050</v>
      </c>
      <c r="J1984" s="81" t="s">
        <v>2186</v>
      </c>
      <c r="K1984" s="81" t="s">
        <v>7050</v>
      </c>
      <c r="L1984" s="81" t="s">
        <v>2392</v>
      </c>
      <c r="M1984" s="81" t="s">
        <v>7050</v>
      </c>
      <c r="N1984" s="81" t="s">
        <v>2231</v>
      </c>
      <c r="O1984" s="81" t="s">
        <v>2187</v>
      </c>
      <c r="P1984" s="81" t="s">
        <v>2187</v>
      </c>
      <c r="Q1984" s="81" t="s">
        <v>43</v>
      </c>
      <c r="R1984" s="81" t="s">
        <v>203</v>
      </c>
      <c r="S1984" s="81" t="s">
        <v>203</v>
      </c>
      <c r="T1984" s="81" t="s">
        <v>48</v>
      </c>
      <c r="U1984" s="81" t="s">
        <v>48</v>
      </c>
      <c r="V1984" s="81" t="s">
        <v>48</v>
      </c>
      <c r="W1984" s="81" t="s">
        <v>49</v>
      </c>
      <c r="X1984" s="81" t="s">
        <v>48</v>
      </c>
      <c r="Y1984" s="81" t="s">
        <v>48</v>
      </c>
    </row>
    <row r="1985" spans="1:25" x14ac:dyDescent="0.3">
      <c r="A1985" s="16">
        <v>7891317048846</v>
      </c>
      <c r="B1985" s="81" t="s">
        <v>43</v>
      </c>
      <c r="C1985" s="81" t="s">
        <v>4765</v>
      </c>
      <c r="D1985" s="81" t="s">
        <v>45</v>
      </c>
      <c r="E1985" s="81" t="s">
        <v>2227</v>
      </c>
      <c r="F1985" s="81" t="s">
        <v>2227</v>
      </c>
      <c r="G1985" s="81" t="s">
        <v>4766</v>
      </c>
      <c r="H1985" s="81" t="s">
        <v>2462</v>
      </c>
      <c r="I1985" s="81" t="s">
        <v>7051</v>
      </c>
      <c r="J1985" s="81" t="s">
        <v>2186</v>
      </c>
      <c r="K1985" s="81" t="s">
        <v>7051</v>
      </c>
      <c r="L1985" s="81" t="s">
        <v>2392</v>
      </c>
      <c r="M1985" s="81" t="s">
        <v>7051</v>
      </c>
      <c r="N1985" s="81" t="s">
        <v>2231</v>
      </c>
      <c r="O1985" s="81" t="s">
        <v>2187</v>
      </c>
      <c r="P1985" s="81" t="s">
        <v>2187</v>
      </c>
      <c r="Q1985" s="81" t="s">
        <v>43</v>
      </c>
      <c r="R1985" s="81" t="s">
        <v>203</v>
      </c>
      <c r="S1985" s="81" t="s">
        <v>203</v>
      </c>
      <c r="T1985" s="81" t="s">
        <v>48</v>
      </c>
      <c r="U1985" s="81" t="s">
        <v>48</v>
      </c>
      <c r="V1985" s="81" t="s">
        <v>48</v>
      </c>
      <c r="W1985" s="81" t="s">
        <v>49</v>
      </c>
      <c r="X1985" s="81" t="s">
        <v>48</v>
      </c>
      <c r="Y1985" s="81" t="s">
        <v>48</v>
      </c>
    </row>
    <row r="1986" spans="1:25" x14ac:dyDescent="0.3">
      <c r="A1986" s="16">
        <v>7501258214469</v>
      </c>
      <c r="B1986" s="81" t="s">
        <v>43</v>
      </c>
      <c r="C1986" s="81" t="s">
        <v>4777</v>
      </c>
      <c r="D1986" s="81" t="s">
        <v>45</v>
      </c>
      <c r="E1986" s="81" t="s">
        <v>2227</v>
      </c>
      <c r="F1986" s="81" t="s">
        <v>2227</v>
      </c>
      <c r="G1986" s="81" t="s">
        <v>5061</v>
      </c>
      <c r="H1986" s="81" t="s">
        <v>2400</v>
      </c>
      <c r="I1986" s="81" t="s">
        <v>5577</v>
      </c>
      <c r="J1986" s="81" t="s">
        <v>2186</v>
      </c>
      <c r="K1986" s="81" t="s">
        <v>5577</v>
      </c>
      <c r="L1986" s="81" t="s">
        <v>2392</v>
      </c>
      <c r="M1986" s="81" t="s">
        <v>5577</v>
      </c>
      <c r="N1986" s="81" t="s">
        <v>2231</v>
      </c>
      <c r="O1986" s="81" t="s">
        <v>2187</v>
      </c>
      <c r="P1986" s="81" t="s">
        <v>2187</v>
      </c>
      <c r="Q1986" s="81" t="s">
        <v>43</v>
      </c>
      <c r="R1986" s="81" t="s">
        <v>46</v>
      </c>
      <c r="S1986" s="81" t="s">
        <v>47</v>
      </c>
      <c r="T1986" s="81" t="s">
        <v>48</v>
      </c>
      <c r="U1986" s="81" t="s">
        <v>48</v>
      </c>
      <c r="V1986" s="81" t="s">
        <v>48</v>
      </c>
      <c r="W1986" s="81" t="s">
        <v>49</v>
      </c>
      <c r="X1986" s="81" t="s">
        <v>48</v>
      </c>
      <c r="Y1986" s="81" t="s">
        <v>48</v>
      </c>
    </row>
    <row r="1987" spans="1:25" x14ac:dyDescent="0.3">
      <c r="A1987" s="16">
        <v>7501943471337</v>
      </c>
      <c r="B1987" s="81" t="s">
        <v>43</v>
      </c>
      <c r="C1987" s="81" t="s">
        <v>4873</v>
      </c>
      <c r="D1987" s="81" t="s">
        <v>45</v>
      </c>
      <c r="E1987" s="81" t="s">
        <v>2227</v>
      </c>
      <c r="F1987" s="81" t="s">
        <v>2227</v>
      </c>
      <c r="G1987" s="81" t="s">
        <v>4874</v>
      </c>
      <c r="H1987" s="81" t="s">
        <v>6152</v>
      </c>
      <c r="I1987" s="81" t="s">
        <v>7052</v>
      </c>
      <c r="J1987" s="81" t="s">
        <v>2186</v>
      </c>
      <c r="K1987" s="81" t="s">
        <v>7052</v>
      </c>
      <c r="L1987" s="81" t="s">
        <v>2392</v>
      </c>
      <c r="M1987" s="81" t="s">
        <v>7052</v>
      </c>
      <c r="N1987" s="81" t="s">
        <v>2231</v>
      </c>
      <c r="O1987" s="81" t="s">
        <v>2187</v>
      </c>
      <c r="P1987" s="81" t="s">
        <v>2187</v>
      </c>
      <c r="Q1987" s="81" t="s">
        <v>43</v>
      </c>
      <c r="R1987" s="81" t="s">
        <v>525</v>
      </c>
      <c r="S1987" s="81" t="s">
        <v>525</v>
      </c>
      <c r="T1987" s="81" t="s">
        <v>48</v>
      </c>
      <c r="U1987" s="81" t="s">
        <v>48</v>
      </c>
      <c r="V1987" s="81" t="s">
        <v>49</v>
      </c>
      <c r="W1987" s="81" t="s">
        <v>48</v>
      </c>
      <c r="X1987" s="81" t="s">
        <v>48</v>
      </c>
      <c r="Y1987" s="81" t="s">
        <v>48</v>
      </c>
    </row>
    <row r="1988" spans="1:25" x14ac:dyDescent="0.3">
      <c r="A1988" s="16">
        <v>729513133479</v>
      </c>
      <c r="B1988" s="81" t="s">
        <v>43</v>
      </c>
      <c r="C1988" s="81" t="s">
        <v>4786</v>
      </c>
      <c r="D1988" s="81" t="s">
        <v>45</v>
      </c>
      <c r="E1988" s="81" t="s">
        <v>2227</v>
      </c>
      <c r="F1988" s="81" t="s">
        <v>2227</v>
      </c>
      <c r="G1988" s="81" t="s">
        <v>4787</v>
      </c>
      <c r="H1988" s="81" t="s">
        <v>7053</v>
      </c>
      <c r="I1988" s="81" t="s">
        <v>7054</v>
      </c>
      <c r="J1988" s="81" t="s">
        <v>2186</v>
      </c>
      <c r="K1988" s="81" t="s">
        <v>7054</v>
      </c>
      <c r="L1988" s="81" t="s">
        <v>2392</v>
      </c>
      <c r="M1988" s="81" t="s">
        <v>7054</v>
      </c>
      <c r="N1988" s="81" t="s">
        <v>2231</v>
      </c>
      <c r="O1988" s="81" t="s">
        <v>2187</v>
      </c>
      <c r="P1988" s="81" t="s">
        <v>2187</v>
      </c>
      <c r="Q1988" s="81" t="s">
        <v>43</v>
      </c>
      <c r="R1988" s="81" t="s">
        <v>122</v>
      </c>
      <c r="S1988" s="81" t="s">
        <v>122</v>
      </c>
      <c r="T1988" s="81" t="s">
        <v>48</v>
      </c>
      <c r="U1988" s="81" t="s">
        <v>48</v>
      </c>
      <c r="V1988" s="81" t="s">
        <v>49</v>
      </c>
      <c r="W1988" s="81" t="s">
        <v>48</v>
      </c>
      <c r="X1988" s="81" t="s">
        <v>48</v>
      </c>
      <c r="Y1988" s="81" t="s">
        <v>48</v>
      </c>
    </row>
    <row r="1989" spans="1:25" x14ac:dyDescent="0.3">
      <c r="A1989" s="16">
        <v>729513133493</v>
      </c>
      <c r="B1989" s="81" t="s">
        <v>43</v>
      </c>
      <c r="C1989" s="81" t="s">
        <v>4788</v>
      </c>
      <c r="D1989" s="81" t="s">
        <v>45</v>
      </c>
      <c r="E1989" s="81" t="s">
        <v>2227</v>
      </c>
      <c r="F1989" s="81" t="s">
        <v>2227</v>
      </c>
      <c r="G1989" s="81" t="s">
        <v>4787</v>
      </c>
      <c r="H1989" s="81" t="s">
        <v>7053</v>
      </c>
      <c r="I1989" s="81" t="s">
        <v>7054</v>
      </c>
      <c r="J1989" s="81" t="s">
        <v>2186</v>
      </c>
      <c r="K1989" s="81" t="s">
        <v>7054</v>
      </c>
      <c r="L1989" s="81" t="s">
        <v>2392</v>
      </c>
      <c r="M1989" s="81" t="s">
        <v>7054</v>
      </c>
      <c r="N1989" s="81" t="s">
        <v>2231</v>
      </c>
      <c r="O1989" s="81" t="s">
        <v>2187</v>
      </c>
      <c r="P1989" s="81" t="s">
        <v>2187</v>
      </c>
      <c r="Q1989" s="81" t="s">
        <v>43</v>
      </c>
      <c r="R1989" s="81" t="s">
        <v>122</v>
      </c>
      <c r="S1989" s="81" t="s">
        <v>122</v>
      </c>
      <c r="T1989" s="81" t="s">
        <v>48</v>
      </c>
      <c r="U1989" s="81" t="s">
        <v>48</v>
      </c>
      <c r="V1989" s="81" t="s">
        <v>49</v>
      </c>
      <c r="W1989" s="81" t="s">
        <v>48</v>
      </c>
      <c r="X1989" s="81" t="s">
        <v>48</v>
      </c>
      <c r="Y1989" s="81" t="s">
        <v>48</v>
      </c>
    </row>
    <row r="1990" spans="1:25" x14ac:dyDescent="0.3">
      <c r="A1990" s="16">
        <v>729513133486</v>
      </c>
      <c r="B1990" s="81" t="s">
        <v>43</v>
      </c>
      <c r="C1990" s="81" t="s">
        <v>4789</v>
      </c>
      <c r="D1990" s="81" t="s">
        <v>45</v>
      </c>
      <c r="E1990" s="81" t="s">
        <v>2227</v>
      </c>
      <c r="F1990" s="81" t="s">
        <v>2227</v>
      </c>
      <c r="G1990" s="81" t="s">
        <v>4790</v>
      </c>
      <c r="H1990" s="81" t="s">
        <v>7055</v>
      </c>
      <c r="I1990" s="81" t="s">
        <v>7056</v>
      </c>
      <c r="J1990" s="81" t="s">
        <v>2186</v>
      </c>
      <c r="K1990" s="81" t="s">
        <v>7056</v>
      </c>
      <c r="L1990" s="81" t="s">
        <v>2392</v>
      </c>
      <c r="M1990" s="81" t="s">
        <v>7056</v>
      </c>
      <c r="N1990" s="81" t="s">
        <v>2231</v>
      </c>
      <c r="O1990" s="81" t="s">
        <v>2187</v>
      </c>
      <c r="P1990" s="81" t="s">
        <v>2187</v>
      </c>
      <c r="Q1990" s="81" t="s">
        <v>43</v>
      </c>
      <c r="R1990" s="81" t="s">
        <v>122</v>
      </c>
      <c r="S1990" s="81" t="s">
        <v>122</v>
      </c>
      <c r="T1990" s="81" t="s">
        <v>48</v>
      </c>
      <c r="U1990" s="81" t="s">
        <v>48</v>
      </c>
      <c r="V1990" s="81" t="s">
        <v>49</v>
      </c>
      <c r="W1990" s="81" t="s">
        <v>48</v>
      </c>
      <c r="X1990" s="81" t="s">
        <v>48</v>
      </c>
      <c r="Y1990" s="81" t="s">
        <v>48</v>
      </c>
    </row>
    <row r="1991" spans="1:25" x14ac:dyDescent="0.3">
      <c r="A1991" s="16">
        <v>729513133509</v>
      </c>
      <c r="B1991" s="81" t="s">
        <v>43</v>
      </c>
      <c r="C1991" s="81" t="s">
        <v>4791</v>
      </c>
      <c r="D1991" s="81" t="s">
        <v>45</v>
      </c>
      <c r="E1991" s="81" t="s">
        <v>2227</v>
      </c>
      <c r="F1991" s="81" t="s">
        <v>2227</v>
      </c>
      <c r="G1991" s="81" t="s">
        <v>4787</v>
      </c>
      <c r="H1991" s="81" t="s">
        <v>7053</v>
      </c>
      <c r="I1991" s="81" t="s">
        <v>7054</v>
      </c>
      <c r="J1991" s="81" t="s">
        <v>2186</v>
      </c>
      <c r="K1991" s="81" t="s">
        <v>7054</v>
      </c>
      <c r="L1991" s="81" t="s">
        <v>2392</v>
      </c>
      <c r="M1991" s="81" t="s">
        <v>7054</v>
      </c>
      <c r="N1991" s="81" t="s">
        <v>2231</v>
      </c>
      <c r="O1991" s="81" t="s">
        <v>2187</v>
      </c>
      <c r="P1991" s="81" t="s">
        <v>2187</v>
      </c>
      <c r="Q1991" s="81" t="s">
        <v>43</v>
      </c>
      <c r="R1991" s="81" t="s">
        <v>122</v>
      </c>
      <c r="S1991" s="81" t="s">
        <v>122</v>
      </c>
      <c r="T1991" s="81" t="s">
        <v>48</v>
      </c>
      <c r="U1991" s="81" t="s">
        <v>48</v>
      </c>
      <c r="V1991" s="81" t="s">
        <v>49</v>
      </c>
      <c r="W1991" s="81" t="s">
        <v>48</v>
      </c>
      <c r="X1991" s="81" t="s">
        <v>48</v>
      </c>
      <c r="Y1991" s="81" t="s">
        <v>48</v>
      </c>
    </row>
    <row r="1992" spans="1:25" x14ac:dyDescent="0.3">
      <c r="A1992" s="16">
        <v>7506442700667</v>
      </c>
      <c r="B1992" s="81" t="s">
        <v>43</v>
      </c>
      <c r="C1992" s="81" t="s">
        <v>4798</v>
      </c>
      <c r="D1992" s="81" t="s">
        <v>45</v>
      </c>
      <c r="E1992" s="81" t="s">
        <v>2227</v>
      </c>
      <c r="F1992" s="81" t="s">
        <v>2227</v>
      </c>
      <c r="G1992" s="81" t="s">
        <v>4883</v>
      </c>
      <c r="H1992" s="81" t="s">
        <v>2609</v>
      </c>
      <c r="I1992" s="81" t="s">
        <v>3004</v>
      </c>
      <c r="J1992" s="81" t="s">
        <v>2186</v>
      </c>
      <c r="K1992" s="81" t="s">
        <v>2904</v>
      </c>
      <c r="L1992" s="81" t="s">
        <v>2392</v>
      </c>
      <c r="M1992" s="81" t="s">
        <v>3089</v>
      </c>
      <c r="N1992" s="81" t="s">
        <v>2231</v>
      </c>
      <c r="O1992" s="81" t="s">
        <v>2187</v>
      </c>
      <c r="P1992" s="81" t="s">
        <v>2187</v>
      </c>
      <c r="Q1992" s="81" t="s">
        <v>43</v>
      </c>
      <c r="R1992" s="81" t="s">
        <v>46</v>
      </c>
      <c r="S1992" s="81" t="s">
        <v>46</v>
      </c>
      <c r="T1992" s="81" t="s">
        <v>48</v>
      </c>
      <c r="U1992" s="81" t="s">
        <v>48</v>
      </c>
      <c r="V1992" s="81" t="s">
        <v>48</v>
      </c>
      <c r="W1992" s="81" t="s">
        <v>49</v>
      </c>
      <c r="X1992" s="81" t="s">
        <v>48</v>
      </c>
      <c r="Y1992" s="81" t="s">
        <v>48</v>
      </c>
    </row>
    <row r="1993" spans="1:25" x14ac:dyDescent="0.3">
      <c r="A1993" s="16">
        <v>7501300450012</v>
      </c>
      <c r="B1993" s="81" t="s">
        <v>43</v>
      </c>
      <c r="C1993" s="81" t="s">
        <v>4805</v>
      </c>
      <c r="D1993" s="81" t="s">
        <v>45</v>
      </c>
      <c r="E1993" s="81" t="s">
        <v>2227</v>
      </c>
      <c r="F1993" s="81" t="s">
        <v>2227</v>
      </c>
      <c r="G1993" s="81" t="s">
        <v>4806</v>
      </c>
      <c r="H1993" s="81" t="s">
        <v>4372</v>
      </c>
      <c r="I1993" s="81" t="s">
        <v>7057</v>
      </c>
      <c r="J1993" s="81" t="s">
        <v>2186</v>
      </c>
      <c r="K1993" s="81" t="s">
        <v>7057</v>
      </c>
      <c r="L1993" s="81" t="s">
        <v>2392</v>
      </c>
      <c r="M1993" s="81" t="s">
        <v>7057</v>
      </c>
      <c r="N1993" s="81" t="s">
        <v>2231</v>
      </c>
      <c r="O1993" s="81" t="s">
        <v>2187</v>
      </c>
      <c r="P1993" s="81" t="s">
        <v>2187</v>
      </c>
      <c r="Q1993" s="81" t="s">
        <v>43</v>
      </c>
      <c r="R1993" s="81" t="s">
        <v>51</v>
      </c>
      <c r="S1993" s="81" t="s">
        <v>81</v>
      </c>
      <c r="T1993" s="81" t="s">
        <v>49</v>
      </c>
      <c r="U1993" s="81" t="s">
        <v>48</v>
      </c>
      <c r="V1993" s="81" t="s">
        <v>48</v>
      </c>
      <c r="W1993" s="81" t="s">
        <v>49</v>
      </c>
      <c r="X1993" s="81" t="s">
        <v>48</v>
      </c>
      <c r="Y1993" s="81" t="s">
        <v>48</v>
      </c>
    </row>
    <row r="1994" spans="1:25" x14ac:dyDescent="0.3">
      <c r="A1994" s="16">
        <v>7501059225237</v>
      </c>
      <c r="B1994" s="81" t="s">
        <v>43</v>
      </c>
      <c r="C1994" s="81" t="s">
        <v>4807</v>
      </c>
      <c r="D1994" s="81" t="s">
        <v>45</v>
      </c>
      <c r="E1994" s="81" t="s">
        <v>2227</v>
      </c>
      <c r="F1994" s="81" t="s">
        <v>2227</v>
      </c>
      <c r="G1994" s="81" t="s">
        <v>4808</v>
      </c>
      <c r="H1994" s="81" t="s">
        <v>4809</v>
      </c>
      <c r="I1994" s="81" t="s">
        <v>7058</v>
      </c>
      <c r="J1994" s="81" t="s">
        <v>2186</v>
      </c>
      <c r="K1994" s="81" t="s">
        <v>7058</v>
      </c>
      <c r="L1994" s="81" t="s">
        <v>2392</v>
      </c>
      <c r="M1994" s="81" t="s">
        <v>7058</v>
      </c>
      <c r="N1994" s="81" t="s">
        <v>2231</v>
      </c>
      <c r="O1994" s="81" t="s">
        <v>2187</v>
      </c>
      <c r="P1994" s="81" t="s">
        <v>2187</v>
      </c>
      <c r="Q1994" s="81" t="s">
        <v>43</v>
      </c>
      <c r="R1994" s="81" t="s">
        <v>506</v>
      </c>
      <c r="S1994" s="81" t="s">
        <v>506</v>
      </c>
      <c r="T1994" s="81" t="s">
        <v>48</v>
      </c>
      <c r="U1994" s="81" t="s">
        <v>48</v>
      </c>
      <c r="V1994" s="81" t="s">
        <v>48</v>
      </c>
      <c r="W1994" s="81" t="s">
        <v>49</v>
      </c>
      <c r="X1994" s="81" t="s">
        <v>48</v>
      </c>
      <c r="Y1994" s="81" t="s">
        <v>48</v>
      </c>
    </row>
    <row r="1995" spans="1:25" x14ac:dyDescent="0.3">
      <c r="A1995" s="16">
        <v>7502009749407</v>
      </c>
      <c r="B1995" s="81" t="s">
        <v>43</v>
      </c>
      <c r="C1995" s="81" t="s">
        <v>4823</v>
      </c>
      <c r="D1995" s="81" t="s">
        <v>45</v>
      </c>
      <c r="E1995" s="81" t="s">
        <v>2227</v>
      </c>
      <c r="F1995" s="81" t="s">
        <v>2227</v>
      </c>
      <c r="G1995" s="81" t="s">
        <v>5004</v>
      </c>
      <c r="H1995" s="81" t="s">
        <v>2441</v>
      </c>
      <c r="I1995" s="81" t="s">
        <v>6238</v>
      </c>
      <c r="J1995" s="81" t="s">
        <v>2186</v>
      </c>
      <c r="K1995" s="81" t="s">
        <v>6238</v>
      </c>
      <c r="L1995" s="81" t="s">
        <v>2392</v>
      </c>
      <c r="M1995" s="81" t="s">
        <v>6238</v>
      </c>
      <c r="N1995" s="81" t="s">
        <v>2231</v>
      </c>
      <c r="O1995" s="81" t="s">
        <v>2187</v>
      </c>
      <c r="P1995" s="81" t="s">
        <v>2187</v>
      </c>
      <c r="Q1995" s="81" t="s">
        <v>43</v>
      </c>
      <c r="R1995" s="81" t="s">
        <v>46</v>
      </c>
      <c r="S1995" s="81" t="s">
        <v>46</v>
      </c>
      <c r="T1995" s="81" t="s">
        <v>48</v>
      </c>
      <c r="U1995" s="81" t="s">
        <v>48</v>
      </c>
      <c r="V1995" s="81" t="s">
        <v>48</v>
      </c>
      <c r="W1995" s="81" t="s">
        <v>49</v>
      </c>
      <c r="X1995" s="81" t="s">
        <v>48</v>
      </c>
      <c r="Y1995" s="81" t="s">
        <v>48</v>
      </c>
    </row>
    <row r="1996" spans="1:25" x14ac:dyDescent="0.3">
      <c r="A1996" s="16">
        <v>7501563381467</v>
      </c>
      <c r="B1996" s="81" t="s">
        <v>43</v>
      </c>
      <c r="C1996" s="81" t="s">
        <v>4824</v>
      </c>
      <c r="D1996" s="81" t="s">
        <v>45</v>
      </c>
      <c r="E1996" s="81" t="s">
        <v>2227</v>
      </c>
      <c r="F1996" s="81" t="s">
        <v>2227</v>
      </c>
      <c r="G1996" s="81" t="s">
        <v>3976</v>
      </c>
      <c r="H1996" s="81" t="s">
        <v>2236</v>
      </c>
      <c r="I1996" s="81" t="s">
        <v>7059</v>
      </c>
      <c r="J1996" s="81" t="s">
        <v>2186</v>
      </c>
      <c r="K1996" s="81" t="s">
        <v>7059</v>
      </c>
      <c r="L1996" s="81" t="s">
        <v>2392</v>
      </c>
      <c r="M1996" s="81" t="s">
        <v>7059</v>
      </c>
      <c r="N1996" s="81" t="s">
        <v>2231</v>
      </c>
      <c r="O1996" s="81" t="s">
        <v>2187</v>
      </c>
      <c r="P1996" s="81" t="s">
        <v>2187</v>
      </c>
      <c r="Q1996" s="81" t="s">
        <v>43</v>
      </c>
      <c r="R1996" s="81" t="s">
        <v>46</v>
      </c>
      <c r="S1996" s="81" t="s">
        <v>46</v>
      </c>
      <c r="T1996" s="81" t="s">
        <v>48</v>
      </c>
      <c r="U1996" s="81" t="s">
        <v>48</v>
      </c>
      <c r="V1996" s="81" t="s">
        <v>48</v>
      </c>
      <c r="W1996" s="81" t="s">
        <v>49</v>
      </c>
      <c r="X1996" s="81" t="s">
        <v>48</v>
      </c>
      <c r="Y1996" s="81" t="s">
        <v>48</v>
      </c>
    </row>
    <row r="1997" spans="1:25" x14ac:dyDescent="0.3">
      <c r="A1997" s="16">
        <v>7613427011707</v>
      </c>
      <c r="B1997" s="81" t="s">
        <v>43</v>
      </c>
      <c r="C1997" s="81" t="s">
        <v>4825</v>
      </c>
      <c r="D1997" s="81" t="s">
        <v>45</v>
      </c>
      <c r="E1997" s="81" t="s">
        <v>2227</v>
      </c>
      <c r="F1997" s="81" t="s">
        <v>2227</v>
      </c>
      <c r="G1997" s="81" t="s">
        <v>4826</v>
      </c>
      <c r="H1997" s="81" t="s">
        <v>7060</v>
      </c>
      <c r="I1997" s="81" t="s">
        <v>7061</v>
      </c>
      <c r="J1997" s="81" t="s">
        <v>2186</v>
      </c>
      <c r="K1997" s="81" t="s">
        <v>7061</v>
      </c>
      <c r="L1997" s="81" t="s">
        <v>2392</v>
      </c>
      <c r="M1997" s="81" t="s">
        <v>7061</v>
      </c>
      <c r="N1997" s="81" t="s">
        <v>2231</v>
      </c>
      <c r="O1997" s="81" t="s">
        <v>2187</v>
      </c>
      <c r="P1997" s="81" t="s">
        <v>2187</v>
      </c>
      <c r="Q1997" s="81" t="s">
        <v>43</v>
      </c>
      <c r="R1997" s="81" t="s">
        <v>122</v>
      </c>
      <c r="S1997" s="81" t="s">
        <v>122</v>
      </c>
      <c r="T1997" s="81" t="s">
        <v>48</v>
      </c>
      <c r="U1997" s="81" t="s">
        <v>48</v>
      </c>
      <c r="V1997" s="81" t="s">
        <v>49</v>
      </c>
      <c r="W1997" s="81" t="s">
        <v>48</v>
      </c>
      <c r="X1997" s="81" t="s">
        <v>48</v>
      </c>
      <c r="Y1997" s="81" t="s">
        <v>48</v>
      </c>
    </row>
    <row r="1998" spans="1:25" x14ac:dyDescent="0.3">
      <c r="A1998" s="16">
        <v>7501065628145</v>
      </c>
      <c r="B1998" s="81" t="s">
        <v>43</v>
      </c>
      <c r="C1998" s="81" t="s">
        <v>4846</v>
      </c>
      <c r="D1998" s="81" t="s">
        <v>45</v>
      </c>
      <c r="E1998" s="81" t="s">
        <v>2227</v>
      </c>
      <c r="F1998" s="81" t="s">
        <v>2227</v>
      </c>
      <c r="G1998" s="81" t="s">
        <v>5307</v>
      </c>
      <c r="H1998" s="81" t="s">
        <v>3773</v>
      </c>
      <c r="I1998" s="81" t="s">
        <v>3350</v>
      </c>
      <c r="J1998" s="81" t="s">
        <v>2186</v>
      </c>
      <c r="K1998" s="81" t="s">
        <v>3226</v>
      </c>
      <c r="L1998" s="81" t="s">
        <v>2392</v>
      </c>
      <c r="M1998" s="81" t="s">
        <v>3228</v>
      </c>
      <c r="N1998" s="81" t="s">
        <v>2231</v>
      </c>
      <c r="O1998" s="81" t="s">
        <v>2187</v>
      </c>
      <c r="P1998" s="81" t="s">
        <v>2187</v>
      </c>
      <c r="Q1998" s="81" t="s">
        <v>43</v>
      </c>
      <c r="R1998" s="81" t="s">
        <v>524</v>
      </c>
      <c r="S1998" s="81" t="s">
        <v>525</v>
      </c>
      <c r="T1998" s="81" t="s">
        <v>48</v>
      </c>
      <c r="U1998" s="81" t="s">
        <v>48</v>
      </c>
      <c r="V1998" s="81" t="s">
        <v>49</v>
      </c>
      <c r="W1998" s="81" t="s">
        <v>48</v>
      </c>
      <c r="X1998" s="81" t="s">
        <v>48</v>
      </c>
      <c r="Y1998" s="81" t="s">
        <v>48</v>
      </c>
    </row>
    <row r="1999" spans="1:25" x14ac:dyDescent="0.3">
      <c r="A1999" s="16">
        <v>7501299303016</v>
      </c>
      <c r="B1999" s="81" t="s">
        <v>43</v>
      </c>
      <c r="C1999" s="81" t="s">
        <v>4875</v>
      </c>
      <c r="D1999" s="81" t="s">
        <v>45</v>
      </c>
      <c r="E1999" s="81" t="s">
        <v>2227</v>
      </c>
      <c r="F1999" s="81" t="s">
        <v>2227</v>
      </c>
      <c r="G1999" s="81" t="s">
        <v>4876</v>
      </c>
      <c r="H1999" s="81" t="s">
        <v>2396</v>
      </c>
      <c r="I1999" s="81" t="s">
        <v>7062</v>
      </c>
      <c r="J1999" s="81" t="s">
        <v>2186</v>
      </c>
      <c r="K1999" s="81" t="s">
        <v>7062</v>
      </c>
      <c r="L1999" s="81" t="s">
        <v>2392</v>
      </c>
      <c r="M1999" s="81" t="s">
        <v>7062</v>
      </c>
      <c r="N1999" s="81" t="s">
        <v>2231</v>
      </c>
      <c r="O1999" s="81" t="s">
        <v>2187</v>
      </c>
      <c r="P1999" s="81" t="s">
        <v>2187</v>
      </c>
      <c r="Q1999" s="81" t="s">
        <v>43</v>
      </c>
      <c r="R1999" s="81" t="s">
        <v>374</v>
      </c>
      <c r="S1999" s="81" t="s">
        <v>374</v>
      </c>
      <c r="T1999" s="81" t="s">
        <v>48</v>
      </c>
      <c r="U1999" s="81" t="s">
        <v>48</v>
      </c>
      <c r="V1999" s="81" t="s">
        <v>48</v>
      </c>
      <c r="W1999" s="81" t="s">
        <v>49</v>
      </c>
      <c r="X1999" s="81" t="s">
        <v>48</v>
      </c>
      <c r="Y1999" s="81" t="s">
        <v>48</v>
      </c>
    </row>
    <row r="2000" spans="1:25" x14ac:dyDescent="0.3">
      <c r="A2000" s="16">
        <v>7501027513618</v>
      </c>
      <c r="B2000" s="81" t="s">
        <v>43</v>
      </c>
      <c r="C2000" s="81" t="s">
        <v>5132</v>
      </c>
      <c r="D2000" s="81" t="s">
        <v>45</v>
      </c>
      <c r="E2000" s="81" t="s">
        <v>2227</v>
      </c>
      <c r="F2000" s="81" t="s">
        <v>2227</v>
      </c>
      <c r="G2000" s="81" t="s">
        <v>4877</v>
      </c>
      <c r="H2000" s="81" t="s">
        <v>4878</v>
      </c>
      <c r="I2000" s="81" t="s">
        <v>7063</v>
      </c>
      <c r="J2000" s="81" t="s">
        <v>2186</v>
      </c>
      <c r="K2000" s="81" t="s">
        <v>7063</v>
      </c>
      <c r="L2000" s="81" t="s">
        <v>2392</v>
      </c>
      <c r="M2000" s="81" t="s">
        <v>7063</v>
      </c>
      <c r="N2000" s="81" t="s">
        <v>2231</v>
      </c>
      <c r="O2000" s="81" t="s">
        <v>2187</v>
      </c>
      <c r="P2000" s="81" t="s">
        <v>2187</v>
      </c>
      <c r="Q2000" s="81" t="s">
        <v>43</v>
      </c>
      <c r="R2000" s="81" t="s">
        <v>122</v>
      </c>
      <c r="S2000" s="81" t="s">
        <v>122</v>
      </c>
      <c r="T2000" s="81" t="s">
        <v>48</v>
      </c>
      <c r="U2000" s="81" t="s">
        <v>48</v>
      </c>
      <c r="V2000" s="81" t="s">
        <v>49</v>
      </c>
      <c r="W2000" s="81" t="s">
        <v>48</v>
      </c>
      <c r="X2000" s="81" t="s">
        <v>48</v>
      </c>
      <c r="Y2000" s="81" t="s">
        <v>48</v>
      </c>
    </row>
    <row r="2001" spans="1:25" x14ac:dyDescent="0.3">
      <c r="A2001" s="16">
        <v>7506425606917</v>
      </c>
      <c r="B2001" s="81" t="s">
        <v>43</v>
      </c>
      <c r="C2001" s="81" t="s">
        <v>4879</v>
      </c>
      <c r="D2001" s="81" t="s">
        <v>45</v>
      </c>
      <c r="E2001" s="81" t="s">
        <v>2227</v>
      </c>
      <c r="F2001" s="81" t="s">
        <v>2227</v>
      </c>
      <c r="G2001" s="81" t="s">
        <v>4701</v>
      </c>
      <c r="H2001" s="81" t="s">
        <v>2868</v>
      </c>
      <c r="I2001" s="81" t="s">
        <v>5174</v>
      </c>
      <c r="J2001" s="81" t="s">
        <v>2186</v>
      </c>
      <c r="K2001" s="81" t="s">
        <v>5174</v>
      </c>
      <c r="L2001" s="81" t="s">
        <v>2392</v>
      </c>
      <c r="M2001" s="81" t="s">
        <v>5174</v>
      </c>
      <c r="N2001" s="81" t="s">
        <v>2231</v>
      </c>
      <c r="O2001" s="81" t="s">
        <v>2187</v>
      </c>
      <c r="P2001" s="81" t="s">
        <v>2187</v>
      </c>
      <c r="Q2001" s="81" t="s">
        <v>43</v>
      </c>
      <c r="R2001" s="81" t="s">
        <v>525</v>
      </c>
      <c r="S2001" s="81" t="s">
        <v>525</v>
      </c>
      <c r="T2001" s="81" t="s">
        <v>48</v>
      </c>
      <c r="U2001" s="81" t="s">
        <v>48</v>
      </c>
      <c r="V2001" s="81" t="s">
        <v>49</v>
      </c>
      <c r="W2001" s="81" t="s">
        <v>48</v>
      </c>
      <c r="X2001" s="81" t="s">
        <v>48</v>
      </c>
      <c r="Y2001" s="81" t="s">
        <v>48</v>
      </c>
    </row>
    <row r="2002" spans="1:25" x14ac:dyDescent="0.3">
      <c r="A2002" s="16">
        <v>8904270601368</v>
      </c>
      <c r="B2002" s="81" t="s">
        <v>43</v>
      </c>
      <c r="C2002" s="81" t="s">
        <v>4884</v>
      </c>
      <c r="D2002" s="81" t="s">
        <v>45</v>
      </c>
      <c r="E2002" s="81" t="s">
        <v>2227</v>
      </c>
      <c r="F2002" s="81" t="s">
        <v>2227</v>
      </c>
      <c r="G2002" s="81" t="s">
        <v>4885</v>
      </c>
      <c r="H2002" s="81" t="s">
        <v>2887</v>
      </c>
      <c r="I2002" s="81" t="s">
        <v>7064</v>
      </c>
      <c r="J2002" s="81" t="s">
        <v>2186</v>
      </c>
      <c r="K2002" s="81" t="s">
        <v>7064</v>
      </c>
      <c r="L2002" s="81" t="s">
        <v>2392</v>
      </c>
      <c r="M2002" s="81" t="s">
        <v>7064</v>
      </c>
      <c r="N2002" s="81" t="s">
        <v>2231</v>
      </c>
      <c r="O2002" s="81" t="s">
        <v>2187</v>
      </c>
      <c r="P2002" s="81" t="s">
        <v>2187</v>
      </c>
      <c r="Q2002" s="81" t="s">
        <v>43</v>
      </c>
      <c r="R2002" s="81" t="s">
        <v>374</v>
      </c>
      <c r="S2002" s="81" t="s">
        <v>374</v>
      </c>
      <c r="T2002" s="81" t="s">
        <v>48</v>
      </c>
      <c r="U2002" s="81" t="s">
        <v>48</v>
      </c>
      <c r="V2002" s="81" t="s">
        <v>48</v>
      </c>
      <c r="W2002" s="81" t="s">
        <v>49</v>
      </c>
      <c r="X2002" s="81" t="s">
        <v>48</v>
      </c>
      <c r="Y2002" s="81" t="s">
        <v>48</v>
      </c>
    </row>
    <row r="2003" spans="1:25" x14ac:dyDescent="0.3">
      <c r="A2003" s="16">
        <v>7506442706096</v>
      </c>
      <c r="B2003" s="81" t="s">
        <v>43</v>
      </c>
      <c r="C2003" s="81" t="s">
        <v>4886</v>
      </c>
      <c r="D2003" s="81" t="s">
        <v>45</v>
      </c>
      <c r="E2003" s="81" t="s">
        <v>2227</v>
      </c>
      <c r="F2003" s="81" t="s">
        <v>2227</v>
      </c>
      <c r="G2003" s="81" t="s">
        <v>5356</v>
      </c>
      <c r="H2003" s="81" t="s">
        <v>4016</v>
      </c>
      <c r="I2003" s="81" t="s">
        <v>6345</v>
      </c>
      <c r="J2003" s="81" t="s">
        <v>2186</v>
      </c>
      <c r="K2003" s="81" t="s">
        <v>6345</v>
      </c>
      <c r="L2003" s="81" t="s">
        <v>2392</v>
      </c>
      <c r="M2003" s="81" t="s">
        <v>6345</v>
      </c>
      <c r="N2003" s="81" t="s">
        <v>2231</v>
      </c>
      <c r="O2003" s="81" t="s">
        <v>2187</v>
      </c>
      <c r="P2003" s="81" t="s">
        <v>2187</v>
      </c>
      <c r="Q2003" s="81" t="s">
        <v>43</v>
      </c>
      <c r="R2003" s="81" t="s">
        <v>46</v>
      </c>
      <c r="S2003" s="81" t="s">
        <v>46</v>
      </c>
      <c r="T2003" s="81" t="s">
        <v>48</v>
      </c>
      <c r="U2003" s="81" t="s">
        <v>48</v>
      </c>
      <c r="V2003" s="81" t="s">
        <v>48</v>
      </c>
      <c r="W2003" s="81" t="s">
        <v>49</v>
      </c>
      <c r="X2003" s="81" t="s">
        <v>48</v>
      </c>
      <c r="Y2003" s="81" t="s">
        <v>48</v>
      </c>
    </row>
    <row r="2004" spans="1:25" x14ac:dyDescent="0.3">
      <c r="A2004" s="16" t="s">
        <v>4913</v>
      </c>
      <c r="B2004" s="81" t="s">
        <v>43</v>
      </c>
      <c r="C2004" s="81" t="s">
        <v>5175</v>
      </c>
      <c r="D2004" s="81" t="s">
        <v>45</v>
      </c>
      <c r="E2004" s="81" t="s">
        <v>2519</v>
      </c>
      <c r="F2004" s="81" t="s">
        <v>2597</v>
      </c>
      <c r="G2004" s="81" t="s">
        <v>4338</v>
      </c>
      <c r="H2004" s="81" t="s">
        <v>7065</v>
      </c>
      <c r="I2004" s="81" t="s">
        <v>7066</v>
      </c>
      <c r="J2004" s="81" t="s">
        <v>2186</v>
      </c>
      <c r="K2004" s="81" t="s">
        <v>7066</v>
      </c>
      <c r="L2004" s="81" t="s">
        <v>2392</v>
      </c>
      <c r="M2004" s="81" t="s">
        <v>7066</v>
      </c>
      <c r="N2004" s="81" t="s">
        <v>2231</v>
      </c>
      <c r="O2004" s="81" t="s">
        <v>2187</v>
      </c>
      <c r="P2004" s="81" t="s">
        <v>2187</v>
      </c>
      <c r="Q2004" s="81" t="s">
        <v>296</v>
      </c>
      <c r="R2004" s="81" t="s">
        <v>51</v>
      </c>
      <c r="S2004" s="81" t="s">
        <v>73</v>
      </c>
      <c r="T2004" s="81" t="s">
        <v>49</v>
      </c>
      <c r="U2004" s="81" t="s">
        <v>48</v>
      </c>
      <c r="V2004" s="81" t="s">
        <v>48</v>
      </c>
      <c r="W2004" s="81" t="s">
        <v>49</v>
      </c>
      <c r="X2004" s="81" t="s">
        <v>48</v>
      </c>
      <c r="Y2004" s="81" t="s">
        <v>48</v>
      </c>
    </row>
    <row r="2005" spans="1:25" x14ac:dyDescent="0.3">
      <c r="A2005" s="16">
        <v>7502009748929</v>
      </c>
      <c r="B2005" s="81" t="s">
        <v>43</v>
      </c>
      <c r="C2005" s="81" t="s">
        <v>4914</v>
      </c>
      <c r="D2005" s="81" t="s">
        <v>45</v>
      </c>
      <c r="E2005" s="81" t="s">
        <v>2227</v>
      </c>
      <c r="F2005" s="81" t="s">
        <v>2227</v>
      </c>
      <c r="G2005" s="81" t="s">
        <v>4515</v>
      </c>
      <c r="H2005" s="81" t="s">
        <v>3160</v>
      </c>
      <c r="I2005" s="81" t="s">
        <v>7067</v>
      </c>
      <c r="J2005" s="81" t="s">
        <v>2186</v>
      </c>
      <c r="K2005" s="81" t="s">
        <v>7067</v>
      </c>
      <c r="L2005" s="81" t="s">
        <v>2392</v>
      </c>
      <c r="M2005" s="81" t="s">
        <v>7067</v>
      </c>
      <c r="N2005" s="81" t="s">
        <v>2231</v>
      </c>
      <c r="O2005" s="81" t="s">
        <v>2187</v>
      </c>
      <c r="P2005" s="81" t="s">
        <v>2187</v>
      </c>
      <c r="Q2005" s="81" t="s">
        <v>43</v>
      </c>
      <c r="R2005" s="81" t="s">
        <v>46</v>
      </c>
      <c r="S2005" s="81" t="s">
        <v>46</v>
      </c>
      <c r="T2005" s="81" t="s">
        <v>48</v>
      </c>
      <c r="U2005" s="81" t="s">
        <v>48</v>
      </c>
      <c r="V2005" s="81" t="s">
        <v>49</v>
      </c>
      <c r="W2005" s="81" t="s">
        <v>48</v>
      </c>
      <c r="X2005" s="81" t="s">
        <v>48</v>
      </c>
      <c r="Y2005" s="81" t="s">
        <v>48</v>
      </c>
    </row>
    <row r="2006" spans="1:25" x14ac:dyDescent="0.3">
      <c r="A2006" s="16">
        <v>7501122967019</v>
      </c>
      <c r="B2006" s="81" t="s">
        <v>43</v>
      </c>
      <c r="C2006" s="81" t="s">
        <v>4915</v>
      </c>
      <c r="D2006" s="81" t="s">
        <v>45</v>
      </c>
      <c r="E2006" s="81" t="s">
        <v>2227</v>
      </c>
      <c r="F2006" s="81" t="s">
        <v>2227</v>
      </c>
      <c r="G2006" s="81" t="s">
        <v>4916</v>
      </c>
      <c r="H2006" s="81" t="s">
        <v>2804</v>
      </c>
      <c r="I2006" s="81" t="s">
        <v>7068</v>
      </c>
      <c r="J2006" s="81" t="s">
        <v>2186</v>
      </c>
      <c r="K2006" s="81" t="s">
        <v>7068</v>
      </c>
      <c r="L2006" s="81" t="s">
        <v>2392</v>
      </c>
      <c r="M2006" s="81" t="s">
        <v>7068</v>
      </c>
      <c r="N2006" s="81" t="s">
        <v>2231</v>
      </c>
      <c r="O2006" s="81" t="s">
        <v>2187</v>
      </c>
      <c r="P2006" s="81" t="s">
        <v>2187</v>
      </c>
      <c r="Q2006" s="81" t="s">
        <v>43</v>
      </c>
      <c r="R2006" s="81" t="s">
        <v>374</v>
      </c>
      <c r="S2006" s="81" t="s">
        <v>374</v>
      </c>
      <c r="T2006" s="81" t="s">
        <v>48</v>
      </c>
      <c r="U2006" s="81" t="s">
        <v>48</v>
      </c>
      <c r="V2006" s="81" t="s">
        <v>48</v>
      </c>
      <c r="W2006" s="81" t="s">
        <v>49</v>
      </c>
      <c r="X2006" s="81" t="s">
        <v>48</v>
      </c>
      <c r="Y2006" s="81" t="s">
        <v>48</v>
      </c>
    </row>
    <row r="2007" spans="1:25" x14ac:dyDescent="0.3">
      <c r="A2007" s="16">
        <v>7506313000742</v>
      </c>
      <c r="B2007" s="81" t="s">
        <v>43</v>
      </c>
      <c r="C2007" s="81" t="s">
        <v>4947</v>
      </c>
      <c r="D2007" s="81" t="s">
        <v>45</v>
      </c>
      <c r="E2007" s="81" t="s">
        <v>2227</v>
      </c>
      <c r="F2007" s="81" t="s">
        <v>2227</v>
      </c>
      <c r="G2007" s="81" t="s">
        <v>4948</v>
      </c>
      <c r="H2007" s="81" t="s">
        <v>2869</v>
      </c>
      <c r="I2007" s="81" t="s">
        <v>5536</v>
      </c>
      <c r="J2007" s="81" t="s">
        <v>2186</v>
      </c>
      <c r="K2007" s="81" t="s">
        <v>5536</v>
      </c>
      <c r="L2007" s="81" t="s">
        <v>2392</v>
      </c>
      <c r="M2007" s="81" t="s">
        <v>5536</v>
      </c>
      <c r="N2007" s="81" t="s">
        <v>2231</v>
      </c>
      <c r="O2007" s="81" t="s">
        <v>2187</v>
      </c>
      <c r="P2007" s="81" t="s">
        <v>2187</v>
      </c>
      <c r="Q2007" s="81" t="s">
        <v>43</v>
      </c>
      <c r="R2007" s="81" t="s">
        <v>524</v>
      </c>
      <c r="S2007" s="81" t="s">
        <v>525</v>
      </c>
      <c r="T2007" s="81" t="s">
        <v>48</v>
      </c>
      <c r="U2007" s="81" t="s">
        <v>48</v>
      </c>
      <c r="V2007" s="81" t="s">
        <v>49</v>
      </c>
      <c r="W2007" s="81" t="s">
        <v>48</v>
      </c>
      <c r="X2007" s="81" t="s">
        <v>48</v>
      </c>
      <c r="Y2007" s="81" t="s">
        <v>48</v>
      </c>
    </row>
    <row r="2008" spans="1:25" x14ac:dyDescent="0.3">
      <c r="A2008" s="16">
        <v>7506313000773</v>
      </c>
      <c r="B2008" s="81" t="s">
        <v>43</v>
      </c>
      <c r="C2008" s="81" t="s">
        <v>4949</v>
      </c>
      <c r="D2008" s="81" t="s">
        <v>45</v>
      </c>
      <c r="E2008" s="81" t="s">
        <v>2227</v>
      </c>
      <c r="F2008" s="81" t="s">
        <v>2227</v>
      </c>
      <c r="G2008" s="81" t="s">
        <v>4948</v>
      </c>
      <c r="H2008" s="81" t="s">
        <v>2869</v>
      </c>
      <c r="I2008" s="81" t="s">
        <v>5536</v>
      </c>
      <c r="J2008" s="81" t="s">
        <v>2186</v>
      </c>
      <c r="K2008" s="81" t="s">
        <v>5536</v>
      </c>
      <c r="L2008" s="81" t="s">
        <v>2392</v>
      </c>
      <c r="M2008" s="81" t="s">
        <v>5536</v>
      </c>
      <c r="N2008" s="81" t="s">
        <v>2231</v>
      </c>
      <c r="O2008" s="81" t="s">
        <v>2187</v>
      </c>
      <c r="P2008" s="81" t="s">
        <v>2187</v>
      </c>
      <c r="Q2008" s="81" t="s">
        <v>43</v>
      </c>
      <c r="R2008" s="81" t="s">
        <v>524</v>
      </c>
      <c r="S2008" s="81" t="s">
        <v>525</v>
      </c>
      <c r="T2008" s="81" t="s">
        <v>48</v>
      </c>
      <c r="U2008" s="81" t="s">
        <v>48</v>
      </c>
      <c r="V2008" s="81" t="s">
        <v>49</v>
      </c>
      <c r="W2008" s="81" t="s">
        <v>48</v>
      </c>
      <c r="X2008" s="81" t="s">
        <v>48</v>
      </c>
      <c r="Y2008" s="81" t="s">
        <v>48</v>
      </c>
    </row>
    <row r="2009" spans="1:25" x14ac:dyDescent="0.3">
      <c r="A2009" s="16">
        <v>7501125112782</v>
      </c>
      <c r="B2009" s="81" t="s">
        <v>43</v>
      </c>
      <c r="C2009" s="81" t="s">
        <v>4956</v>
      </c>
      <c r="D2009" s="81" t="s">
        <v>45</v>
      </c>
      <c r="E2009" s="81" t="s">
        <v>2227</v>
      </c>
      <c r="F2009" s="81" t="s">
        <v>2227</v>
      </c>
      <c r="G2009" s="81" t="s">
        <v>4957</v>
      </c>
      <c r="H2009" s="81" t="s">
        <v>2400</v>
      </c>
      <c r="I2009" s="81" t="s">
        <v>7069</v>
      </c>
      <c r="J2009" s="81" t="s">
        <v>2186</v>
      </c>
      <c r="K2009" s="81" t="s">
        <v>7069</v>
      </c>
      <c r="L2009" s="81" t="s">
        <v>2392</v>
      </c>
      <c r="M2009" s="81" t="s">
        <v>7069</v>
      </c>
      <c r="N2009" s="81" t="s">
        <v>2231</v>
      </c>
      <c r="O2009" s="81" t="s">
        <v>2187</v>
      </c>
      <c r="P2009" s="81" t="s">
        <v>2187</v>
      </c>
      <c r="Q2009" s="81" t="s">
        <v>43</v>
      </c>
      <c r="R2009" s="81" t="s">
        <v>374</v>
      </c>
      <c r="S2009" s="81" t="s">
        <v>374</v>
      </c>
      <c r="T2009" s="81" t="s">
        <v>48</v>
      </c>
      <c r="U2009" s="81" t="s">
        <v>48</v>
      </c>
      <c r="V2009" s="81" t="s">
        <v>48</v>
      </c>
      <c r="W2009" s="81" t="s">
        <v>49</v>
      </c>
      <c r="X2009" s="81" t="s">
        <v>48</v>
      </c>
      <c r="Y2009" s="81" t="s">
        <v>48</v>
      </c>
    </row>
    <row r="2010" spans="1:25" x14ac:dyDescent="0.3">
      <c r="A2010" s="16">
        <v>637420140889</v>
      </c>
      <c r="B2010" s="81" t="s">
        <v>43</v>
      </c>
      <c r="C2010" s="81" t="s">
        <v>4967</v>
      </c>
      <c r="D2010" s="81" t="s">
        <v>45</v>
      </c>
      <c r="E2010" s="81" t="s">
        <v>2227</v>
      </c>
      <c r="F2010" s="81" t="s">
        <v>2227</v>
      </c>
      <c r="G2010" s="81" t="s">
        <v>5091</v>
      </c>
      <c r="H2010" s="81" t="s">
        <v>3594</v>
      </c>
      <c r="I2010" s="81" t="s">
        <v>7070</v>
      </c>
      <c r="J2010" s="81" t="s">
        <v>2186</v>
      </c>
      <c r="K2010" s="81" t="s">
        <v>7070</v>
      </c>
      <c r="L2010" s="81" t="s">
        <v>2392</v>
      </c>
      <c r="M2010" s="81" t="s">
        <v>7070</v>
      </c>
      <c r="N2010" s="81" t="s">
        <v>2231</v>
      </c>
      <c r="O2010" s="81" t="s">
        <v>2187</v>
      </c>
      <c r="P2010" s="81" t="s">
        <v>2187</v>
      </c>
      <c r="Q2010" s="81" t="s">
        <v>43</v>
      </c>
      <c r="R2010" s="81" t="s">
        <v>46</v>
      </c>
      <c r="S2010" s="81" t="s">
        <v>46</v>
      </c>
      <c r="T2010" s="81" t="s">
        <v>48</v>
      </c>
      <c r="U2010" s="81" t="s">
        <v>48</v>
      </c>
      <c r="V2010" s="81" t="s">
        <v>49</v>
      </c>
      <c r="W2010" s="81" t="s">
        <v>48</v>
      </c>
      <c r="X2010" s="81" t="s">
        <v>48</v>
      </c>
      <c r="Y2010" s="81" t="s">
        <v>48</v>
      </c>
    </row>
    <row r="2011" spans="1:25" x14ac:dyDescent="0.3">
      <c r="A2011" s="16">
        <v>7502208895196</v>
      </c>
      <c r="B2011" s="81" t="s">
        <v>43</v>
      </c>
      <c r="C2011" s="81" t="s">
        <v>2745</v>
      </c>
      <c r="D2011" s="81" t="s">
        <v>45</v>
      </c>
      <c r="E2011" s="81" t="s">
        <v>2227</v>
      </c>
      <c r="F2011" s="81" t="s">
        <v>2227</v>
      </c>
      <c r="G2011" s="81" t="s">
        <v>2748</v>
      </c>
      <c r="H2011" s="81" t="s">
        <v>2237</v>
      </c>
      <c r="I2011" s="81" t="s">
        <v>7071</v>
      </c>
      <c r="J2011" s="81" t="s">
        <v>2186</v>
      </c>
      <c r="K2011" s="81" t="s">
        <v>7071</v>
      </c>
      <c r="L2011" s="81" t="s">
        <v>2392</v>
      </c>
      <c r="M2011" s="81" t="s">
        <v>7071</v>
      </c>
      <c r="N2011" s="81" t="s">
        <v>2231</v>
      </c>
      <c r="O2011" s="81" t="s">
        <v>2187</v>
      </c>
      <c r="P2011" s="81" t="s">
        <v>2187</v>
      </c>
      <c r="Q2011" s="81" t="s">
        <v>43</v>
      </c>
      <c r="R2011" s="81" t="s">
        <v>46</v>
      </c>
      <c r="S2011" s="81" t="s">
        <v>47</v>
      </c>
      <c r="T2011" s="81" t="s">
        <v>48</v>
      </c>
      <c r="U2011" s="81" t="s">
        <v>48</v>
      </c>
      <c r="V2011" s="81" t="s">
        <v>48</v>
      </c>
      <c r="W2011" s="81" t="s">
        <v>49</v>
      </c>
      <c r="X2011" s="81" t="s">
        <v>48</v>
      </c>
      <c r="Y2011" s="81" t="s">
        <v>48</v>
      </c>
    </row>
    <row r="2012" spans="1:25" x14ac:dyDescent="0.3">
      <c r="A2012" s="16">
        <v>7501130741977</v>
      </c>
      <c r="B2012" s="81" t="s">
        <v>43</v>
      </c>
      <c r="C2012" s="81" t="s">
        <v>4985</v>
      </c>
      <c r="D2012" s="81" t="s">
        <v>45</v>
      </c>
      <c r="E2012" s="81" t="s">
        <v>2227</v>
      </c>
      <c r="F2012" s="81" t="s">
        <v>2227</v>
      </c>
      <c r="G2012" s="81" t="s">
        <v>4986</v>
      </c>
      <c r="H2012" s="81" t="s">
        <v>3134</v>
      </c>
      <c r="I2012" s="81" t="s">
        <v>6363</v>
      </c>
      <c r="J2012" s="81" t="s">
        <v>2186</v>
      </c>
      <c r="K2012" s="81" t="s">
        <v>6363</v>
      </c>
      <c r="L2012" s="81" t="s">
        <v>2392</v>
      </c>
      <c r="M2012" s="81" t="s">
        <v>6363</v>
      </c>
      <c r="N2012" s="81" t="s">
        <v>2231</v>
      </c>
      <c r="O2012" s="81" t="s">
        <v>2187</v>
      </c>
      <c r="P2012" s="81" t="s">
        <v>2187</v>
      </c>
      <c r="Q2012" s="81" t="s">
        <v>43</v>
      </c>
      <c r="R2012" s="81" t="s">
        <v>101</v>
      </c>
      <c r="S2012" s="81" t="s">
        <v>101</v>
      </c>
      <c r="T2012" s="81" t="s">
        <v>48</v>
      </c>
      <c r="U2012" s="81" t="s">
        <v>48</v>
      </c>
      <c r="V2012" s="81" t="s">
        <v>49</v>
      </c>
      <c r="W2012" s="81" t="s">
        <v>48</v>
      </c>
      <c r="X2012" s="81" t="s">
        <v>48</v>
      </c>
      <c r="Y2012" s="81" t="s">
        <v>48</v>
      </c>
    </row>
    <row r="2013" spans="1:25" x14ac:dyDescent="0.3">
      <c r="A2013" s="16">
        <v>7506624901066</v>
      </c>
      <c r="B2013" s="81" t="s">
        <v>43</v>
      </c>
      <c r="C2013" s="81" t="s">
        <v>4987</v>
      </c>
      <c r="D2013" s="81" t="s">
        <v>45</v>
      </c>
      <c r="E2013" s="81" t="s">
        <v>2227</v>
      </c>
      <c r="F2013" s="81" t="s">
        <v>2227</v>
      </c>
      <c r="G2013" s="81" t="s">
        <v>4988</v>
      </c>
      <c r="H2013" s="81" t="s">
        <v>2217</v>
      </c>
      <c r="I2013" s="81" t="s">
        <v>4659</v>
      </c>
      <c r="J2013" s="81" t="s">
        <v>2186</v>
      </c>
      <c r="K2013" s="81" t="s">
        <v>4659</v>
      </c>
      <c r="L2013" s="81" t="s">
        <v>2392</v>
      </c>
      <c r="M2013" s="81" t="s">
        <v>4659</v>
      </c>
      <c r="N2013" s="81" t="s">
        <v>2231</v>
      </c>
      <c r="O2013" s="81" t="s">
        <v>2187</v>
      </c>
      <c r="P2013" s="81" t="s">
        <v>2187</v>
      </c>
      <c r="Q2013" s="81" t="s">
        <v>43</v>
      </c>
      <c r="R2013" s="81" t="s">
        <v>46</v>
      </c>
      <c r="S2013" s="81" t="s">
        <v>47</v>
      </c>
      <c r="T2013" s="81" t="s">
        <v>49</v>
      </c>
      <c r="U2013" s="81" t="s">
        <v>48</v>
      </c>
      <c r="V2013" s="81" t="s">
        <v>48</v>
      </c>
      <c r="W2013" s="81" t="s">
        <v>49</v>
      </c>
      <c r="X2013" s="81" t="s">
        <v>48</v>
      </c>
      <c r="Y2013" s="81" t="s">
        <v>48</v>
      </c>
    </row>
    <row r="2014" spans="1:25" x14ac:dyDescent="0.3">
      <c r="A2014" s="16">
        <v>7501258211345</v>
      </c>
      <c r="B2014" s="81" t="s">
        <v>43</v>
      </c>
      <c r="C2014" s="81" t="s">
        <v>4989</v>
      </c>
      <c r="D2014" s="81" t="s">
        <v>45</v>
      </c>
      <c r="E2014" s="81" t="s">
        <v>2227</v>
      </c>
      <c r="F2014" s="81" t="s">
        <v>2227</v>
      </c>
      <c r="G2014" s="81" t="s">
        <v>2839</v>
      </c>
      <c r="H2014" s="81" t="s">
        <v>2400</v>
      </c>
      <c r="I2014" s="81" t="s">
        <v>7072</v>
      </c>
      <c r="J2014" s="81" t="s">
        <v>2186</v>
      </c>
      <c r="K2014" s="81" t="s">
        <v>7072</v>
      </c>
      <c r="L2014" s="81" t="s">
        <v>2392</v>
      </c>
      <c r="M2014" s="81" t="s">
        <v>7072</v>
      </c>
      <c r="N2014" s="81" t="s">
        <v>2231</v>
      </c>
      <c r="O2014" s="81" t="s">
        <v>2187</v>
      </c>
      <c r="P2014" s="81" t="s">
        <v>2187</v>
      </c>
      <c r="Q2014" s="81" t="s">
        <v>43</v>
      </c>
      <c r="R2014" s="81" t="s">
        <v>46</v>
      </c>
      <c r="S2014" s="81" t="s">
        <v>47</v>
      </c>
      <c r="T2014" s="81" t="s">
        <v>48</v>
      </c>
      <c r="U2014" s="81" t="s">
        <v>48</v>
      </c>
      <c r="V2014" s="81" t="s">
        <v>48</v>
      </c>
      <c r="W2014" s="81" t="s">
        <v>49</v>
      </c>
      <c r="X2014" s="81" t="s">
        <v>48</v>
      </c>
      <c r="Y2014" s="81" t="s">
        <v>48</v>
      </c>
    </row>
    <row r="2015" spans="1:25" x14ac:dyDescent="0.3">
      <c r="A2015" s="16">
        <v>7501258215756</v>
      </c>
      <c r="B2015" s="81" t="s">
        <v>43</v>
      </c>
      <c r="C2015" s="81" t="s">
        <v>4990</v>
      </c>
      <c r="D2015" s="81" t="s">
        <v>45</v>
      </c>
      <c r="E2015" s="81" t="s">
        <v>2227</v>
      </c>
      <c r="F2015" s="81" t="s">
        <v>2227</v>
      </c>
      <c r="G2015" s="81" t="s">
        <v>4991</v>
      </c>
      <c r="H2015" s="81" t="s">
        <v>2385</v>
      </c>
      <c r="I2015" s="81" t="s">
        <v>7073</v>
      </c>
      <c r="J2015" s="81" t="s">
        <v>2186</v>
      </c>
      <c r="K2015" s="81" t="s">
        <v>7073</v>
      </c>
      <c r="L2015" s="81" t="s">
        <v>2392</v>
      </c>
      <c r="M2015" s="81" t="s">
        <v>7073</v>
      </c>
      <c r="N2015" s="81" t="s">
        <v>2231</v>
      </c>
      <c r="O2015" s="81" t="s">
        <v>2187</v>
      </c>
      <c r="P2015" s="81" t="s">
        <v>2187</v>
      </c>
      <c r="Q2015" s="81" t="s">
        <v>43</v>
      </c>
      <c r="R2015" s="81" t="s">
        <v>46</v>
      </c>
      <c r="S2015" s="81" t="s">
        <v>46</v>
      </c>
      <c r="T2015" s="81" t="s">
        <v>48</v>
      </c>
      <c r="U2015" s="81" t="s">
        <v>48</v>
      </c>
      <c r="V2015" s="81" t="s">
        <v>49</v>
      </c>
      <c r="W2015" s="81" t="s">
        <v>48</v>
      </c>
      <c r="X2015" s="81" t="s">
        <v>48</v>
      </c>
      <c r="Y2015" s="81" t="s">
        <v>48</v>
      </c>
    </row>
    <row r="2016" spans="1:25" x14ac:dyDescent="0.3">
      <c r="A2016" s="16">
        <v>7501109768110</v>
      </c>
      <c r="B2016" s="81" t="s">
        <v>43</v>
      </c>
      <c r="C2016" s="81" t="s">
        <v>4992</v>
      </c>
      <c r="D2016" s="81" t="s">
        <v>45</v>
      </c>
      <c r="E2016" s="81" t="s">
        <v>2227</v>
      </c>
      <c r="F2016" s="81" t="s">
        <v>2227</v>
      </c>
      <c r="G2016" s="81" t="s">
        <v>4993</v>
      </c>
      <c r="H2016" s="81" t="s">
        <v>3422</v>
      </c>
      <c r="I2016" s="81" t="s">
        <v>6074</v>
      </c>
      <c r="J2016" s="81" t="s">
        <v>2186</v>
      </c>
      <c r="K2016" s="81" t="s">
        <v>6074</v>
      </c>
      <c r="L2016" s="81" t="s">
        <v>2392</v>
      </c>
      <c r="M2016" s="81" t="s">
        <v>6074</v>
      </c>
      <c r="N2016" s="81" t="s">
        <v>2231</v>
      </c>
      <c r="O2016" s="81" t="s">
        <v>2187</v>
      </c>
      <c r="P2016" s="81" t="s">
        <v>2187</v>
      </c>
      <c r="Q2016" s="81" t="s">
        <v>43</v>
      </c>
      <c r="R2016" s="81" t="s">
        <v>46</v>
      </c>
      <c r="S2016" s="81" t="s">
        <v>46</v>
      </c>
      <c r="T2016" s="81" t="s">
        <v>48</v>
      </c>
      <c r="U2016" s="81" t="s">
        <v>48</v>
      </c>
      <c r="V2016" s="81" t="s">
        <v>49</v>
      </c>
      <c r="W2016" s="81" t="s">
        <v>48</v>
      </c>
      <c r="X2016" s="81" t="s">
        <v>48</v>
      </c>
      <c r="Y2016" s="81" t="s">
        <v>48</v>
      </c>
    </row>
    <row r="2017" spans="1:25" x14ac:dyDescent="0.3">
      <c r="A2017" s="16" t="s">
        <v>5005</v>
      </c>
      <c r="B2017" s="81" t="s">
        <v>43</v>
      </c>
      <c r="C2017" s="81" t="s">
        <v>5062</v>
      </c>
      <c r="D2017" s="81" t="s">
        <v>45</v>
      </c>
      <c r="E2017" s="81" t="s">
        <v>2227</v>
      </c>
      <c r="F2017" s="81" t="s">
        <v>2227</v>
      </c>
      <c r="G2017" s="81" t="s">
        <v>3124</v>
      </c>
      <c r="H2017" s="81" t="s">
        <v>3125</v>
      </c>
      <c r="I2017" s="81" t="s">
        <v>5979</v>
      </c>
      <c r="J2017" s="81" t="s">
        <v>2186</v>
      </c>
      <c r="K2017" s="81" t="s">
        <v>5979</v>
      </c>
      <c r="L2017" s="81" t="s">
        <v>2392</v>
      </c>
      <c r="M2017" s="81" t="s">
        <v>5979</v>
      </c>
      <c r="N2017" s="81" t="s">
        <v>2231</v>
      </c>
      <c r="O2017" s="81" t="s">
        <v>2187</v>
      </c>
      <c r="P2017" s="81" t="s">
        <v>2187</v>
      </c>
      <c r="Q2017" s="81" t="s">
        <v>43</v>
      </c>
      <c r="R2017" s="81" t="s">
        <v>122</v>
      </c>
      <c r="S2017" s="81" t="s">
        <v>123</v>
      </c>
      <c r="T2017" s="81" t="s">
        <v>48</v>
      </c>
      <c r="U2017" s="81" t="s">
        <v>48</v>
      </c>
      <c r="V2017" s="81" t="s">
        <v>49</v>
      </c>
      <c r="W2017" s="81" t="s">
        <v>48</v>
      </c>
      <c r="X2017" s="81" t="s">
        <v>48</v>
      </c>
      <c r="Y2017" s="81" t="s">
        <v>48</v>
      </c>
    </row>
    <row r="2018" spans="1:25" x14ac:dyDescent="0.3">
      <c r="A2018" s="16" t="s">
        <v>5006</v>
      </c>
      <c r="B2018" s="81" t="s">
        <v>43</v>
      </c>
      <c r="C2018" s="81" t="s">
        <v>5063</v>
      </c>
      <c r="D2018" s="81" t="s">
        <v>45</v>
      </c>
      <c r="E2018" s="81" t="s">
        <v>2368</v>
      </c>
      <c r="F2018" s="81" t="s">
        <v>2369</v>
      </c>
      <c r="G2018" s="81" t="s">
        <v>3167</v>
      </c>
      <c r="H2018" s="81" t="s">
        <v>2535</v>
      </c>
      <c r="I2018" s="81" t="s">
        <v>6010</v>
      </c>
      <c r="J2018" s="81" t="s">
        <v>2186</v>
      </c>
      <c r="K2018" s="81" t="s">
        <v>6010</v>
      </c>
      <c r="L2018" s="81" t="s">
        <v>2392</v>
      </c>
      <c r="M2018" s="81" t="s">
        <v>6010</v>
      </c>
      <c r="N2018" s="81" t="s">
        <v>2231</v>
      </c>
      <c r="O2018" s="81" t="s">
        <v>2187</v>
      </c>
      <c r="P2018" s="81" t="s">
        <v>2187</v>
      </c>
      <c r="Q2018" s="81" t="s">
        <v>43</v>
      </c>
      <c r="R2018" s="81" t="s">
        <v>122</v>
      </c>
      <c r="S2018" s="81" t="s">
        <v>123</v>
      </c>
      <c r="T2018" s="81" t="s">
        <v>48</v>
      </c>
      <c r="U2018" s="81" t="s">
        <v>48</v>
      </c>
      <c r="V2018" s="81" t="s">
        <v>48</v>
      </c>
      <c r="W2018" s="81" t="s">
        <v>49</v>
      </c>
      <c r="X2018" s="81" t="s">
        <v>48</v>
      </c>
      <c r="Y2018" s="81" t="s">
        <v>48</v>
      </c>
    </row>
    <row r="2019" spans="1:25" x14ac:dyDescent="0.3">
      <c r="A2019" s="16" t="s">
        <v>5007</v>
      </c>
      <c r="B2019" s="81" t="s">
        <v>43</v>
      </c>
      <c r="C2019" s="81" t="s">
        <v>5064</v>
      </c>
      <c r="D2019" s="81" t="s">
        <v>45</v>
      </c>
      <c r="E2019" s="81" t="s">
        <v>2619</v>
      </c>
      <c r="F2019" s="81" t="s">
        <v>2444</v>
      </c>
      <c r="G2019" s="81" t="s">
        <v>4491</v>
      </c>
      <c r="H2019" s="81" t="s">
        <v>6151</v>
      </c>
      <c r="I2019" s="81" t="s">
        <v>6152</v>
      </c>
      <c r="J2019" s="81" t="s">
        <v>2186</v>
      </c>
      <c r="K2019" s="81" t="s">
        <v>6152</v>
      </c>
      <c r="L2019" s="81" t="s">
        <v>2392</v>
      </c>
      <c r="M2019" s="81" t="s">
        <v>6152</v>
      </c>
      <c r="N2019" s="81" t="s">
        <v>2231</v>
      </c>
      <c r="O2019" s="81" t="s">
        <v>2187</v>
      </c>
      <c r="P2019" s="81" t="s">
        <v>2187</v>
      </c>
      <c r="Q2019" s="81" t="s">
        <v>43</v>
      </c>
      <c r="R2019" s="81" t="s">
        <v>46</v>
      </c>
      <c r="S2019" s="81" t="s">
        <v>46</v>
      </c>
      <c r="T2019" s="81" t="s">
        <v>48</v>
      </c>
      <c r="U2019" s="81" t="s">
        <v>48</v>
      </c>
      <c r="V2019" s="81" t="s">
        <v>48</v>
      </c>
      <c r="W2019" s="81" t="s">
        <v>49</v>
      </c>
      <c r="X2019" s="81" t="s">
        <v>48</v>
      </c>
      <c r="Y2019" s="81" t="s">
        <v>48</v>
      </c>
    </row>
    <row r="2020" spans="1:25" x14ac:dyDescent="0.3">
      <c r="A2020" s="16" t="s">
        <v>5008</v>
      </c>
      <c r="B2020" s="81" t="s">
        <v>43</v>
      </c>
      <c r="C2020" s="81" t="s">
        <v>5065</v>
      </c>
      <c r="D2020" s="81" t="s">
        <v>45</v>
      </c>
      <c r="E2020" s="81" t="s">
        <v>2227</v>
      </c>
      <c r="F2020" s="81" t="s">
        <v>2227</v>
      </c>
      <c r="G2020" s="81" t="s">
        <v>3945</v>
      </c>
      <c r="H2020" s="81" t="s">
        <v>2193</v>
      </c>
      <c r="I2020" s="81" t="s">
        <v>5636</v>
      </c>
      <c r="J2020" s="81" t="s">
        <v>2186</v>
      </c>
      <c r="K2020" s="81" t="s">
        <v>5636</v>
      </c>
      <c r="L2020" s="81" t="s">
        <v>2392</v>
      </c>
      <c r="M2020" s="81" t="s">
        <v>5636</v>
      </c>
      <c r="N2020" s="81" t="s">
        <v>2231</v>
      </c>
      <c r="O2020" s="81" t="s">
        <v>2187</v>
      </c>
      <c r="P2020" s="81" t="s">
        <v>2187</v>
      </c>
      <c r="Q2020" s="81" t="s">
        <v>43</v>
      </c>
      <c r="R2020" s="81" t="s">
        <v>122</v>
      </c>
      <c r="S2020" s="81" t="s">
        <v>122</v>
      </c>
      <c r="T2020" s="81" t="s">
        <v>48</v>
      </c>
      <c r="U2020" s="81" t="s">
        <v>48</v>
      </c>
      <c r="V2020" s="81" t="s">
        <v>48</v>
      </c>
      <c r="W2020" s="81" t="s">
        <v>49</v>
      </c>
      <c r="X2020" s="81" t="s">
        <v>48</v>
      </c>
      <c r="Y2020" s="81" t="s">
        <v>48</v>
      </c>
    </row>
    <row r="2021" spans="1:25" x14ac:dyDescent="0.3">
      <c r="A2021" s="16">
        <v>7501258216012</v>
      </c>
      <c r="B2021" s="81" t="s">
        <v>43</v>
      </c>
      <c r="C2021" s="81" t="s">
        <v>5044</v>
      </c>
      <c r="D2021" s="81" t="s">
        <v>45</v>
      </c>
      <c r="E2021" s="81" t="s">
        <v>2227</v>
      </c>
      <c r="F2021" s="81" t="s">
        <v>2227</v>
      </c>
      <c r="G2021" s="81" t="s">
        <v>5045</v>
      </c>
      <c r="H2021" s="81" t="s">
        <v>2459</v>
      </c>
      <c r="I2021" s="81" t="s">
        <v>6184</v>
      </c>
      <c r="J2021" s="81" t="s">
        <v>2186</v>
      </c>
      <c r="K2021" s="81" t="s">
        <v>6184</v>
      </c>
      <c r="L2021" s="81" t="s">
        <v>2392</v>
      </c>
      <c r="M2021" s="81" t="s">
        <v>6184</v>
      </c>
      <c r="N2021" s="81" t="s">
        <v>2231</v>
      </c>
      <c r="O2021" s="81" t="s">
        <v>2187</v>
      </c>
      <c r="P2021" s="81" t="s">
        <v>2187</v>
      </c>
      <c r="Q2021" s="81" t="s">
        <v>43</v>
      </c>
      <c r="R2021" s="81" t="s">
        <v>46</v>
      </c>
      <c r="S2021" s="81" t="s">
        <v>46</v>
      </c>
      <c r="T2021" s="81" t="s">
        <v>48</v>
      </c>
      <c r="U2021" s="81" t="s">
        <v>48</v>
      </c>
      <c r="V2021" s="81" t="s">
        <v>48</v>
      </c>
      <c r="W2021" s="81" t="s">
        <v>49</v>
      </c>
      <c r="X2021" s="81" t="s">
        <v>48</v>
      </c>
      <c r="Y2021" s="81" t="s">
        <v>48</v>
      </c>
    </row>
    <row r="2022" spans="1:25" x14ac:dyDescent="0.3">
      <c r="A2022" s="16">
        <v>7501109760039</v>
      </c>
      <c r="B2022" s="81" t="s">
        <v>43</v>
      </c>
      <c r="C2022" s="81" t="s">
        <v>5046</v>
      </c>
      <c r="D2022" s="81" t="s">
        <v>45</v>
      </c>
      <c r="E2022" s="81" t="s">
        <v>2227</v>
      </c>
      <c r="F2022" s="81" t="s">
        <v>2227</v>
      </c>
      <c r="G2022" s="81" t="s">
        <v>4784</v>
      </c>
      <c r="H2022" s="81" t="s">
        <v>3594</v>
      </c>
      <c r="I2022" s="81" t="s">
        <v>7074</v>
      </c>
      <c r="J2022" s="81" t="s">
        <v>2186</v>
      </c>
      <c r="K2022" s="81" t="s">
        <v>7074</v>
      </c>
      <c r="L2022" s="81" t="s">
        <v>2392</v>
      </c>
      <c r="M2022" s="81" t="s">
        <v>7074</v>
      </c>
      <c r="N2022" s="81" t="s">
        <v>2231</v>
      </c>
      <c r="O2022" s="81" t="s">
        <v>2187</v>
      </c>
      <c r="P2022" s="81" t="s">
        <v>2187</v>
      </c>
      <c r="Q2022" s="81" t="s">
        <v>43</v>
      </c>
      <c r="R2022" s="81" t="s">
        <v>122</v>
      </c>
      <c r="S2022" s="81" t="s">
        <v>122</v>
      </c>
      <c r="T2022" s="81" t="s">
        <v>48</v>
      </c>
      <c r="U2022" s="81" t="s">
        <v>48</v>
      </c>
      <c r="V2022" s="81" t="s">
        <v>49</v>
      </c>
      <c r="W2022" s="81" t="s">
        <v>48</v>
      </c>
      <c r="X2022" s="81" t="s">
        <v>48</v>
      </c>
      <c r="Y2022" s="81" t="s">
        <v>48</v>
      </c>
    </row>
    <row r="2023" spans="1:25" x14ac:dyDescent="0.3">
      <c r="A2023" s="16">
        <v>7500435161244</v>
      </c>
      <c r="B2023" s="81" t="s">
        <v>43</v>
      </c>
      <c r="C2023" s="81" t="s">
        <v>5047</v>
      </c>
      <c r="D2023" s="81" t="s">
        <v>45</v>
      </c>
      <c r="E2023" s="81" t="s">
        <v>2227</v>
      </c>
      <c r="F2023" s="81" t="s">
        <v>2227</v>
      </c>
      <c r="G2023" s="81" t="s">
        <v>5048</v>
      </c>
      <c r="H2023" s="81" t="s">
        <v>3249</v>
      </c>
      <c r="I2023" s="81" t="s">
        <v>7070</v>
      </c>
      <c r="J2023" s="81" t="s">
        <v>2186</v>
      </c>
      <c r="K2023" s="81" t="s">
        <v>7070</v>
      </c>
      <c r="L2023" s="81" t="s">
        <v>2392</v>
      </c>
      <c r="M2023" s="81" t="s">
        <v>7070</v>
      </c>
      <c r="N2023" s="81" t="s">
        <v>2231</v>
      </c>
      <c r="O2023" s="81" t="s">
        <v>2187</v>
      </c>
      <c r="P2023" s="81" t="s">
        <v>2187</v>
      </c>
      <c r="Q2023" s="81" t="s">
        <v>43</v>
      </c>
      <c r="R2023" s="81" t="s">
        <v>524</v>
      </c>
      <c r="S2023" s="81" t="s">
        <v>525</v>
      </c>
      <c r="T2023" s="81" t="s">
        <v>48</v>
      </c>
      <c r="U2023" s="81" t="s">
        <v>48</v>
      </c>
      <c r="V2023" s="81" t="s">
        <v>49</v>
      </c>
      <c r="W2023" s="81" t="s">
        <v>48</v>
      </c>
      <c r="X2023" s="81" t="s">
        <v>48</v>
      </c>
      <c r="Y2023" s="81" t="s">
        <v>48</v>
      </c>
    </row>
    <row r="2024" spans="1:25" x14ac:dyDescent="0.3">
      <c r="A2024" s="16">
        <v>7501258207584</v>
      </c>
      <c r="B2024" s="81" t="s">
        <v>43</v>
      </c>
      <c r="C2024" s="81" t="s">
        <v>5066</v>
      </c>
      <c r="D2024" s="81" t="s">
        <v>45</v>
      </c>
      <c r="E2024" s="81" t="s">
        <v>2227</v>
      </c>
      <c r="F2024" s="81" t="s">
        <v>2227</v>
      </c>
      <c r="G2024" s="81" t="s">
        <v>5067</v>
      </c>
      <c r="H2024" s="81" t="s">
        <v>2415</v>
      </c>
      <c r="I2024" s="81" t="s">
        <v>2691</v>
      </c>
      <c r="J2024" s="81" t="s">
        <v>2186</v>
      </c>
      <c r="K2024" s="81" t="s">
        <v>2691</v>
      </c>
      <c r="L2024" s="81" t="s">
        <v>2392</v>
      </c>
      <c r="M2024" s="81" t="s">
        <v>2691</v>
      </c>
      <c r="N2024" s="81" t="s">
        <v>2231</v>
      </c>
      <c r="O2024" s="81" t="s">
        <v>2187</v>
      </c>
      <c r="P2024" s="81" t="s">
        <v>2187</v>
      </c>
      <c r="Q2024" s="81" t="s">
        <v>43</v>
      </c>
      <c r="R2024" s="81" t="s">
        <v>46</v>
      </c>
      <c r="S2024" s="81" t="s">
        <v>46</v>
      </c>
      <c r="T2024" s="81" t="s">
        <v>48</v>
      </c>
      <c r="U2024" s="81" t="s">
        <v>48</v>
      </c>
      <c r="V2024" s="81" t="s">
        <v>48</v>
      </c>
      <c r="W2024" s="81" t="s">
        <v>49</v>
      </c>
      <c r="X2024" s="81" t="s">
        <v>48</v>
      </c>
      <c r="Y2024" s="81" t="s">
        <v>48</v>
      </c>
    </row>
    <row r="2025" spans="1:25" x14ac:dyDescent="0.3">
      <c r="A2025" s="16">
        <v>7501644707506</v>
      </c>
      <c r="B2025" s="81" t="s">
        <v>43</v>
      </c>
      <c r="C2025" s="81" t="s">
        <v>5068</v>
      </c>
      <c r="D2025" s="81" t="s">
        <v>45</v>
      </c>
      <c r="E2025" s="81" t="s">
        <v>2227</v>
      </c>
      <c r="F2025" s="81" t="s">
        <v>2227</v>
      </c>
      <c r="G2025" s="81" t="s">
        <v>3775</v>
      </c>
      <c r="H2025" s="81" t="s">
        <v>2218</v>
      </c>
      <c r="I2025" s="81" t="s">
        <v>7075</v>
      </c>
      <c r="J2025" s="81" t="s">
        <v>2186</v>
      </c>
      <c r="K2025" s="81" t="s">
        <v>7075</v>
      </c>
      <c r="L2025" s="81" t="s">
        <v>2392</v>
      </c>
      <c r="M2025" s="81" t="s">
        <v>7075</v>
      </c>
      <c r="N2025" s="81" t="s">
        <v>2231</v>
      </c>
      <c r="O2025" s="81" t="s">
        <v>2187</v>
      </c>
      <c r="P2025" s="81" t="s">
        <v>2187</v>
      </c>
      <c r="Q2025" s="81" t="s">
        <v>43</v>
      </c>
      <c r="R2025" s="81" t="s">
        <v>46</v>
      </c>
      <c r="S2025" s="81" t="s">
        <v>46</v>
      </c>
      <c r="T2025" s="81" t="s">
        <v>48</v>
      </c>
      <c r="U2025" s="81" t="s">
        <v>48</v>
      </c>
      <c r="V2025" s="81" t="s">
        <v>48</v>
      </c>
      <c r="W2025" s="81" t="s">
        <v>49</v>
      </c>
      <c r="X2025" s="81" t="s">
        <v>48</v>
      </c>
      <c r="Y2025" s="81" t="s">
        <v>48</v>
      </c>
    </row>
    <row r="2026" spans="1:25" x14ac:dyDescent="0.3">
      <c r="A2026" s="16">
        <v>7501258200288</v>
      </c>
      <c r="B2026" s="81" t="s">
        <v>43</v>
      </c>
      <c r="C2026" s="81" t="s">
        <v>5079</v>
      </c>
      <c r="D2026" s="81" t="s">
        <v>45</v>
      </c>
      <c r="E2026" s="81" t="s">
        <v>2227</v>
      </c>
      <c r="F2026" s="81" t="s">
        <v>2227</v>
      </c>
      <c r="G2026" s="81" t="s">
        <v>5080</v>
      </c>
      <c r="H2026" s="81" t="s">
        <v>2400</v>
      </c>
      <c r="I2026" s="81" t="s">
        <v>7076</v>
      </c>
      <c r="J2026" s="81" t="s">
        <v>2186</v>
      </c>
      <c r="K2026" s="81" t="s">
        <v>7076</v>
      </c>
      <c r="L2026" s="81" t="s">
        <v>2392</v>
      </c>
      <c r="M2026" s="81" t="s">
        <v>7076</v>
      </c>
      <c r="N2026" s="81" t="s">
        <v>2231</v>
      </c>
      <c r="O2026" s="81" t="s">
        <v>2187</v>
      </c>
      <c r="P2026" s="81" t="s">
        <v>2187</v>
      </c>
      <c r="Q2026" s="81" t="s">
        <v>43</v>
      </c>
      <c r="R2026" s="81" t="s">
        <v>203</v>
      </c>
      <c r="S2026" s="81" t="s">
        <v>203</v>
      </c>
      <c r="T2026" s="81" t="s">
        <v>48</v>
      </c>
      <c r="U2026" s="81" t="s">
        <v>48</v>
      </c>
      <c r="V2026" s="81" t="s">
        <v>48</v>
      </c>
      <c r="W2026" s="81" t="s">
        <v>49</v>
      </c>
      <c r="X2026" s="81" t="s">
        <v>48</v>
      </c>
      <c r="Y2026" s="81" t="s">
        <v>48</v>
      </c>
    </row>
    <row r="2027" spans="1:25" x14ac:dyDescent="0.3">
      <c r="A2027" s="16">
        <v>7506022330918</v>
      </c>
      <c r="B2027" s="81" t="s">
        <v>43</v>
      </c>
      <c r="C2027" s="81" t="s">
        <v>5092</v>
      </c>
      <c r="D2027" s="81" t="s">
        <v>45</v>
      </c>
      <c r="E2027" s="81" t="s">
        <v>2227</v>
      </c>
      <c r="F2027" s="81" t="s">
        <v>2227</v>
      </c>
      <c r="G2027" s="81" t="s">
        <v>5426</v>
      </c>
      <c r="H2027" s="81" t="s">
        <v>3318</v>
      </c>
      <c r="I2027" s="81" t="s">
        <v>5848</v>
      </c>
      <c r="J2027" s="81" t="s">
        <v>2186</v>
      </c>
      <c r="K2027" s="81" t="s">
        <v>5848</v>
      </c>
      <c r="L2027" s="81" t="s">
        <v>2392</v>
      </c>
      <c r="M2027" s="81" t="s">
        <v>5848</v>
      </c>
      <c r="N2027" s="81" t="s">
        <v>2231</v>
      </c>
      <c r="O2027" s="81" t="s">
        <v>2187</v>
      </c>
      <c r="P2027" s="81" t="s">
        <v>2187</v>
      </c>
      <c r="Q2027" s="81" t="s">
        <v>43</v>
      </c>
      <c r="R2027" s="81" t="s">
        <v>101</v>
      </c>
      <c r="S2027" s="81" t="s">
        <v>101</v>
      </c>
      <c r="T2027" s="81" t="s">
        <v>48</v>
      </c>
      <c r="U2027" s="81" t="s">
        <v>48</v>
      </c>
      <c r="V2027" s="81" t="s">
        <v>49</v>
      </c>
      <c r="W2027" s="81" t="s">
        <v>48</v>
      </c>
      <c r="X2027" s="81" t="s">
        <v>48</v>
      </c>
      <c r="Y2027" s="81" t="s">
        <v>48</v>
      </c>
    </row>
    <row r="2028" spans="1:25" x14ac:dyDescent="0.3">
      <c r="A2028" s="16">
        <v>7506022330925</v>
      </c>
      <c r="B2028" s="81" t="s">
        <v>43</v>
      </c>
      <c r="C2028" s="81" t="s">
        <v>5093</v>
      </c>
      <c r="D2028" s="81" t="s">
        <v>45</v>
      </c>
      <c r="E2028" s="81" t="s">
        <v>2227</v>
      </c>
      <c r="F2028" s="81" t="s">
        <v>2227</v>
      </c>
      <c r="G2028" s="81" t="s">
        <v>5357</v>
      </c>
      <c r="H2028" s="81" t="s">
        <v>5094</v>
      </c>
      <c r="I2028" s="81" t="s">
        <v>7077</v>
      </c>
      <c r="J2028" s="81" t="s">
        <v>2186</v>
      </c>
      <c r="K2028" s="81" t="s">
        <v>7077</v>
      </c>
      <c r="L2028" s="81" t="s">
        <v>2392</v>
      </c>
      <c r="M2028" s="81" t="s">
        <v>7077</v>
      </c>
      <c r="N2028" s="81" t="s">
        <v>2231</v>
      </c>
      <c r="O2028" s="81" t="s">
        <v>2187</v>
      </c>
      <c r="P2028" s="81" t="s">
        <v>2187</v>
      </c>
      <c r="Q2028" s="81" t="s">
        <v>43</v>
      </c>
      <c r="R2028" s="81" t="s">
        <v>101</v>
      </c>
      <c r="S2028" s="81" t="s">
        <v>101</v>
      </c>
      <c r="T2028" s="81" t="s">
        <v>48</v>
      </c>
      <c r="U2028" s="81" t="s">
        <v>48</v>
      </c>
      <c r="V2028" s="81" t="s">
        <v>49</v>
      </c>
      <c r="W2028" s="81" t="s">
        <v>48</v>
      </c>
      <c r="X2028" s="81" t="s">
        <v>48</v>
      </c>
      <c r="Y2028" s="81" t="s">
        <v>48</v>
      </c>
    </row>
    <row r="2029" spans="1:25" x14ac:dyDescent="0.3">
      <c r="A2029" s="16">
        <v>5420013501670</v>
      </c>
      <c r="B2029" s="81" t="s">
        <v>43</v>
      </c>
      <c r="C2029" s="81" t="s">
        <v>5133</v>
      </c>
      <c r="D2029" s="81" t="s">
        <v>45</v>
      </c>
      <c r="E2029" s="81" t="s">
        <v>2227</v>
      </c>
      <c r="F2029" s="81" t="s">
        <v>2227</v>
      </c>
      <c r="G2029" s="81" t="s">
        <v>5134</v>
      </c>
      <c r="H2029" s="81" t="s">
        <v>7078</v>
      </c>
      <c r="I2029" s="81" t="s">
        <v>7079</v>
      </c>
      <c r="J2029" s="81" t="s">
        <v>2186</v>
      </c>
      <c r="K2029" s="81" t="s">
        <v>7079</v>
      </c>
      <c r="L2029" s="81" t="s">
        <v>2392</v>
      </c>
      <c r="M2029" s="81" t="s">
        <v>7079</v>
      </c>
      <c r="N2029" s="81" t="s">
        <v>2231</v>
      </c>
      <c r="O2029" s="81" t="s">
        <v>2187</v>
      </c>
      <c r="P2029" s="81" t="s">
        <v>2187</v>
      </c>
      <c r="Q2029" s="81" t="s">
        <v>43</v>
      </c>
      <c r="R2029" s="81" t="s">
        <v>374</v>
      </c>
      <c r="S2029" s="81" t="s">
        <v>374</v>
      </c>
      <c r="T2029" s="81" t="s">
        <v>48</v>
      </c>
      <c r="U2029" s="81" t="s">
        <v>48</v>
      </c>
      <c r="V2029" s="81" t="s">
        <v>49</v>
      </c>
      <c r="W2029" s="81" t="s">
        <v>48</v>
      </c>
      <c r="X2029" s="81" t="s">
        <v>48</v>
      </c>
      <c r="Y2029" s="81" t="s">
        <v>48</v>
      </c>
    </row>
    <row r="2030" spans="1:25" x14ac:dyDescent="0.3">
      <c r="A2030" s="16" t="s">
        <v>5197</v>
      </c>
      <c r="B2030" s="81" t="s">
        <v>43</v>
      </c>
      <c r="C2030" s="81" t="s">
        <v>1815</v>
      </c>
      <c r="D2030" s="81" t="s">
        <v>45</v>
      </c>
      <c r="E2030" s="81" t="s">
        <v>2227</v>
      </c>
      <c r="F2030" s="81" t="s">
        <v>2227</v>
      </c>
      <c r="G2030" s="81" t="s">
        <v>5198</v>
      </c>
      <c r="H2030" s="81" t="s">
        <v>3172</v>
      </c>
      <c r="I2030" s="81" t="s">
        <v>5199</v>
      </c>
      <c r="J2030" s="81" t="s">
        <v>2425</v>
      </c>
      <c r="K2030" s="81" t="s">
        <v>5199</v>
      </c>
      <c r="L2030" s="81" t="s">
        <v>2425</v>
      </c>
      <c r="M2030" s="81" t="s">
        <v>5199</v>
      </c>
      <c r="N2030" s="81" t="s">
        <v>2425</v>
      </c>
      <c r="O2030" s="81" t="s">
        <v>2187</v>
      </c>
      <c r="P2030" s="81" t="s">
        <v>2187</v>
      </c>
      <c r="Q2030" s="81" t="s">
        <v>43</v>
      </c>
      <c r="R2030" s="81" t="s">
        <v>122</v>
      </c>
      <c r="S2030" s="81" t="s">
        <v>122</v>
      </c>
      <c r="T2030" s="81" t="s">
        <v>48</v>
      </c>
      <c r="U2030" s="81" t="s">
        <v>48</v>
      </c>
      <c r="V2030" s="81" t="s">
        <v>49</v>
      </c>
      <c r="W2030" s="81" t="s">
        <v>48</v>
      </c>
      <c r="X2030" s="81" t="s">
        <v>48</v>
      </c>
      <c r="Y2030" s="81" t="s">
        <v>48</v>
      </c>
    </row>
    <row r="2031" spans="1:25" x14ac:dyDescent="0.3">
      <c r="A2031" s="16" t="s">
        <v>5228</v>
      </c>
      <c r="B2031" s="81" t="s">
        <v>43</v>
      </c>
      <c r="C2031" s="81" t="s">
        <v>7118</v>
      </c>
      <c r="D2031" s="81" t="s">
        <v>45</v>
      </c>
      <c r="E2031" s="81" t="s">
        <v>2227</v>
      </c>
      <c r="F2031" s="81" t="s">
        <v>2227</v>
      </c>
      <c r="G2031" s="81" t="s">
        <v>4462</v>
      </c>
      <c r="H2031" s="81" t="s">
        <v>2243</v>
      </c>
      <c r="I2031" s="81" t="s">
        <v>5229</v>
      </c>
      <c r="J2031" s="81" t="s">
        <v>2186</v>
      </c>
      <c r="K2031" s="81" t="s">
        <v>5229</v>
      </c>
      <c r="L2031" s="81" t="s">
        <v>2392</v>
      </c>
      <c r="M2031" s="81" t="s">
        <v>5229</v>
      </c>
      <c r="N2031" s="81" t="s">
        <v>2231</v>
      </c>
      <c r="O2031" s="81" t="s">
        <v>2187</v>
      </c>
      <c r="P2031" s="81" t="s">
        <v>2187</v>
      </c>
      <c r="Q2031" s="81" t="s">
        <v>43</v>
      </c>
      <c r="R2031" s="81" t="s">
        <v>203</v>
      </c>
      <c r="S2031" s="81" t="s">
        <v>203</v>
      </c>
      <c r="T2031" s="81" t="s">
        <v>48</v>
      </c>
      <c r="U2031" s="81" t="s">
        <v>48</v>
      </c>
      <c r="V2031" s="81" t="s">
        <v>48</v>
      </c>
      <c r="W2031" s="81" t="s">
        <v>49</v>
      </c>
      <c r="X2031" s="81" t="s">
        <v>48</v>
      </c>
      <c r="Y2031" s="81" t="s">
        <v>48</v>
      </c>
    </row>
    <row r="2032" spans="1:25" x14ac:dyDescent="0.3">
      <c r="A2032" s="16">
        <v>7502276040641</v>
      </c>
      <c r="B2032" s="81" t="s">
        <v>43</v>
      </c>
      <c r="C2032" s="81" t="s">
        <v>5230</v>
      </c>
      <c r="D2032" s="81" t="s">
        <v>45</v>
      </c>
      <c r="E2032" s="81" t="s">
        <v>2227</v>
      </c>
      <c r="F2032" s="81" t="s">
        <v>2227</v>
      </c>
      <c r="G2032" s="81" t="s">
        <v>5231</v>
      </c>
      <c r="H2032" s="81" t="s">
        <v>2264</v>
      </c>
      <c r="I2032" s="81" t="s">
        <v>7080</v>
      </c>
      <c r="J2032" s="81" t="s">
        <v>2186</v>
      </c>
      <c r="K2032" s="81" t="s">
        <v>7080</v>
      </c>
      <c r="L2032" s="81" t="s">
        <v>2392</v>
      </c>
      <c r="M2032" s="81" t="s">
        <v>7080</v>
      </c>
      <c r="N2032" s="81" t="s">
        <v>2231</v>
      </c>
      <c r="O2032" s="81" t="s">
        <v>2187</v>
      </c>
      <c r="P2032" s="81" t="s">
        <v>2187</v>
      </c>
      <c r="Q2032" s="81" t="s">
        <v>43</v>
      </c>
      <c r="R2032" s="81" t="s">
        <v>203</v>
      </c>
      <c r="S2032" s="81" t="s">
        <v>203</v>
      </c>
      <c r="T2032" s="81" t="s">
        <v>48</v>
      </c>
      <c r="U2032" s="81" t="s">
        <v>48</v>
      </c>
      <c r="V2032" s="81" t="s">
        <v>48</v>
      </c>
      <c r="W2032" s="81" t="s">
        <v>49</v>
      </c>
      <c r="X2032" s="81" t="s">
        <v>48</v>
      </c>
      <c r="Y2032" s="81" t="s">
        <v>48</v>
      </c>
    </row>
    <row r="2033" spans="1:25" x14ac:dyDescent="0.3">
      <c r="A2033" s="16">
        <v>7502276040627</v>
      </c>
      <c r="B2033" s="81" t="s">
        <v>43</v>
      </c>
      <c r="C2033" s="81" t="s">
        <v>5232</v>
      </c>
      <c r="D2033" s="81" t="s">
        <v>45</v>
      </c>
      <c r="E2033" s="81" t="s">
        <v>2227</v>
      </c>
      <c r="F2033" s="81" t="s">
        <v>2227</v>
      </c>
      <c r="G2033" s="81" t="s">
        <v>2811</v>
      </c>
      <c r="H2033" s="81" t="s">
        <v>2264</v>
      </c>
      <c r="I2033" s="81" t="s">
        <v>2614</v>
      </c>
      <c r="J2033" s="81" t="s">
        <v>2186</v>
      </c>
      <c r="K2033" s="81" t="s">
        <v>2614</v>
      </c>
      <c r="L2033" s="81" t="s">
        <v>2392</v>
      </c>
      <c r="M2033" s="81" t="s">
        <v>2614</v>
      </c>
      <c r="N2033" s="81" t="s">
        <v>2231</v>
      </c>
      <c r="O2033" s="81" t="s">
        <v>2187</v>
      </c>
      <c r="P2033" s="81" t="s">
        <v>2187</v>
      </c>
      <c r="Q2033" s="81" t="s">
        <v>43</v>
      </c>
      <c r="R2033" s="81" t="s">
        <v>203</v>
      </c>
      <c r="S2033" s="81" t="s">
        <v>203</v>
      </c>
      <c r="T2033" s="81" t="s">
        <v>48</v>
      </c>
      <c r="U2033" s="81" t="s">
        <v>48</v>
      </c>
      <c r="V2033" s="81" t="s">
        <v>48</v>
      </c>
      <c r="W2033" s="81" t="s">
        <v>49</v>
      </c>
      <c r="X2033" s="81" t="s">
        <v>48</v>
      </c>
      <c r="Y2033" s="81" t="s">
        <v>48</v>
      </c>
    </row>
    <row r="2034" spans="1:25" x14ac:dyDescent="0.3">
      <c r="A2034" s="16">
        <v>7501537103637</v>
      </c>
      <c r="B2034" s="81" t="s">
        <v>43</v>
      </c>
      <c r="C2034" s="81" t="s">
        <v>5308</v>
      </c>
      <c r="D2034" s="81" t="s">
        <v>45</v>
      </c>
      <c r="E2034" s="81" t="s">
        <v>2227</v>
      </c>
      <c r="F2034" s="81" t="s">
        <v>2227</v>
      </c>
      <c r="G2034" s="81" t="s">
        <v>3411</v>
      </c>
      <c r="H2034" s="81" t="s">
        <v>2264</v>
      </c>
      <c r="I2034" s="81" t="s">
        <v>7081</v>
      </c>
      <c r="J2034" s="81" t="s">
        <v>2186</v>
      </c>
      <c r="K2034" s="81" t="s">
        <v>7081</v>
      </c>
      <c r="L2034" s="81" t="s">
        <v>2392</v>
      </c>
      <c r="M2034" s="81" t="s">
        <v>7081</v>
      </c>
      <c r="N2034" s="81" t="s">
        <v>2231</v>
      </c>
      <c r="O2034" s="81" t="s">
        <v>2187</v>
      </c>
      <c r="P2034" s="81" t="s">
        <v>2187</v>
      </c>
      <c r="Q2034" s="81" t="s">
        <v>43</v>
      </c>
      <c r="R2034" s="81" t="s">
        <v>46</v>
      </c>
      <c r="S2034" s="81" t="s">
        <v>164</v>
      </c>
      <c r="T2034" s="81" t="s">
        <v>48</v>
      </c>
      <c r="U2034" s="81" t="s">
        <v>48</v>
      </c>
      <c r="V2034" s="81" t="s">
        <v>48</v>
      </c>
      <c r="W2034" s="81" t="s">
        <v>49</v>
      </c>
      <c r="X2034" s="81" t="s">
        <v>48</v>
      </c>
      <c r="Y2034" s="81" t="s">
        <v>48</v>
      </c>
    </row>
    <row r="2035" spans="1:25" x14ac:dyDescent="0.3">
      <c r="A2035" s="16">
        <v>7501056371159</v>
      </c>
      <c r="B2035" s="81" t="s">
        <v>43</v>
      </c>
      <c r="C2035" s="81" t="s">
        <v>5358</v>
      </c>
      <c r="D2035" s="81" t="s">
        <v>45</v>
      </c>
      <c r="E2035" s="81" t="s">
        <v>2227</v>
      </c>
      <c r="F2035" s="81" t="s">
        <v>2227</v>
      </c>
      <c r="G2035" s="81" t="s">
        <v>5349</v>
      </c>
      <c r="H2035" s="81" t="s">
        <v>5359</v>
      </c>
      <c r="I2035" s="81" t="s">
        <v>7082</v>
      </c>
      <c r="J2035" s="81" t="s">
        <v>2186</v>
      </c>
      <c r="K2035" s="81" t="s">
        <v>7082</v>
      </c>
      <c r="L2035" s="81" t="s">
        <v>2392</v>
      </c>
      <c r="M2035" s="81" t="s">
        <v>7082</v>
      </c>
      <c r="N2035" s="81" t="s">
        <v>2231</v>
      </c>
      <c r="O2035" s="81" t="s">
        <v>2187</v>
      </c>
      <c r="P2035" s="81" t="s">
        <v>2187</v>
      </c>
      <c r="Q2035" s="81" t="s">
        <v>43</v>
      </c>
      <c r="R2035" s="81" t="s">
        <v>524</v>
      </c>
      <c r="S2035" s="81" t="s">
        <v>525</v>
      </c>
      <c r="T2035" s="81" t="s">
        <v>48</v>
      </c>
      <c r="U2035" s="81" t="s">
        <v>48</v>
      </c>
      <c r="V2035" s="81" t="s">
        <v>49</v>
      </c>
      <c r="W2035" s="81" t="s">
        <v>48</v>
      </c>
      <c r="X2035" s="81" t="s">
        <v>48</v>
      </c>
      <c r="Y2035" s="81" t="s">
        <v>48</v>
      </c>
    </row>
    <row r="2036" spans="1:25" x14ac:dyDescent="0.3">
      <c r="A2036" s="16">
        <v>7501056371821</v>
      </c>
      <c r="B2036" s="81" t="s">
        <v>43</v>
      </c>
      <c r="C2036" s="81" t="s">
        <v>5360</v>
      </c>
      <c r="D2036" s="81" t="s">
        <v>45</v>
      </c>
      <c r="E2036" s="81" t="s">
        <v>2227</v>
      </c>
      <c r="F2036" s="81" t="s">
        <v>2227</v>
      </c>
      <c r="G2036" s="81" t="s">
        <v>5349</v>
      </c>
      <c r="H2036" s="81" t="s">
        <v>5359</v>
      </c>
      <c r="I2036" s="81" t="s">
        <v>7082</v>
      </c>
      <c r="J2036" s="81" t="s">
        <v>2186</v>
      </c>
      <c r="K2036" s="81" t="s">
        <v>7082</v>
      </c>
      <c r="L2036" s="81" t="s">
        <v>2392</v>
      </c>
      <c r="M2036" s="81" t="s">
        <v>7082</v>
      </c>
      <c r="N2036" s="81" t="s">
        <v>2231</v>
      </c>
      <c r="O2036" s="81" t="s">
        <v>2187</v>
      </c>
      <c r="P2036" s="81" t="s">
        <v>2187</v>
      </c>
      <c r="Q2036" s="81" t="s">
        <v>43</v>
      </c>
      <c r="R2036" s="81" t="s">
        <v>524</v>
      </c>
      <c r="S2036" s="81" t="s">
        <v>525</v>
      </c>
      <c r="T2036" s="81" t="s">
        <v>48</v>
      </c>
      <c r="U2036" s="81" t="s">
        <v>48</v>
      </c>
      <c r="V2036" s="81" t="s">
        <v>49</v>
      </c>
      <c r="W2036" s="81" t="s">
        <v>48</v>
      </c>
      <c r="X2036" s="81" t="s">
        <v>48</v>
      </c>
      <c r="Y2036" s="81" t="s">
        <v>48</v>
      </c>
    </row>
    <row r="2037" spans="1:25" x14ac:dyDescent="0.3">
      <c r="A2037" s="16">
        <v>7891150044630</v>
      </c>
      <c r="B2037" s="81" t="s">
        <v>43</v>
      </c>
      <c r="C2037" s="81" t="s">
        <v>5361</v>
      </c>
      <c r="D2037" s="81" t="s">
        <v>45</v>
      </c>
      <c r="E2037" s="81" t="s">
        <v>2227</v>
      </c>
      <c r="F2037" s="81" t="s">
        <v>2227</v>
      </c>
      <c r="G2037" s="81" t="s">
        <v>5349</v>
      </c>
      <c r="H2037" s="81" t="s">
        <v>5359</v>
      </c>
      <c r="I2037" s="81" t="s">
        <v>7082</v>
      </c>
      <c r="J2037" s="81" t="s">
        <v>2186</v>
      </c>
      <c r="K2037" s="81" t="s">
        <v>7082</v>
      </c>
      <c r="L2037" s="81" t="s">
        <v>2392</v>
      </c>
      <c r="M2037" s="81" t="s">
        <v>7082</v>
      </c>
      <c r="N2037" s="81" t="s">
        <v>2231</v>
      </c>
      <c r="O2037" s="81" t="s">
        <v>2187</v>
      </c>
      <c r="P2037" s="81" t="s">
        <v>2187</v>
      </c>
      <c r="Q2037" s="81" t="s">
        <v>43</v>
      </c>
      <c r="R2037" s="81" t="s">
        <v>524</v>
      </c>
      <c r="S2037" s="81" t="s">
        <v>525</v>
      </c>
      <c r="T2037" s="81" t="s">
        <v>48</v>
      </c>
      <c r="U2037" s="81" t="s">
        <v>48</v>
      </c>
      <c r="V2037" s="81" t="s">
        <v>49</v>
      </c>
      <c r="W2037" s="81" t="s">
        <v>48</v>
      </c>
      <c r="X2037" s="81" t="s">
        <v>48</v>
      </c>
      <c r="Y2037" s="81" t="s">
        <v>48</v>
      </c>
    </row>
    <row r="2038" spans="1:25" x14ac:dyDescent="0.3">
      <c r="A2038" s="16">
        <v>7501199416861</v>
      </c>
      <c r="B2038" s="81" t="s">
        <v>43</v>
      </c>
      <c r="C2038" s="81" t="s">
        <v>5362</v>
      </c>
      <c r="D2038" s="81" t="s">
        <v>45</v>
      </c>
      <c r="E2038" s="81" t="s">
        <v>2227</v>
      </c>
      <c r="F2038" s="81" t="s">
        <v>2227</v>
      </c>
      <c r="G2038" s="81" t="s">
        <v>2301</v>
      </c>
      <c r="H2038" s="81" t="s">
        <v>3041</v>
      </c>
      <c r="I2038" s="81" t="s">
        <v>7083</v>
      </c>
      <c r="J2038" s="81" t="s">
        <v>2186</v>
      </c>
      <c r="K2038" s="81" t="s">
        <v>7083</v>
      </c>
      <c r="L2038" s="81" t="s">
        <v>2392</v>
      </c>
      <c r="M2038" s="81" t="s">
        <v>7083</v>
      </c>
      <c r="N2038" s="81" t="s">
        <v>2231</v>
      </c>
      <c r="O2038" s="81" t="s">
        <v>2187</v>
      </c>
      <c r="P2038" s="81" t="s">
        <v>2187</v>
      </c>
      <c r="Q2038" s="81" t="s">
        <v>43</v>
      </c>
      <c r="R2038" s="81" t="s">
        <v>524</v>
      </c>
      <c r="S2038" s="81" t="s">
        <v>525</v>
      </c>
      <c r="T2038" s="81" t="s">
        <v>48</v>
      </c>
      <c r="U2038" s="81" t="s">
        <v>48</v>
      </c>
      <c r="V2038" s="81" t="s">
        <v>49</v>
      </c>
      <c r="W2038" s="81" t="s">
        <v>48</v>
      </c>
      <c r="X2038" s="81" t="s">
        <v>48</v>
      </c>
      <c r="Y2038" s="81" t="s">
        <v>48</v>
      </c>
    </row>
    <row r="2039" spans="1:25" x14ac:dyDescent="0.3">
      <c r="A2039" s="16">
        <v>7501008499900</v>
      </c>
      <c r="B2039" s="81" t="s">
        <v>43</v>
      </c>
      <c r="C2039" s="81" t="s">
        <v>5363</v>
      </c>
      <c r="D2039" s="81" t="s">
        <v>45</v>
      </c>
      <c r="E2039" s="81" t="s">
        <v>2227</v>
      </c>
      <c r="F2039" s="81" t="s">
        <v>2227</v>
      </c>
      <c r="G2039" s="81" t="s">
        <v>5364</v>
      </c>
      <c r="H2039" s="81" t="s">
        <v>2559</v>
      </c>
      <c r="I2039" s="81" t="s">
        <v>7084</v>
      </c>
      <c r="J2039" s="81" t="s">
        <v>2186</v>
      </c>
      <c r="K2039" s="81" t="s">
        <v>7084</v>
      </c>
      <c r="L2039" s="81" t="s">
        <v>2392</v>
      </c>
      <c r="M2039" s="81" t="s">
        <v>7084</v>
      </c>
      <c r="N2039" s="81" t="s">
        <v>2231</v>
      </c>
      <c r="O2039" s="81" t="s">
        <v>2187</v>
      </c>
      <c r="P2039" s="81" t="s">
        <v>2187</v>
      </c>
      <c r="Q2039" s="81" t="s">
        <v>43</v>
      </c>
      <c r="R2039" s="81" t="s">
        <v>203</v>
      </c>
      <c r="S2039" s="81" t="s">
        <v>203</v>
      </c>
      <c r="T2039" s="81" t="s">
        <v>48</v>
      </c>
      <c r="U2039" s="81" t="s">
        <v>48</v>
      </c>
      <c r="V2039" s="81" t="s">
        <v>48</v>
      </c>
      <c r="W2039" s="81" t="s">
        <v>49</v>
      </c>
      <c r="X2039" s="81" t="s">
        <v>48</v>
      </c>
      <c r="Y2039" s="81" t="s">
        <v>48</v>
      </c>
    </row>
    <row r="2040" spans="1:25" x14ac:dyDescent="0.3">
      <c r="A2040" s="16">
        <v>7501033957598</v>
      </c>
      <c r="B2040" s="81" t="s">
        <v>43</v>
      </c>
      <c r="C2040" s="81" t="s">
        <v>5365</v>
      </c>
      <c r="D2040" s="81" t="s">
        <v>45</v>
      </c>
      <c r="E2040" s="81" t="s">
        <v>2227</v>
      </c>
      <c r="F2040" s="81" t="s">
        <v>2227</v>
      </c>
      <c r="G2040" s="81" t="s">
        <v>5366</v>
      </c>
      <c r="H2040" s="81" t="s">
        <v>3654</v>
      </c>
      <c r="I2040" s="81" t="s">
        <v>5367</v>
      </c>
      <c r="J2040" s="81" t="s">
        <v>5336</v>
      </c>
      <c r="K2040" s="81" t="s">
        <v>5368</v>
      </c>
      <c r="L2040" s="81" t="s">
        <v>2184</v>
      </c>
      <c r="M2040" s="81" t="s">
        <v>5368</v>
      </c>
      <c r="N2040" s="81" t="s">
        <v>2186</v>
      </c>
      <c r="O2040" s="81" t="s">
        <v>2187</v>
      </c>
      <c r="P2040" s="81" t="s">
        <v>2187</v>
      </c>
      <c r="Q2040" s="81" t="s">
        <v>43</v>
      </c>
      <c r="R2040" s="81" t="s">
        <v>374</v>
      </c>
      <c r="S2040" s="81" t="s">
        <v>374</v>
      </c>
      <c r="T2040" s="81" t="s">
        <v>48</v>
      </c>
      <c r="U2040" s="81" t="s">
        <v>48</v>
      </c>
      <c r="V2040" s="81" t="s">
        <v>48</v>
      </c>
      <c r="W2040" s="81" t="s">
        <v>49</v>
      </c>
      <c r="X2040" s="81" t="s">
        <v>48</v>
      </c>
      <c r="Y2040" s="81" t="s">
        <v>48</v>
      </c>
    </row>
    <row r="2041" spans="1:25" x14ac:dyDescent="0.3">
      <c r="A2041" s="16">
        <v>7501573909859</v>
      </c>
      <c r="B2041" s="81" t="s">
        <v>43</v>
      </c>
      <c r="C2041" s="81" t="s">
        <v>5427</v>
      </c>
      <c r="D2041" s="81" t="s">
        <v>45</v>
      </c>
      <c r="E2041" s="81" t="s">
        <v>2227</v>
      </c>
      <c r="F2041" s="81" t="s">
        <v>2227</v>
      </c>
      <c r="G2041" s="81" t="s">
        <v>5428</v>
      </c>
      <c r="H2041" s="81" t="s">
        <v>2264</v>
      </c>
      <c r="I2041" s="81" t="s">
        <v>6319</v>
      </c>
      <c r="J2041" s="81" t="s">
        <v>2186</v>
      </c>
      <c r="K2041" s="81" t="s">
        <v>6319</v>
      </c>
      <c r="L2041" s="81" t="s">
        <v>2392</v>
      </c>
      <c r="M2041" s="81" t="s">
        <v>6319</v>
      </c>
      <c r="N2041" s="81" t="s">
        <v>2231</v>
      </c>
      <c r="O2041" s="81" t="s">
        <v>2187</v>
      </c>
      <c r="P2041" s="81" t="s">
        <v>2187</v>
      </c>
      <c r="Q2041" s="81" t="s">
        <v>43</v>
      </c>
      <c r="R2041" s="81" t="s">
        <v>46</v>
      </c>
      <c r="S2041" s="81" t="s">
        <v>46</v>
      </c>
      <c r="T2041" s="81" t="s">
        <v>48</v>
      </c>
      <c r="U2041" s="81" t="s">
        <v>48</v>
      </c>
      <c r="V2041" s="81" t="s">
        <v>48</v>
      </c>
      <c r="W2041" s="81" t="s">
        <v>49</v>
      </c>
      <c r="X2041" s="81" t="s">
        <v>48</v>
      </c>
      <c r="Y2041" s="81" t="s">
        <v>48</v>
      </c>
    </row>
    <row r="2042" spans="1:25" x14ac:dyDescent="0.3">
      <c r="A2042" s="16">
        <v>7503002163023</v>
      </c>
      <c r="B2042" s="81" t="s">
        <v>43</v>
      </c>
      <c r="C2042" s="81" t="s">
        <v>7085</v>
      </c>
      <c r="D2042" s="81" t="s">
        <v>45</v>
      </c>
      <c r="E2042" s="81" t="s">
        <v>2227</v>
      </c>
      <c r="F2042" s="81" t="s">
        <v>2227</v>
      </c>
      <c r="G2042" s="81" t="s">
        <v>7086</v>
      </c>
      <c r="H2042" s="81" t="s">
        <v>2867</v>
      </c>
      <c r="I2042" s="81" t="s">
        <v>3228</v>
      </c>
      <c r="J2042" s="81" t="s">
        <v>2186</v>
      </c>
      <c r="K2042" s="81" t="s">
        <v>2868</v>
      </c>
      <c r="L2042" s="81" t="s">
        <v>2392</v>
      </c>
      <c r="M2042" s="81" t="s">
        <v>3749</v>
      </c>
      <c r="N2042" s="81" t="s">
        <v>2231</v>
      </c>
      <c r="O2042" s="81" t="s">
        <v>2187</v>
      </c>
      <c r="P2042" s="81" t="s">
        <v>2187</v>
      </c>
      <c r="Q2042" s="81" t="s">
        <v>43</v>
      </c>
      <c r="R2042" s="81" t="s">
        <v>524</v>
      </c>
      <c r="S2042" s="81" t="s">
        <v>525</v>
      </c>
      <c r="T2042" s="81" t="s">
        <v>48</v>
      </c>
      <c r="U2042" s="81" t="s">
        <v>48</v>
      </c>
      <c r="V2042" s="81" t="s">
        <v>49</v>
      </c>
      <c r="W2042" s="81" t="s">
        <v>48</v>
      </c>
      <c r="X2042" s="81" t="s">
        <v>48</v>
      </c>
      <c r="Y2042" s="81" t="s">
        <v>48</v>
      </c>
    </row>
    <row r="2043" spans="1:25" x14ac:dyDescent="0.3">
      <c r="A2043" s="16">
        <v>650240013850</v>
      </c>
      <c r="B2043" s="81" t="s">
        <v>43</v>
      </c>
      <c r="C2043" s="81" t="s">
        <v>7087</v>
      </c>
      <c r="D2043" s="81" t="s">
        <v>45</v>
      </c>
      <c r="E2043" s="81" t="s">
        <v>2227</v>
      </c>
      <c r="F2043" s="81" t="s">
        <v>2227</v>
      </c>
      <c r="G2043" s="81" t="s">
        <v>3081</v>
      </c>
      <c r="H2043" s="81" t="s">
        <v>2264</v>
      </c>
      <c r="I2043" s="81" t="s">
        <v>4579</v>
      </c>
      <c r="J2043" s="81" t="s">
        <v>2186</v>
      </c>
      <c r="K2043" s="81" t="s">
        <v>3350</v>
      </c>
      <c r="L2043" s="81" t="s">
        <v>2392</v>
      </c>
      <c r="M2043" s="81" t="s">
        <v>3664</v>
      </c>
      <c r="N2043" s="81" t="s">
        <v>2231</v>
      </c>
      <c r="O2043" s="81" t="s">
        <v>2187</v>
      </c>
      <c r="P2043" s="81" t="s">
        <v>2187</v>
      </c>
      <c r="Q2043" s="81" t="s">
        <v>43</v>
      </c>
      <c r="R2043" s="81" t="s">
        <v>524</v>
      </c>
      <c r="S2043" s="81" t="s">
        <v>525</v>
      </c>
      <c r="T2043" s="81" t="s">
        <v>48</v>
      </c>
      <c r="U2043" s="81" t="s">
        <v>48</v>
      </c>
      <c r="V2043" s="81" t="s">
        <v>49</v>
      </c>
      <c r="W2043" s="81" t="s">
        <v>48</v>
      </c>
      <c r="X2043" s="81" t="s">
        <v>48</v>
      </c>
      <c r="Y2043" s="81" t="s">
        <v>48</v>
      </c>
    </row>
    <row r="2044" spans="1:25" x14ac:dyDescent="0.3">
      <c r="A2044" s="16">
        <v>650240013898</v>
      </c>
      <c r="B2044" s="81" t="s">
        <v>43</v>
      </c>
      <c r="C2044" s="81" t="s">
        <v>7088</v>
      </c>
      <c r="D2044" s="81" t="s">
        <v>45</v>
      </c>
      <c r="E2044" s="81" t="s">
        <v>2227</v>
      </c>
      <c r="F2044" s="81" t="s">
        <v>2227</v>
      </c>
      <c r="G2044" s="81" t="s">
        <v>3081</v>
      </c>
      <c r="H2044" s="81" t="s">
        <v>3773</v>
      </c>
      <c r="I2044" s="81" t="s">
        <v>4579</v>
      </c>
      <c r="J2044" s="81" t="s">
        <v>2186</v>
      </c>
      <c r="K2044" s="81" t="s">
        <v>3350</v>
      </c>
      <c r="L2044" s="81" t="s">
        <v>2392</v>
      </c>
      <c r="M2044" s="81" t="s">
        <v>3664</v>
      </c>
      <c r="N2044" s="81" t="s">
        <v>2231</v>
      </c>
      <c r="O2044" s="81" t="s">
        <v>2187</v>
      </c>
      <c r="P2044" s="81" t="s">
        <v>2187</v>
      </c>
      <c r="Q2044" s="81" t="s">
        <v>43</v>
      </c>
      <c r="R2044" s="81" t="s">
        <v>524</v>
      </c>
      <c r="S2044" s="81" t="s">
        <v>525</v>
      </c>
      <c r="T2044" s="81" t="s">
        <v>48</v>
      </c>
      <c r="U2044" s="81" t="s">
        <v>48</v>
      </c>
      <c r="V2044" s="81" t="s">
        <v>49</v>
      </c>
      <c r="W2044" s="81" t="s">
        <v>48</v>
      </c>
      <c r="X2044" s="81" t="s">
        <v>48</v>
      </c>
      <c r="Y2044" s="81" t="s">
        <v>48</v>
      </c>
    </row>
    <row r="2045" spans="1:25" x14ac:dyDescent="0.3">
      <c r="A2045" s="16">
        <v>650240013928</v>
      </c>
      <c r="B2045" s="81" t="s">
        <v>43</v>
      </c>
      <c r="C2045" s="81" t="s">
        <v>7089</v>
      </c>
      <c r="D2045" s="81" t="s">
        <v>45</v>
      </c>
      <c r="E2045" s="81" t="s">
        <v>2227</v>
      </c>
      <c r="F2045" s="81" t="s">
        <v>2227</v>
      </c>
      <c r="G2045" s="81" t="s">
        <v>7090</v>
      </c>
      <c r="H2045" s="81" t="s">
        <v>2310</v>
      </c>
      <c r="I2045" s="81" t="s">
        <v>4588</v>
      </c>
      <c r="J2045" s="81" t="s">
        <v>2186</v>
      </c>
      <c r="K2045" s="81" t="s">
        <v>3201</v>
      </c>
      <c r="L2045" s="81" t="s">
        <v>2392</v>
      </c>
      <c r="M2045" s="81" t="s">
        <v>7091</v>
      </c>
      <c r="N2045" s="81" t="s">
        <v>2231</v>
      </c>
      <c r="O2045" s="81" t="s">
        <v>2187</v>
      </c>
      <c r="P2045" s="81" t="s">
        <v>2187</v>
      </c>
      <c r="Q2045" s="81" t="s">
        <v>43</v>
      </c>
      <c r="R2045" s="81" t="s">
        <v>524</v>
      </c>
      <c r="S2045" s="81" t="s">
        <v>525</v>
      </c>
      <c r="T2045" s="81" t="s">
        <v>48</v>
      </c>
      <c r="U2045" s="81" t="s">
        <v>48</v>
      </c>
      <c r="V2045" s="81" t="s">
        <v>49</v>
      </c>
      <c r="W2045" s="81" t="s">
        <v>48</v>
      </c>
      <c r="X2045" s="81" t="s">
        <v>48</v>
      </c>
      <c r="Y2045" s="81" t="s">
        <v>48</v>
      </c>
    </row>
    <row r="2046" spans="1:25" x14ac:dyDescent="0.3">
      <c r="A2046" s="16">
        <v>650240013911</v>
      </c>
      <c r="B2046" s="81" t="s">
        <v>43</v>
      </c>
      <c r="C2046" s="81" t="s">
        <v>7092</v>
      </c>
      <c r="D2046" s="81" t="s">
        <v>45</v>
      </c>
      <c r="E2046" s="81" t="s">
        <v>2227</v>
      </c>
      <c r="F2046" s="81" t="s">
        <v>2227</v>
      </c>
      <c r="G2046" s="81" t="s">
        <v>7093</v>
      </c>
      <c r="H2046" s="81" t="s">
        <v>2467</v>
      </c>
      <c r="I2046" s="81" t="s">
        <v>2311</v>
      </c>
      <c r="J2046" s="81" t="s">
        <v>2186</v>
      </c>
      <c r="K2046" s="81" t="s">
        <v>4994</v>
      </c>
      <c r="L2046" s="81" t="s">
        <v>2392</v>
      </c>
      <c r="M2046" s="81" t="s">
        <v>3362</v>
      </c>
      <c r="N2046" s="81" t="s">
        <v>2231</v>
      </c>
      <c r="O2046" s="81" t="s">
        <v>2187</v>
      </c>
      <c r="P2046" s="81" t="s">
        <v>2187</v>
      </c>
      <c r="Q2046" s="81" t="s">
        <v>43</v>
      </c>
      <c r="R2046" s="81" t="s">
        <v>524</v>
      </c>
      <c r="S2046" s="81" t="s">
        <v>525</v>
      </c>
      <c r="T2046" s="81" t="s">
        <v>48</v>
      </c>
      <c r="U2046" s="81" t="s">
        <v>48</v>
      </c>
      <c r="V2046" s="81" t="s">
        <v>49</v>
      </c>
      <c r="W2046" s="81" t="s">
        <v>48</v>
      </c>
      <c r="X2046" s="81" t="s">
        <v>48</v>
      </c>
      <c r="Y2046" s="81" t="s">
        <v>48</v>
      </c>
    </row>
    <row r="2047" spans="1:25" x14ac:dyDescent="0.3">
      <c r="A2047" s="16">
        <v>7502276040382</v>
      </c>
      <c r="B2047" s="81" t="s">
        <v>43</v>
      </c>
      <c r="C2047" s="81" t="s">
        <v>7094</v>
      </c>
      <c r="D2047" s="81" t="s">
        <v>45</v>
      </c>
      <c r="E2047" s="81" t="s">
        <v>2227</v>
      </c>
      <c r="F2047" s="81" t="s">
        <v>2227</v>
      </c>
      <c r="G2047" s="81" t="s">
        <v>7095</v>
      </c>
      <c r="H2047" s="81" t="s">
        <v>2190</v>
      </c>
      <c r="I2047" s="81" t="s">
        <v>2232</v>
      </c>
      <c r="J2047" s="81" t="s">
        <v>2186</v>
      </c>
      <c r="K2047" s="81" t="s">
        <v>2207</v>
      </c>
      <c r="L2047" s="81" t="s">
        <v>2392</v>
      </c>
      <c r="M2047" s="81" t="s">
        <v>7096</v>
      </c>
      <c r="N2047" s="81" t="s">
        <v>2231</v>
      </c>
      <c r="O2047" s="81" t="s">
        <v>2187</v>
      </c>
      <c r="P2047" s="81" t="s">
        <v>2187</v>
      </c>
      <c r="Q2047" s="81" t="s">
        <v>43</v>
      </c>
      <c r="R2047" s="81" t="s">
        <v>203</v>
      </c>
      <c r="S2047" s="81" t="s">
        <v>203</v>
      </c>
      <c r="T2047" s="81" t="s">
        <v>48</v>
      </c>
      <c r="U2047" s="81" t="s">
        <v>48</v>
      </c>
      <c r="V2047" s="81" t="s">
        <v>48</v>
      </c>
      <c r="W2047" s="81" t="s">
        <v>49</v>
      </c>
      <c r="X2047" s="81" t="s">
        <v>48</v>
      </c>
      <c r="Y2047" s="81" t="s">
        <v>48</v>
      </c>
    </row>
    <row r="2048" spans="1:25" x14ac:dyDescent="0.3">
      <c r="A2048" s="16">
        <v>7501001353377</v>
      </c>
      <c r="B2048" s="81" t="s">
        <v>43</v>
      </c>
      <c r="C2048" s="81" t="s">
        <v>7097</v>
      </c>
      <c r="D2048" s="81" t="s">
        <v>45</v>
      </c>
      <c r="E2048" s="81" t="s">
        <v>2227</v>
      </c>
      <c r="F2048" s="81" t="s">
        <v>2227</v>
      </c>
      <c r="G2048" s="81" t="s">
        <v>7098</v>
      </c>
      <c r="H2048" s="81" t="s">
        <v>2424</v>
      </c>
      <c r="I2048" s="81" t="s">
        <v>2865</v>
      </c>
      <c r="J2048" s="81" t="s">
        <v>2186</v>
      </c>
      <c r="K2048" s="81" t="s">
        <v>2387</v>
      </c>
      <c r="L2048" s="81" t="s">
        <v>2392</v>
      </c>
      <c r="M2048" s="81" t="s">
        <v>7099</v>
      </c>
      <c r="N2048" s="81" t="s">
        <v>2231</v>
      </c>
      <c r="O2048" s="81" t="s">
        <v>2187</v>
      </c>
      <c r="P2048" s="81" t="s">
        <v>2187</v>
      </c>
      <c r="Q2048" s="81" t="s">
        <v>43</v>
      </c>
      <c r="R2048" s="81" t="s">
        <v>203</v>
      </c>
      <c r="S2048" s="81" t="s">
        <v>203</v>
      </c>
      <c r="T2048" s="81" t="s">
        <v>48</v>
      </c>
      <c r="U2048" s="81" t="s">
        <v>48</v>
      </c>
      <c r="V2048" s="81" t="s">
        <v>48</v>
      </c>
      <c r="W2048" s="81" t="s">
        <v>49</v>
      </c>
      <c r="X2048" s="81" t="s">
        <v>48</v>
      </c>
      <c r="Y2048" s="8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OC</vt:lpstr>
      <vt:lpstr>lay out</vt:lpstr>
      <vt:lpstr>MACHOTE</vt:lpstr>
      <vt:lpstr>OC!Área_de_impresión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Luis Andrés Calvillo Rubio</cp:lastModifiedBy>
  <cp:lastPrinted>2026-06-17T15:01:22Z</cp:lastPrinted>
  <dcterms:created xsi:type="dcterms:W3CDTF">2025-05-05T21:49:54Z</dcterms:created>
  <dcterms:modified xsi:type="dcterms:W3CDTF">2026-07-24T19:03:54Z</dcterms:modified>
</cp:coreProperties>
</file>